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9868" windowHeight="13500"/>
  </bookViews>
  <sheets>
    <sheet name="Sheet1" sheetId="1" r:id="rId1"/>
    <sheet name="Sheet2" sheetId="2" r:id="rId2"/>
  </sheets>
  <definedNames>
    <definedName name="_xlnm._FilterDatabase" localSheetId="0" hidden="1">Sheet1!$A$1:$BL$32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Administrator</author>
    <author>admin</author>
  </authors>
  <commentList>
    <comment ref="E1" authorId="0">
      <text>
        <r>
          <rPr>
            <b/>
            <sz val="9"/>
            <rFont val="宋体"/>
            <charset val="134"/>
          </rPr>
          <t>Administrator:
普通战斗+宝宝战斗+特殊事件+BOSS战斗=总权重</t>
        </r>
        <r>
          <rPr>
            <sz val="9"/>
            <rFont val="宋体"/>
            <charset val="134"/>
          </rPr>
          <t xml:space="preserve">
普通战斗的权重</t>
        </r>
      </text>
    </comment>
    <comment ref="F1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Administrator:
普通战斗+宝宝战斗+特殊事件+BOSS战斗=总权重
出宝宝战斗的权重</t>
        </r>
      </text>
    </comment>
    <comment ref="K1" authorId="1">
      <text>
        <r>
          <rPr>
            <b/>
            <sz val="9"/>
            <rFont val="Tahoma"/>
            <charset val="134"/>
          </rPr>
          <t>admin: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宝宝</t>
        </r>
      </text>
    </comment>
    <comment ref="N1" authorId="1">
      <text>
        <r>
          <rPr>
            <b/>
            <sz val="9"/>
            <rFont val="Tahoma"/>
            <charset val="134"/>
          </rPr>
          <t>admin: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灵兽</t>
        </r>
      </text>
    </comment>
    <comment ref="P1" authorId="1">
      <text>
        <r>
          <rPr>
            <b/>
            <sz val="9"/>
            <rFont val="Tahoma"/>
            <charset val="134"/>
          </rPr>
          <t>admin: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变异宝宝</t>
        </r>
      </text>
    </comment>
    <comment ref="S1" authorId="1">
      <text>
        <r>
          <rPr>
            <b/>
            <sz val="9"/>
            <rFont val="Tahoma"/>
            <charset val="134"/>
          </rPr>
          <t>admin: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变异灵兽</t>
        </r>
      </text>
    </comment>
  </commentList>
</comments>
</file>

<file path=xl/sharedStrings.xml><?xml version="1.0" encoding="utf-8"?>
<sst xmlns="http://schemas.openxmlformats.org/spreadsheetml/2006/main" count="624" uniqueCount="112">
  <si>
    <r>
      <rPr>
        <sz val="10"/>
        <rFont val="Arial"/>
        <charset val="134"/>
      </rPr>
      <t>i</t>
    </r>
    <r>
      <rPr>
        <sz val="10"/>
        <rFont val="Arial"/>
        <charset val="134"/>
      </rPr>
      <t>d</t>
    </r>
  </si>
  <si>
    <t>区域等级</t>
  </si>
  <si>
    <t>区域最高等级</t>
  </si>
  <si>
    <t>战场环境</t>
  </si>
  <si>
    <t>普通战斗概率</t>
  </si>
  <si>
    <t>宝宝战斗概率</t>
  </si>
  <si>
    <t>BOSS战斗概率</t>
  </si>
  <si>
    <t>特殊事件战斗概率</t>
  </si>
  <si>
    <t>BOSS战ID</t>
  </si>
  <si>
    <t>趣味事件</t>
  </si>
  <si>
    <t>宝宝1</t>
  </si>
  <si>
    <t>宝宝2</t>
  </si>
  <si>
    <t>宝宝3</t>
  </si>
  <si>
    <t>宝宝4</t>
  </si>
  <si>
    <t>宝宝5</t>
  </si>
  <si>
    <r>
      <rPr>
        <sz val="10"/>
        <rFont val="宋体"/>
        <charset val="134"/>
      </rPr>
      <t>宝宝</t>
    </r>
    <r>
      <rPr>
        <sz val="10"/>
        <rFont val="Arial"/>
        <charset val="134"/>
      </rPr>
      <t>6</t>
    </r>
  </si>
  <si>
    <t>宝宝7</t>
  </si>
  <si>
    <t>宝宝8</t>
  </si>
  <si>
    <t>宝宝9</t>
  </si>
  <si>
    <t>宝宝10</t>
  </si>
  <si>
    <t>宝宝1概率</t>
  </si>
  <si>
    <t>宝宝2概率</t>
  </si>
  <si>
    <t>宝宝3概率</t>
  </si>
  <si>
    <t>宝宝4概率</t>
  </si>
  <si>
    <r>
      <rPr>
        <sz val="10"/>
        <rFont val="宋体"/>
        <charset val="134"/>
      </rPr>
      <t>宝宝</t>
    </r>
    <r>
      <rPr>
        <sz val="10"/>
        <rFont val="Arial"/>
        <charset val="134"/>
      </rPr>
      <t>5</t>
    </r>
    <r>
      <rPr>
        <sz val="10"/>
        <rFont val="宋体"/>
        <charset val="134"/>
      </rPr>
      <t>概率</t>
    </r>
  </si>
  <si>
    <r>
      <rPr>
        <sz val="10"/>
        <rFont val="宋体"/>
        <charset val="134"/>
      </rPr>
      <t>宝宝</t>
    </r>
    <r>
      <rPr>
        <sz val="10"/>
        <rFont val="Arial"/>
        <charset val="134"/>
      </rPr>
      <t>6</t>
    </r>
    <r>
      <rPr>
        <sz val="10"/>
        <rFont val="宋体"/>
        <charset val="134"/>
      </rPr>
      <t>概率</t>
    </r>
  </si>
  <si>
    <r>
      <rPr>
        <sz val="10"/>
        <rFont val="宋体"/>
        <charset val="134"/>
      </rPr>
      <t>宝宝</t>
    </r>
    <r>
      <rPr>
        <sz val="10"/>
        <rFont val="Arial"/>
        <charset val="134"/>
      </rPr>
      <t>7</t>
    </r>
    <r>
      <rPr>
        <sz val="10"/>
        <rFont val="宋体"/>
        <charset val="134"/>
      </rPr>
      <t>概率</t>
    </r>
  </si>
  <si>
    <r>
      <rPr>
        <sz val="10"/>
        <rFont val="宋体"/>
        <charset val="134"/>
      </rPr>
      <t>宝宝</t>
    </r>
    <r>
      <rPr>
        <sz val="10"/>
        <rFont val="Arial"/>
        <charset val="134"/>
      </rPr>
      <t>8</t>
    </r>
    <r>
      <rPr>
        <sz val="10"/>
        <rFont val="宋体"/>
        <charset val="134"/>
      </rPr>
      <t>概率</t>
    </r>
  </si>
  <si>
    <r>
      <rPr>
        <sz val="10"/>
        <rFont val="宋体"/>
        <charset val="134"/>
      </rPr>
      <t>宝宝</t>
    </r>
    <r>
      <rPr>
        <sz val="10"/>
        <rFont val="Arial"/>
        <charset val="134"/>
      </rPr>
      <t>9</t>
    </r>
    <r>
      <rPr>
        <sz val="10"/>
        <rFont val="宋体"/>
        <charset val="134"/>
      </rPr>
      <t>概率</t>
    </r>
  </si>
  <si>
    <t>宝宝10概率</t>
  </si>
  <si>
    <t>精英1</t>
  </si>
  <si>
    <t>精英2</t>
  </si>
  <si>
    <t>精英3</t>
  </si>
  <si>
    <t>精英4</t>
  </si>
  <si>
    <t>精英5</t>
  </si>
  <si>
    <t>精英1概率</t>
  </si>
  <si>
    <t>精英2概率</t>
  </si>
  <si>
    <t>精英3概率</t>
  </si>
  <si>
    <t>精英4概率</t>
  </si>
  <si>
    <t>精英5概率</t>
  </si>
  <si>
    <t>怪物1</t>
  </si>
  <si>
    <t>怪物2</t>
  </si>
  <si>
    <t>怪物3</t>
  </si>
  <si>
    <t>怪物4</t>
  </si>
  <si>
    <t>怪物5</t>
  </si>
  <si>
    <t>怪物1概率</t>
  </si>
  <si>
    <t>怪物2概率</t>
  </si>
  <si>
    <t>怪物3概率</t>
  </si>
  <si>
    <t>怪物4概率</t>
  </si>
  <si>
    <t>怪物5概率</t>
  </si>
  <si>
    <t>变异怪物1</t>
  </si>
  <si>
    <t>变异怪物2</t>
  </si>
  <si>
    <t>变异怪物3</t>
  </si>
  <si>
    <t>变异怪物4</t>
  </si>
  <si>
    <t>变异怪物5</t>
  </si>
  <si>
    <t>变异怪物1概率</t>
  </si>
  <si>
    <t>变异怪物2概率</t>
  </si>
  <si>
    <t>变异怪物3概率</t>
  </si>
  <si>
    <t>变异怪物4概率</t>
  </si>
  <si>
    <t>变异怪物5概率</t>
  </si>
  <si>
    <r>
      <rPr>
        <sz val="10"/>
        <rFont val="宋体"/>
        <charset val="134"/>
      </rPr>
      <t>掉落</t>
    </r>
    <r>
      <rPr>
        <sz val="10"/>
        <rFont val="Arial"/>
        <charset val="134"/>
      </rPr>
      <t>id</t>
    </r>
  </si>
  <si>
    <r>
      <rPr>
        <sz val="10"/>
        <rFont val="宋体"/>
        <charset val="134"/>
      </rPr>
      <t>共享掉落</t>
    </r>
    <r>
      <rPr>
        <sz val="10"/>
        <rFont val="Arial"/>
        <charset val="134"/>
      </rPr>
      <t>id</t>
    </r>
  </si>
  <si>
    <t>颜色信息</t>
  </si>
  <si>
    <t>描述</t>
  </si>
  <si>
    <t>0</t>
  </si>
  <si>
    <t>清除刷</t>
  </si>
  <si>
    <t/>
  </si>
  <si>
    <t>800000ff</t>
  </si>
  <si>
    <t>溶洞一层</t>
  </si>
  <si>
    <t>溶洞二层</t>
  </si>
  <si>
    <t>80800000</t>
  </si>
  <si>
    <t>溶洞三层</t>
  </si>
  <si>
    <t>80ffff00</t>
  </si>
  <si>
    <t>废矿一层</t>
  </si>
  <si>
    <t>废矿二层</t>
  </si>
  <si>
    <t>80ffc0cb</t>
  </si>
  <si>
    <t>废矿三层</t>
  </si>
  <si>
    <t>80ffa500</t>
  </si>
  <si>
    <t>银堡一层</t>
  </si>
  <si>
    <t>银堡二层</t>
  </si>
  <si>
    <t>80f5f5dc</t>
  </si>
  <si>
    <t>银堡三层</t>
  </si>
  <si>
    <t>荒泽一层</t>
  </si>
  <si>
    <t>荒泽二层</t>
  </si>
  <si>
    <t>荒泽三层</t>
  </si>
  <si>
    <t>教堂一层</t>
  </si>
  <si>
    <t>教堂二层</t>
  </si>
  <si>
    <t>教堂三层</t>
  </si>
  <si>
    <t>埋股圣地一层</t>
  </si>
  <si>
    <t>埋股圣地二层</t>
  </si>
  <si>
    <t>埋股圣地三层</t>
  </si>
  <si>
    <t>遗迹一层</t>
  </si>
  <si>
    <t>遗迹二层</t>
  </si>
  <si>
    <t>80ffd700</t>
  </si>
  <si>
    <t>遗迹三层</t>
  </si>
  <si>
    <t>祭坛一层</t>
  </si>
  <si>
    <t>祭坛二层</t>
  </si>
  <si>
    <t>80fff0f5</t>
  </si>
  <si>
    <t>祭坛三层</t>
  </si>
  <si>
    <t>80e0ffff</t>
  </si>
  <si>
    <t>深渊一层</t>
  </si>
  <si>
    <t>深渊二层</t>
  </si>
  <si>
    <t>8000ff00</t>
  </si>
  <si>
    <t>深渊三层</t>
  </si>
  <si>
    <t>雾都一层</t>
  </si>
  <si>
    <t>雾都二层</t>
  </si>
  <si>
    <t>雾都三层</t>
  </si>
  <si>
    <t>宝宝几率</t>
  </si>
  <si>
    <t>灵兽几率</t>
  </si>
  <si>
    <t>变异宝宝几率</t>
  </si>
  <si>
    <t>灵兽权重</t>
  </si>
  <si>
    <t>变异宝宝权重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</si>
</sst>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0"/>
      <name val="Arial"/>
      <charset val="134"/>
    </font>
    <font>
      <sz val="10"/>
      <name val="宋体"/>
      <charset val="134"/>
    </font>
    <font>
      <sz val="11"/>
      <color theme="1"/>
      <name val="宋体"/>
      <charset val="134"/>
      <scheme val="minor"/>
    </font>
    <font>
      <sz val="11"/>
      <color indexed="60"/>
      <name val="宋体"/>
      <charset val="134"/>
    </font>
    <font>
      <sz val="11"/>
      <color theme="1"/>
      <name val="宋体"/>
      <charset val="134"/>
    </font>
    <font>
      <sz val="10"/>
      <color theme="1"/>
      <name val="Arial"/>
      <charset val="134"/>
    </font>
    <font>
      <sz val="11"/>
      <color rgb="FF00610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9"/>
      <name val="宋体"/>
      <charset val="134"/>
    </font>
    <font>
      <b/>
      <sz val="9"/>
      <name val="Tahoma"/>
      <charset val="134"/>
    </font>
    <font>
      <sz val="9"/>
      <name val="宋体"/>
      <charset val="134"/>
    </font>
    <font>
      <sz val="9"/>
      <name val="Tahoma"/>
      <charset val="134"/>
    </font>
  </fonts>
  <fills count="3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" fillId="7" borderId="2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8" borderId="1" applyNumberFormat="0" applyAlignment="0" applyProtection="0">
      <alignment vertical="center"/>
    </xf>
    <xf numFmtId="0" fontId="16" fillId="9" borderId="5" applyNumberFormat="0" applyAlignment="0" applyProtection="0">
      <alignment vertical="center"/>
    </xf>
    <xf numFmtId="0" fontId="17" fillId="9" borderId="1" applyNumberFormat="0" applyAlignment="0" applyProtection="0">
      <alignment vertical="center"/>
    </xf>
    <xf numFmtId="0" fontId="18" fillId="10" borderId="6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22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22" fillId="37" borderId="0" applyNumberFormat="0" applyBorder="0" applyAlignment="0" applyProtection="0">
      <alignment vertical="center"/>
    </xf>
  </cellStyleXfs>
  <cellXfs count="25">
    <xf numFmtId="0" fontId="0" fillId="0" borderId="0" xfId="0" applyAlignment="1"/>
    <xf numFmtId="0" fontId="1" fillId="0" borderId="0" xfId="0" applyFont="1" applyAlignment="1"/>
    <xf numFmtId="0" fontId="0" fillId="0" borderId="0" xfId="0" applyAlignment="1">
      <alignment textRotation="255"/>
    </xf>
    <xf numFmtId="0" fontId="2" fillId="2" borderId="1" xfId="16" applyFont="1" applyFill="1" applyAlignment="1"/>
    <xf numFmtId="0" fontId="0" fillId="3" borderId="0" xfId="0" applyFill="1" applyAlignment="1"/>
    <xf numFmtId="0" fontId="0" fillId="0" borderId="0" xfId="0" applyFill="1" applyAlignment="1"/>
    <xf numFmtId="0" fontId="3" fillId="3" borderId="0" xfId="23" applyFont="1" applyFill="1" applyAlignment="1"/>
    <xf numFmtId="0" fontId="0" fillId="0" borderId="0" xfId="0" applyAlignment="1">
      <alignment horizontal="left"/>
    </xf>
    <xf numFmtId="0" fontId="0" fillId="0" borderId="0" xfId="0" applyFont="1" applyAlignment="1">
      <alignment textRotation="255"/>
    </xf>
    <xf numFmtId="0" fontId="1" fillId="0" borderId="0" xfId="0" applyFont="1" applyAlignment="1">
      <alignment textRotation="255"/>
    </xf>
    <xf numFmtId="0" fontId="0" fillId="3" borderId="0" xfId="0" applyFill="1" applyAlignment="1">
      <alignment textRotation="255"/>
    </xf>
    <xf numFmtId="0" fontId="1" fillId="0" borderId="0" xfId="0" applyFont="1" applyFill="1" applyAlignment="1">
      <alignment textRotation="255"/>
    </xf>
    <xf numFmtId="0" fontId="4" fillId="4" borderId="0" xfId="0" applyFont="1" applyFill="1" applyBorder="1">
      <alignment vertical="center"/>
    </xf>
    <xf numFmtId="0" fontId="5" fillId="4" borderId="0" xfId="0" applyFont="1" applyFill="1" applyAlignment="1"/>
    <xf numFmtId="0" fontId="5" fillId="4" borderId="0" xfId="0" applyFont="1" applyFill="1" applyAlignment="1"/>
    <xf numFmtId="0" fontId="5" fillId="2" borderId="0" xfId="0" applyFont="1" applyFill="1" applyAlignment="1"/>
    <xf numFmtId="0" fontId="3" fillId="3" borderId="0" xfId="23" applyFill="1" applyAlignment="1">
      <alignment textRotation="255"/>
    </xf>
    <xf numFmtId="0" fontId="0" fillId="5" borderId="0" xfId="0" applyFont="1" applyFill="1" applyAlignment="1">
      <alignment textRotation="255"/>
    </xf>
    <xf numFmtId="0" fontId="1" fillId="5" borderId="0" xfId="0" applyFont="1" applyFill="1" applyAlignment="1">
      <alignment textRotation="255"/>
    </xf>
    <xf numFmtId="9" fontId="0" fillId="0" borderId="0" xfId="0" applyNumberFormat="1" applyAlignment="1"/>
    <xf numFmtId="0" fontId="6" fillId="6" borderId="0" xfId="22" applyFill="1" applyAlignment="1">
      <alignment textRotation="255"/>
    </xf>
    <xf numFmtId="0" fontId="0" fillId="6" borderId="0" xfId="0" applyFill="1" applyAlignment="1"/>
    <xf numFmtId="0" fontId="1" fillId="0" borderId="0" xfId="0" applyFont="1" applyAlignment="1">
      <alignment horizontal="left" textRotation="255"/>
    </xf>
    <xf numFmtId="0" fontId="5" fillId="4" borderId="0" xfId="0" applyFont="1" applyFill="1" applyAlignment="1">
      <alignment horizontal="left"/>
    </xf>
    <xf numFmtId="0" fontId="2" fillId="2" borderId="1" xfId="16" applyFont="1" applyFill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9" defaultPivotStyle="PivotStyleLight16"/>
  <colors>
    <mruColors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L36"/>
  <sheetViews>
    <sheetView tabSelected="1" workbookViewId="0">
      <pane xSplit="1" ySplit="1" topLeftCell="B2" activePane="bottomRight" state="frozen"/>
      <selection/>
      <selection pane="topRight"/>
      <selection pane="bottomLeft"/>
      <selection pane="bottomRight" activeCell="Q11" sqref="Q11"/>
    </sheetView>
  </sheetViews>
  <sheetFormatPr defaultColWidth="9" defaultRowHeight="14.4"/>
  <cols>
    <col min="4" max="4" width="9" style="4"/>
    <col min="6" max="6" width="9" style="5"/>
    <col min="7" max="8" width="9" style="4"/>
    <col min="9" max="9" width="9" style="6"/>
    <col min="10" max="10" width="9" style="4"/>
    <col min="21" max="21" width="10.712962962963" customWidth="1"/>
    <col min="61" max="61" width="9" style="7"/>
    <col min="63" max="63" width="11" customWidth="1"/>
    <col min="64" max="64" width="15.1388888888889" customWidth="1"/>
  </cols>
  <sheetData>
    <row r="1" s="2" customFormat="1" ht="102.6" spans="1:64">
      <c r="A1" s="8" t="s">
        <v>0</v>
      </c>
      <c r="B1" s="9" t="s">
        <v>1</v>
      </c>
      <c r="C1" s="9" t="s">
        <v>2</v>
      </c>
      <c r="D1" s="10" t="s">
        <v>3</v>
      </c>
      <c r="E1" s="2" t="s">
        <v>4</v>
      </c>
      <c r="F1" s="11" t="s">
        <v>5</v>
      </c>
      <c r="G1" s="10" t="s">
        <v>6</v>
      </c>
      <c r="H1" s="10" t="s">
        <v>7</v>
      </c>
      <c r="I1" s="16" t="s">
        <v>8</v>
      </c>
      <c r="J1" s="10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17" t="s">
        <v>15</v>
      </c>
      <c r="Q1" s="18" t="s">
        <v>16</v>
      </c>
      <c r="R1" s="18" t="s">
        <v>17</v>
      </c>
      <c r="S1" s="18" t="s">
        <v>18</v>
      </c>
      <c r="T1" s="18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8" t="s">
        <v>24</v>
      </c>
      <c r="Z1" s="17" t="s">
        <v>25</v>
      </c>
      <c r="AA1" s="17" t="s">
        <v>26</v>
      </c>
      <c r="AB1" s="17" t="s">
        <v>27</v>
      </c>
      <c r="AC1" s="17" t="s">
        <v>28</v>
      </c>
      <c r="AD1" s="18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2" t="s">
        <v>42</v>
      </c>
      <c r="AR1" s="2" t="s">
        <v>43</v>
      </c>
      <c r="AS1" s="2" t="s">
        <v>44</v>
      </c>
      <c r="AT1" s="2" t="s">
        <v>45</v>
      </c>
      <c r="AU1" s="2" t="s">
        <v>46</v>
      </c>
      <c r="AV1" s="2" t="s">
        <v>47</v>
      </c>
      <c r="AW1" s="2" t="s">
        <v>48</v>
      </c>
      <c r="AX1" s="2" t="s">
        <v>49</v>
      </c>
      <c r="AY1" s="20" t="s">
        <v>50</v>
      </c>
      <c r="AZ1" s="20" t="s">
        <v>51</v>
      </c>
      <c r="BA1" s="20" t="s">
        <v>52</v>
      </c>
      <c r="BB1" s="20" t="s">
        <v>53</v>
      </c>
      <c r="BC1" s="20" t="s">
        <v>54</v>
      </c>
      <c r="BD1" s="20" t="s">
        <v>55</v>
      </c>
      <c r="BE1" s="20" t="s">
        <v>56</v>
      </c>
      <c r="BF1" s="20" t="s">
        <v>57</v>
      </c>
      <c r="BG1" s="20" t="s">
        <v>58</v>
      </c>
      <c r="BH1" s="20" t="s">
        <v>59</v>
      </c>
      <c r="BI1" s="22" t="s">
        <v>60</v>
      </c>
      <c r="BJ1" s="9" t="s">
        <v>61</v>
      </c>
      <c r="BK1" s="2" t="s">
        <v>62</v>
      </c>
      <c r="BL1" s="2" t="s">
        <v>63</v>
      </c>
    </row>
    <row r="2" customFormat="1" spans="1:64">
      <c r="A2" t="s">
        <v>64</v>
      </c>
      <c r="B2" t="s">
        <v>64</v>
      </c>
      <c r="C2">
        <v>89</v>
      </c>
      <c r="D2" s="4" t="s">
        <v>64</v>
      </c>
      <c r="E2" t="s">
        <v>64</v>
      </c>
      <c r="F2" s="5">
        <v>2</v>
      </c>
      <c r="G2" s="4">
        <v>20</v>
      </c>
      <c r="H2" s="4" t="s">
        <v>64</v>
      </c>
      <c r="I2" s="6" t="s">
        <v>64</v>
      </c>
      <c r="J2" s="4" t="s">
        <v>64</v>
      </c>
      <c r="K2" t="s">
        <v>64</v>
      </c>
      <c r="L2" t="s">
        <v>64</v>
      </c>
      <c r="M2" t="s">
        <v>64</v>
      </c>
      <c r="U2" t="s">
        <v>64</v>
      </c>
      <c r="V2" t="s">
        <v>64</v>
      </c>
      <c r="W2" t="s">
        <v>64</v>
      </c>
      <c r="AA2" t="s">
        <v>64</v>
      </c>
      <c r="AE2" t="s">
        <v>64</v>
      </c>
      <c r="AF2" t="s">
        <v>64</v>
      </c>
      <c r="AG2" t="s">
        <v>64</v>
      </c>
      <c r="AJ2" t="s">
        <v>64</v>
      </c>
      <c r="AK2" t="s">
        <v>64</v>
      </c>
      <c r="AL2" t="s">
        <v>64</v>
      </c>
      <c r="AO2" t="s">
        <v>64</v>
      </c>
      <c r="AP2" t="s">
        <v>64</v>
      </c>
      <c r="AQ2" t="s">
        <v>64</v>
      </c>
      <c r="AT2" t="s">
        <v>64</v>
      </c>
      <c r="AU2" t="s">
        <v>64</v>
      </c>
      <c r="AV2" t="s">
        <v>64</v>
      </c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7" t="s">
        <v>64</v>
      </c>
      <c r="BJ2">
        <v>0</v>
      </c>
      <c r="BK2" t="s">
        <v>64</v>
      </c>
      <c r="BL2" t="s">
        <v>65</v>
      </c>
    </row>
    <row r="3" s="3" customFormat="1" spans="1:64">
      <c r="A3" s="3">
        <v>100</v>
      </c>
      <c r="B3" s="12">
        <v>1</v>
      </c>
      <c r="C3" s="13">
        <v>14</v>
      </c>
      <c r="D3" s="3" t="s">
        <v>64</v>
      </c>
      <c r="E3" s="3">
        <v>9900</v>
      </c>
      <c r="F3" s="14">
        <v>100</v>
      </c>
      <c r="G3" s="15">
        <v>0</v>
      </c>
      <c r="H3" s="3" t="s">
        <v>64</v>
      </c>
      <c r="I3" s="3">
        <v>0</v>
      </c>
      <c r="J3" s="3" t="s">
        <v>64</v>
      </c>
      <c r="K3" s="3">
        <v>22120</v>
      </c>
      <c r="L3" s="3"/>
      <c r="M3" s="3"/>
      <c r="N3" s="3"/>
      <c r="O3" s="3"/>
      <c r="P3" s="3">
        <v>22161</v>
      </c>
      <c r="Q3" s="3"/>
      <c r="R3" s="3"/>
      <c r="S3" s="3"/>
      <c r="T3" s="3"/>
      <c r="U3" s="3">
        <v>99802</v>
      </c>
      <c r="V3" s="3" t="s">
        <v>66</v>
      </c>
      <c r="W3" s="3" t="s">
        <v>66</v>
      </c>
      <c r="X3" s="3"/>
      <c r="Y3" s="3" t="s">
        <v>66</v>
      </c>
      <c r="Z3" s="3">
        <v>198</v>
      </c>
      <c r="AA3" s="3" t="s">
        <v>66</v>
      </c>
      <c r="AB3" s="3" t="s">
        <v>66</v>
      </c>
      <c r="AC3" s="3" t="s">
        <v>66</v>
      </c>
      <c r="AD3" s="3" t="s">
        <v>66</v>
      </c>
      <c r="AE3" s="3">
        <v>22060</v>
      </c>
      <c r="AF3" s="3" t="s">
        <v>66</v>
      </c>
      <c r="AG3" s="3" t="s">
        <v>66</v>
      </c>
      <c r="AJ3" s="3">
        <v>1000</v>
      </c>
      <c r="AO3" s="3">
        <v>22000</v>
      </c>
      <c r="AP3" s="3" t="s">
        <v>66</v>
      </c>
      <c r="AQ3" s="3" t="s">
        <v>66</v>
      </c>
      <c r="AT3" s="3">
        <v>1000</v>
      </c>
      <c r="AY3" s="3">
        <v>22161</v>
      </c>
      <c r="AZ3" s="3" t="s">
        <v>66</v>
      </c>
      <c r="BA3" s="3" t="s">
        <v>66</v>
      </c>
      <c r="BB3" s="3"/>
      <c r="BC3" s="3" t="s">
        <v>66</v>
      </c>
      <c r="BD3" s="3">
        <v>50</v>
      </c>
      <c r="BE3" s="3"/>
      <c r="BF3" s="3"/>
      <c r="BG3" s="3"/>
      <c r="BH3" s="3"/>
      <c r="BI3" s="23" t="s">
        <v>64</v>
      </c>
      <c r="BJ3" s="13">
        <v>0</v>
      </c>
      <c r="BK3" s="3" t="s">
        <v>67</v>
      </c>
      <c r="BL3" s="24" t="s">
        <v>68</v>
      </c>
    </row>
    <row r="4" s="3" customFormat="1" spans="1:64">
      <c r="A4" s="3">
        <v>101</v>
      </c>
      <c r="B4" s="12">
        <v>15</v>
      </c>
      <c r="C4" s="13">
        <v>24</v>
      </c>
      <c r="D4" s="3" t="s">
        <v>64</v>
      </c>
      <c r="E4" s="3">
        <v>9900</v>
      </c>
      <c r="F4" s="14">
        <v>100</v>
      </c>
      <c r="G4" s="15">
        <v>0</v>
      </c>
      <c r="H4" s="3" t="s">
        <v>64</v>
      </c>
      <c r="I4" s="3">
        <v>0</v>
      </c>
      <c r="J4" s="3" t="s">
        <v>64</v>
      </c>
      <c r="K4" s="3">
        <v>22121</v>
      </c>
      <c r="L4" s="3">
        <v>22120</v>
      </c>
      <c r="M4" s="3" t="s">
        <v>66</v>
      </c>
      <c r="N4" s="3"/>
      <c r="O4" s="3" t="s">
        <v>66</v>
      </c>
      <c r="P4" s="3">
        <v>22162</v>
      </c>
      <c r="Q4" s="3">
        <v>22161</v>
      </c>
      <c r="R4" s="3" t="s">
        <v>66</v>
      </c>
      <c r="S4" s="3"/>
      <c r="T4" s="3"/>
      <c r="U4" s="3">
        <v>49901</v>
      </c>
      <c r="V4" s="3">
        <v>49901</v>
      </c>
      <c r="W4" s="3" t="s">
        <v>66</v>
      </c>
      <c r="X4" s="3"/>
      <c r="Y4" s="3" t="s">
        <v>66</v>
      </c>
      <c r="Z4" s="3">
        <v>99</v>
      </c>
      <c r="AA4" s="3">
        <v>99</v>
      </c>
      <c r="AB4" s="3" t="s">
        <v>66</v>
      </c>
      <c r="AC4" s="3" t="s">
        <v>66</v>
      </c>
      <c r="AD4" s="3" t="s">
        <v>66</v>
      </c>
      <c r="AE4" s="3">
        <v>22063</v>
      </c>
      <c r="AF4" s="3">
        <v>22001</v>
      </c>
      <c r="AG4" s="3" t="s">
        <v>66</v>
      </c>
      <c r="AJ4" s="3">
        <v>500</v>
      </c>
      <c r="AK4" s="3">
        <v>500</v>
      </c>
      <c r="AO4" s="3">
        <v>22003</v>
      </c>
      <c r="AP4" s="3">
        <v>22001</v>
      </c>
      <c r="AQ4" s="3" t="s">
        <v>66</v>
      </c>
      <c r="AT4" s="3">
        <v>500</v>
      </c>
      <c r="AU4" s="3">
        <v>500</v>
      </c>
      <c r="AY4" s="3">
        <v>22162</v>
      </c>
      <c r="AZ4" s="3">
        <v>22161</v>
      </c>
      <c r="BA4" s="3" t="s">
        <v>66</v>
      </c>
      <c r="BB4" s="3"/>
      <c r="BC4" s="3" t="s">
        <v>66</v>
      </c>
      <c r="BD4" s="3">
        <v>50</v>
      </c>
      <c r="BE4" s="3">
        <v>25</v>
      </c>
      <c r="BF4" s="3"/>
      <c r="BG4" s="3"/>
      <c r="BH4" s="3"/>
      <c r="BI4" s="23" t="s">
        <v>64</v>
      </c>
      <c r="BJ4" s="13">
        <v>0</v>
      </c>
      <c r="BK4" s="3" t="s">
        <v>67</v>
      </c>
      <c r="BL4" s="24" t="s">
        <v>69</v>
      </c>
    </row>
    <row r="5" s="3" customFormat="1" spans="1:64">
      <c r="A5" s="3">
        <v>102</v>
      </c>
      <c r="B5" s="12">
        <v>25</v>
      </c>
      <c r="C5" s="13">
        <v>29</v>
      </c>
      <c r="D5" s="3" t="s">
        <v>64</v>
      </c>
      <c r="E5" s="3">
        <v>9900</v>
      </c>
      <c r="F5" s="14">
        <v>100</v>
      </c>
      <c r="G5" s="15">
        <v>0</v>
      </c>
      <c r="H5" s="3" t="s">
        <v>64</v>
      </c>
      <c r="I5" s="3">
        <v>0</v>
      </c>
      <c r="J5" s="3" t="s">
        <v>64</v>
      </c>
      <c r="K5" s="3">
        <v>22122</v>
      </c>
      <c r="L5" s="3">
        <v>22204</v>
      </c>
      <c r="M5" s="3"/>
      <c r="N5" s="3"/>
      <c r="O5" s="3" t="s">
        <v>66</v>
      </c>
      <c r="P5" s="3">
        <v>22163</v>
      </c>
      <c r="Q5" s="3">
        <v>22205</v>
      </c>
      <c r="R5" s="3"/>
      <c r="S5" s="3"/>
      <c r="T5" s="3"/>
      <c r="U5" s="3">
        <v>49901</v>
      </c>
      <c r="V5" s="3">
        <v>49901</v>
      </c>
      <c r="W5" s="3"/>
      <c r="X5" s="3"/>
      <c r="Y5" s="3" t="s">
        <v>66</v>
      </c>
      <c r="Z5" s="3">
        <v>99</v>
      </c>
      <c r="AA5" s="3">
        <v>99</v>
      </c>
      <c r="AB5" s="3"/>
      <c r="AC5" s="3" t="s">
        <v>66</v>
      </c>
      <c r="AD5" s="3" t="s">
        <v>66</v>
      </c>
      <c r="AE5" s="3">
        <v>22065</v>
      </c>
      <c r="AF5" s="3">
        <v>22203</v>
      </c>
      <c r="AJ5" s="3">
        <v>500</v>
      </c>
      <c r="AK5" s="3">
        <v>250</v>
      </c>
      <c r="AO5" s="3">
        <v>22005</v>
      </c>
      <c r="AP5" s="3">
        <v>22202</v>
      </c>
      <c r="AT5" s="3">
        <v>500</v>
      </c>
      <c r="AU5" s="3">
        <v>250</v>
      </c>
      <c r="AY5" s="3">
        <v>22163</v>
      </c>
      <c r="AZ5" s="3">
        <v>22205</v>
      </c>
      <c r="BA5" s="3"/>
      <c r="BB5" s="3"/>
      <c r="BC5" s="3" t="s">
        <v>66</v>
      </c>
      <c r="BD5" s="3">
        <v>50</v>
      </c>
      <c r="BE5" s="3">
        <v>25</v>
      </c>
      <c r="BF5" s="3"/>
      <c r="BG5" s="3"/>
      <c r="BH5" s="3"/>
      <c r="BI5" s="23" t="s">
        <v>64</v>
      </c>
      <c r="BJ5" s="13">
        <v>0</v>
      </c>
      <c r="BK5" s="3" t="s">
        <v>70</v>
      </c>
      <c r="BL5" s="3" t="s">
        <v>71</v>
      </c>
    </row>
    <row r="6" s="3" customFormat="1" spans="1:64">
      <c r="A6" s="3">
        <v>103</v>
      </c>
      <c r="B6" s="12">
        <v>30</v>
      </c>
      <c r="C6" s="13">
        <v>32</v>
      </c>
      <c r="D6" s="3" t="s">
        <v>64</v>
      </c>
      <c r="E6" s="3">
        <v>9900</v>
      </c>
      <c r="F6" s="14">
        <v>100</v>
      </c>
      <c r="G6" s="15">
        <v>0</v>
      </c>
      <c r="H6" s="3" t="s">
        <v>64</v>
      </c>
      <c r="I6" s="3">
        <v>0</v>
      </c>
      <c r="J6" s="3" t="s">
        <v>64</v>
      </c>
      <c r="K6" s="3">
        <v>22124</v>
      </c>
      <c r="L6" s="3" t="s">
        <v>66</v>
      </c>
      <c r="M6" s="3" t="s">
        <v>66</v>
      </c>
      <c r="N6" s="3">
        <v>22127</v>
      </c>
      <c r="O6" s="3" t="s">
        <v>66</v>
      </c>
      <c r="P6" s="3">
        <v>22165</v>
      </c>
      <c r="Q6" s="3" t="s">
        <v>66</v>
      </c>
      <c r="R6" s="3" t="s">
        <v>66</v>
      </c>
      <c r="S6" s="3"/>
      <c r="T6" s="3"/>
      <c r="U6" s="3">
        <v>99604</v>
      </c>
      <c r="V6" s="3" t="s">
        <v>66</v>
      </c>
      <c r="W6" s="3" t="s">
        <v>66</v>
      </c>
      <c r="X6" s="3">
        <v>198</v>
      </c>
      <c r="Y6" s="3" t="s">
        <v>66</v>
      </c>
      <c r="Z6" s="3">
        <v>198</v>
      </c>
      <c r="AA6" s="3" t="s">
        <v>66</v>
      </c>
      <c r="AB6" s="3" t="s">
        <v>66</v>
      </c>
      <c r="AC6" s="3" t="s">
        <v>66</v>
      </c>
      <c r="AD6" s="3" t="s">
        <v>66</v>
      </c>
      <c r="AE6" s="3">
        <v>22066</v>
      </c>
      <c r="AF6" s="3" t="s">
        <v>66</v>
      </c>
      <c r="AG6" s="3" t="s">
        <v>66</v>
      </c>
      <c r="AJ6" s="3">
        <v>1000</v>
      </c>
      <c r="AO6" s="3">
        <v>22006</v>
      </c>
      <c r="AP6" s="3" t="s">
        <v>66</v>
      </c>
      <c r="AQ6" s="3" t="s">
        <v>66</v>
      </c>
      <c r="AT6" s="3">
        <v>1000</v>
      </c>
      <c r="AY6" s="3">
        <v>22165</v>
      </c>
      <c r="AZ6" s="3" t="s">
        <v>66</v>
      </c>
      <c r="BA6" s="3" t="s">
        <v>66</v>
      </c>
      <c r="BB6" s="3">
        <v>22168</v>
      </c>
      <c r="BC6" s="3" t="s">
        <v>66</v>
      </c>
      <c r="BD6" s="3">
        <v>50</v>
      </c>
      <c r="BE6" s="3">
        <v>50</v>
      </c>
      <c r="BF6" s="3"/>
      <c r="BG6" s="3">
        <v>10</v>
      </c>
      <c r="BH6" s="3"/>
      <c r="BI6" s="23" t="s">
        <v>64</v>
      </c>
      <c r="BJ6" s="13">
        <v>0</v>
      </c>
      <c r="BK6" s="3" t="s">
        <v>72</v>
      </c>
      <c r="BL6" s="24" t="s">
        <v>73</v>
      </c>
    </row>
    <row r="7" s="3" customFormat="1" spans="1:64">
      <c r="A7" s="3">
        <v>104</v>
      </c>
      <c r="B7" s="12">
        <v>33</v>
      </c>
      <c r="C7" s="13">
        <v>35</v>
      </c>
      <c r="D7" s="3" t="s">
        <v>64</v>
      </c>
      <c r="E7" s="3">
        <v>9900</v>
      </c>
      <c r="F7" s="14">
        <v>100</v>
      </c>
      <c r="G7" s="15">
        <v>0</v>
      </c>
      <c r="H7" s="3" t="s">
        <v>64</v>
      </c>
      <c r="I7" s="3">
        <v>0</v>
      </c>
      <c r="J7" s="3" t="s">
        <v>64</v>
      </c>
      <c r="K7" s="3">
        <v>22125</v>
      </c>
      <c r="L7" s="3">
        <v>22124</v>
      </c>
      <c r="M7" s="3" t="s">
        <v>66</v>
      </c>
      <c r="N7" s="3">
        <v>22127</v>
      </c>
      <c r="O7" s="3" t="s">
        <v>66</v>
      </c>
      <c r="P7" s="3">
        <v>22166</v>
      </c>
      <c r="Q7" s="3">
        <v>22165</v>
      </c>
      <c r="R7" s="3" t="s">
        <v>66</v>
      </c>
      <c r="S7" s="3"/>
      <c r="T7" s="3"/>
      <c r="U7" s="3">
        <v>49802</v>
      </c>
      <c r="V7" s="3">
        <v>49802</v>
      </c>
      <c r="W7" s="3" t="s">
        <v>66</v>
      </c>
      <c r="X7" s="3">
        <v>198</v>
      </c>
      <c r="Y7" s="3" t="s">
        <v>66</v>
      </c>
      <c r="Z7" s="3">
        <v>99</v>
      </c>
      <c r="AA7" s="3">
        <v>99</v>
      </c>
      <c r="AB7" s="3" t="s">
        <v>66</v>
      </c>
      <c r="AC7" s="3" t="s">
        <v>66</v>
      </c>
      <c r="AD7" s="3" t="s">
        <v>66</v>
      </c>
      <c r="AE7" s="3">
        <v>22069</v>
      </c>
      <c r="AF7" s="3">
        <v>22067</v>
      </c>
      <c r="AG7" s="3" t="s">
        <v>66</v>
      </c>
      <c r="AJ7" s="3">
        <v>500</v>
      </c>
      <c r="AK7" s="3">
        <v>500</v>
      </c>
      <c r="AO7" s="3">
        <v>22009</v>
      </c>
      <c r="AP7" s="3">
        <v>22007</v>
      </c>
      <c r="AQ7" s="3" t="s">
        <v>66</v>
      </c>
      <c r="AT7" s="3">
        <v>500</v>
      </c>
      <c r="AU7" s="3">
        <v>500</v>
      </c>
      <c r="AY7" s="3">
        <v>22166</v>
      </c>
      <c r="AZ7" s="3">
        <v>22165</v>
      </c>
      <c r="BA7" s="3" t="s">
        <v>66</v>
      </c>
      <c r="BB7" s="3">
        <v>22168</v>
      </c>
      <c r="BC7" s="3" t="s">
        <v>66</v>
      </c>
      <c r="BD7" s="3">
        <v>50</v>
      </c>
      <c r="BE7" s="3">
        <v>50</v>
      </c>
      <c r="BF7" s="3"/>
      <c r="BG7" s="3">
        <v>10</v>
      </c>
      <c r="BH7" s="3"/>
      <c r="BI7" s="23" t="s">
        <v>64</v>
      </c>
      <c r="BJ7" s="13">
        <v>0</v>
      </c>
      <c r="BK7" s="3" t="s">
        <v>72</v>
      </c>
      <c r="BL7" s="24" t="s">
        <v>74</v>
      </c>
    </row>
    <row r="8" s="3" customFormat="1" spans="1:64">
      <c r="A8" s="3">
        <v>105</v>
      </c>
      <c r="B8" s="12">
        <v>36</v>
      </c>
      <c r="C8" s="13">
        <v>39</v>
      </c>
      <c r="D8" s="3" t="s">
        <v>64</v>
      </c>
      <c r="E8" s="3">
        <v>9900</v>
      </c>
      <c r="F8" s="14">
        <v>100</v>
      </c>
      <c r="G8" s="15">
        <v>0</v>
      </c>
      <c r="H8" s="3" t="s">
        <v>64</v>
      </c>
      <c r="I8" s="3">
        <v>0</v>
      </c>
      <c r="J8" s="3" t="s">
        <v>64</v>
      </c>
      <c r="K8" s="3">
        <v>22126</v>
      </c>
      <c r="L8" s="3">
        <v>22125</v>
      </c>
      <c r="M8" s="3">
        <v>22124</v>
      </c>
      <c r="N8" s="3">
        <v>22127</v>
      </c>
      <c r="O8" s="3" t="s">
        <v>66</v>
      </c>
      <c r="P8" s="3">
        <v>22167</v>
      </c>
      <c r="Q8" s="3">
        <v>22166</v>
      </c>
      <c r="R8" s="3">
        <v>22165</v>
      </c>
      <c r="S8" s="3"/>
      <c r="T8" s="3"/>
      <c r="U8" s="3">
        <v>33202</v>
      </c>
      <c r="V8" s="3">
        <v>33201</v>
      </c>
      <c r="W8" s="3">
        <v>33201</v>
      </c>
      <c r="X8" s="3">
        <v>198</v>
      </c>
      <c r="Y8" s="3" t="s">
        <v>66</v>
      </c>
      <c r="Z8" s="3">
        <v>66</v>
      </c>
      <c r="AA8" s="3">
        <v>66</v>
      </c>
      <c r="AB8" s="3">
        <v>66</v>
      </c>
      <c r="AC8" s="3" t="s">
        <v>66</v>
      </c>
      <c r="AD8" s="3" t="s">
        <v>66</v>
      </c>
      <c r="AE8" s="3">
        <v>22071</v>
      </c>
      <c r="AF8" s="3">
        <v>22070</v>
      </c>
      <c r="AG8" s="3">
        <v>22068</v>
      </c>
      <c r="AJ8" s="3">
        <v>500</v>
      </c>
      <c r="AK8" s="3">
        <v>250</v>
      </c>
      <c r="AL8" s="3">
        <v>250</v>
      </c>
      <c r="AO8" s="3">
        <v>22011</v>
      </c>
      <c r="AP8" s="3">
        <v>22010</v>
      </c>
      <c r="AQ8" s="3">
        <v>22008</v>
      </c>
      <c r="AT8" s="3">
        <v>500</v>
      </c>
      <c r="AU8" s="3">
        <v>250</v>
      </c>
      <c r="AV8" s="3">
        <v>250</v>
      </c>
      <c r="AY8" s="3">
        <v>22167</v>
      </c>
      <c r="AZ8" s="3">
        <v>22166</v>
      </c>
      <c r="BA8" s="3">
        <v>22165</v>
      </c>
      <c r="BB8" s="3">
        <v>22168</v>
      </c>
      <c r="BC8" s="3" t="s">
        <v>66</v>
      </c>
      <c r="BD8" s="3">
        <v>50</v>
      </c>
      <c r="BE8" s="3">
        <v>25</v>
      </c>
      <c r="BF8" s="3">
        <v>25</v>
      </c>
      <c r="BG8" s="3">
        <v>10</v>
      </c>
      <c r="BH8" s="3"/>
      <c r="BI8" s="23" t="s">
        <v>64</v>
      </c>
      <c r="BJ8" s="13">
        <v>0</v>
      </c>
      <c r="BK8" s="3" t="s">
        <v>75</v>
      </c>
      <c r="BL8" s="24" t="s">
        <v>76</v>
      </c>
    </row>
    <row r="9" s="3" customFormat="1" spans="1:64">
      <c r="A9" s="3">
        <v>106</v>
      </c>
      <c r="B9" s="12">
        <v>40</v>
      </c>
      <c r="C9" s="13">
        <v>42</v>
      </c>
      <c r="D9" s="3" t="s">
        <v>64</v>
      </c>
      <c r="E9" s="3">
        <v>9900</v>
      </c>
      <c r="F9" s="14">
        <v>100</v>
      </c>
      <c r="G9" s="15">
        <v>0</v>
      </c>
      <c r="H9" s="3" t="s">
        <v>64</v>
      </c>
      <c r="I9" s="3">
        <v>0</v>
      </c>
      <c r="J9" s="3" t="s">
        <v>64</v>
      </c>
      <c r="K9" s="3">
        <v>22128</v>
      </c>
      <c r="L9" s="3" t="s">
        <v>66</v>
      </c>
      <c r="M9" s="3" t="s">
        <v>66</v>
      </c>
      <c r="N9" s="3">
        <v>22131</v>
      </c>
      <c r="O9" s="3" t="s">
        <v>66</v>
      </c>
      <c r="P9" s="3">
        <v>22169</v>
      </c>
      <c r="Q9" s="3" t="s">
        <v>66</v>
      </c>
      <c r="R9" s="3" t="s">
        <v>66</v>
      </c>
      <c r="S9" s="3"/>
      <c r="T9" s="3"/>
      <c r="U9" s="3">
        <v>99604</v>
      </c>
      <c r="V9" s="3" t="s">
        <v>66</v>
      </c>
      <c r="W9" s="3" t="s">
        <v>66</v>
      </c>
      <c r="X9" s="3">
        <v>198</v>
      </c>
      <c r="Y9" s="3" t="s">
        <v>66</v>
      </c>
      <c r="Z9" s="3">
        <v>198</v>
      </c>
      <c r="AA9" s="3" t="s">
        <v>66</v>
      </c>
      <c r="AB9" s="3" t="s">
        <v>66</v>
      </c>
      <c r="AC9" s="3" t="s">
        <v>66</v>
      </c>
      <c r="AD9" s="3" t="s">
        <v>66</v>
      </c>
      <c r="AE9" s="3">
        <v>22072</v>
      </c>
      <c r="AF9" s="3" t="s">
        <v>66</v>
      </c>
      <c r="AG9" s="3" t="s">
        <v>66</v>
      </c>
      <c r="AJ9" s="3">
        <v>1000</v>
      </c>
      <c r="AO9" s="3">
        <v>22012</v>
      </c>
      <c r="AP9" s="3" t="s">
        <v>66</v>
      </c>
      <c r="AQ9" s="3" t="s">
        <v>66</v>
      </c>
      <c r="AT9" s="3">
        <v>1000</v>
      </c>
      <c r="AY9" s="3">
        <v>22169</v>
      </c>
      <c r="AZ9" s="3" t="s">
        <v>66</v>
      </c>
      <c r="BA9" s="3" t="s">
        <v>66</v>
      </c>
      <c r="BB9" s="3">
        <v>22172</v>
      </c>
      <c r="BC9" s="3" t="s">
        <v>66</v>
      </c>
      <c r="BD9" s="3">
        <v>50</v>
      </c>
      <c r="BE9" s="3">
        <v>50</v>
      </c>
      <c r="BF9" s="3"/>
      <c r="BG9" s="3">
        <v>10</v>
      </c>
      <c r="BH9" s="3"/>
      <c r="BI9" s="23" t="s">
        <v>64</v>
      </c>
      <c r="BJ9" s="13">
        <v>0</v>
      </c>
      <c r="BK9" s="3" t="s">
        <v>77</v>
      </c>
      <c r="BL9" s="24" t="s">
        <v>78</v>
      </c>
    </row>
    <row r="10" s="3" customFormat="1" spans="1:64">
      <c r="A10" s="3">
        <v>107</v>
      </c>
      <c r="B10" s="12">
        <v>43</v>
      </c>
      <c r="C10" s="13">
        <v>45</v>
      </c>
      <c r="D10" s="3" t="s">
        <v>64</v>
      </c>
      <c r="E10" s="3">
        <v>9900</v>
      </c>
      <c r="F10" s="14">
        <v>100</v>
      </c>
      <c r="G10" s="15">
        <v>0</v>
      </c>
      <c r="H10" s="3" t="s">
        <v>64</v>
      </c>
      <c r="I10" s="3">
        <v>0</v>
      </c>
      <c r="J10" s="3" t="s">
        <v>64</v>
      </c>
      <c r="K10" s="3">
        <v>22129</v>
      </c>
      <c r="L10" s="3">
        <v>22128</v>
      </c>
      <c r="M10" s="3" t="s">
        <v>66</v>
      </c>
      <c r="N10" s="3">
        <v>22131</v>
      </c>
      <c r="O10" s="3" t="s">
        <v>66</v>
      </c>
      <c r="P10" s="3">
        <v>22170</v>
      </c>
      <c r="Q10" s="3">
        <v>22169</v>
      </c>
      <c r="R10" s="3" t="s">
        <v>66</v>
      </c>
      <c r="S10" s="3"/>
      <c r="T10" s="3"/>
      <c r="U10" s="3">
        <v>49802</v>
      </c>
      <c r="V10" s="3">
        <v>49802</v>
      </c>
      <c r="W10" s="3" t="s">
        <v>66</v>
      </c>
      <c r="X10" s="3">
        <v>198</v>
      </c>
      <c r="Y10" s="3" t="s">
        <v>66</v>
      </c>
      <c r="Z10" s="3">
        <v>99</v>
      </c>
      <c r="AA10" s="3">
        <v>99</v>
      </c>
      <c r="AB10" s="3" t="s">
        <v>66</v>
      </c>
      <c r="AC10" s="3" t="s">
        <v>66</v>
      </c>
      <c r="AD10" s="3" t="s">
        <v>66</v>
      </c>
      <c r="AE10" s="3">
        <v>22075</v>
      </c>
      <c r="AF10" s="3">
        <v>22073</v>
      </c>
      <c r="AG10" s="3" t="s">
        <v>66</v>
      </c>
      <c r="AJ10" s="3">
        <v>500</v>
      </c>
      <c r="AK10" s="3">
        <v>500</v>
      </c>
      <c r="AO10" s="3">
        <v>22015</v>
      </c>
      <c r="AP10" s="3">
        <v>22013</v>
      </c>
      <c r="AQ10" s="3" t="s">
        <v>66</v>
      </c>
      <c r="AT10" s="3">
        <v>500</v>
      </c>
      <c r="AU10" s="3">
        <v>500</v>
      </c>
      <c r="AY10" s="3">
        <v>22170</v>
      </c>
      <c r="AZ10" s="3">
        <v>22169</v>
      </c>
      <c r="BA10" s="3" t="s">
        <v>66</v>
      </c>
      <c r="BB10" s="3">
        <v>22172</v>
      </c>
      <c r="BC10" s="3" t="s">
        <v>66</v>
      </c>
      <c r="BD10" s="3">
        <v>50</v>
      </c>
      <c r="BE10" s="3">
        <v>50</v>
      </c>
      <c r="BF10" s="3"/>
      <c r="BG10" s="3">
        <v>10</v>
      </c>
      <c r="BH10" s="3"/>
      <c r="BI10" s="23" t="s">
        <v>64</v>
      </c>
      <c r="BJ10" s="13">
        <v>0</v>
      </c>
      <c r="BK10" s="3" t="s">
        <v>77</v>
      </c>
      <c r="BL10" s="24" t="s">
        <v>79</v>
      </c>
    </row>
    <row r="11" s="3" customFormat="1" spans="1:64">
      <c r="A11" s="3">
        <v>108</v>
      </c>
      <c r="B11" s="12">
        <v>46</v>
      </c>
      <c r="C11" s="13">
        <v>49</v>
      </c>
      <c r="D11" s="3" t="s">
        <v>64</v>
      </c>
      <c r="E11" s="3">
        <v>9900</v>
      </c>
      <c r="F11" s="14">
        <v>100</v>
      </c>
      <c r="G11" s="15">
        <v>0</v>
      </c>
      <c r="H11" s="3" t="s">
        <v>64</v>
      </c>
      <c r="I11" s="3">
        <v>0</v>
      </c>
      <c r="J11" s="3" t="s">
        <v>64</v>
      </c>
      <c r="K11" s="3">
        <v>22130</v>
      </c>
      <c r="L11" s="3">
        <v>22129</v>
      </c>
      <c r="M11" s="3">
        <v>22128</v>
      </c>
      <c r="N11" s="3">
        <v>22131</v>
      </c>
      <c r="O11" s="3" t="s">
        <v>66</v>
      </c>
      <c r="P11" s="3">
        <v>22171</v>
      </c>
      <c r="Q11" s="3">
        <v>22170</v>
      </c>
      <c r="R11" s="3">
        <v>22169</v>
      </c>
      <c r="S11" s="3"/>
      <c r="T11" s="3"/>
      <c r="U11" s="3">
        <v>33202</v>
      </c>
      <c r="V11" s="3">
        <v>33201</v>
      </c>
      <c r="W11" s="3">
        <v>33201</v>
      </c>
      <c r="X11" s="3">
        <v>198</v>
      </c>
      <c r="Y11" s="3" t="s">
        <v>66</v>
      </c>
      <c r="Z11" s="3">
        <v>66</v>
      </c>
      <c r="AA11" s="3">
        <v>66</v>
      </c>
      <c r="AB11" s="3">
        <v>66</v>
      </c>
      <c r="AC11" s="3" t="s">
        <v>66</v>
      </c>
      <c r="AD11" s="3" t="s">
        <v>66</v>
      </c>
      <c r="AE11" s="3">
        <v>22077</v>
      </c>
      <c r="AF11" s="3">
        <v>22076</v>
      </c>
      <c r="AG11" s="3">
        <v>22074</v>
      </c>
      <c r="AJ11" s="3">
        <v>500</v>
      </c>
      <c r="AK11" s="3">
        <v>250</v>
      </c>
      <c r="AL11" s="3">
        <v>250</v>
      </c>
      <c r="AO11" s="3">
        <v>22017</v>
      </c>
      <c r="AP11" s="3">
        <v>22016</v>
      </c>
      <c r="AQ11" s="3">
        <v>22014</v>
      </c>
      <c r="AT11" s="3">
        <v>500</v>
      </c>
      <c r="AU11" s="3">
        <v>250</v>
      </c>
      <c r="AV11" s="3">
        <v>250</v>
      </c>
      <c r="AY11" s="3">
        <v>22171</v>
      </c>
      <c r="AZ11" s="3">
        <v>22170</v>
      </c>
      <c r="BA11" s="3">
        <v>22169</v>
      </c>
      <c r="BB11" s="3">
        <v>22172</v>
      </c>
      <c r="BC11" s="3" t="s">
        <v>66</v>
      </c>
      <c r="BD11" s="3">
        <v>50</v>
      </c>
      <c r="BE11" s="3">
        <v>25</v>
      </c>
      <c r="BF11" s="3">
        <v>25</v>
      </c>
      <c r="BG11" s="3">
        <v>10</v>
      </c>
      <c r="BH11" s="3"/>
      <c r="BI11" s="23" t="s">
        <v>64</v>
      </c>
      <c r="BJ11" s="13">
        <v>0</v>
      </c>
      <c r="BK11" s="3" t="s">
        <v>80</v>
      </c>
      <c r="BL11" s="24" t="s">
        <v>81</v>
      </c>
    </row>
    <row r="12" s="3" customFormat="1" spans="1:64">
      <c r="A12" s="3">
        <v>109</v>
      </c>
      <c r="B12" s="12">
        <v>50</v>
      </c>
      <c r="C12" s="13">
        <v>52</v>
      </c>
      <c r="D12" s="3" t="s">
        <v>64</v>
      </c>
      <c r="E12" s="3">
        <v>9900</v>
      </c>
      <c r="F12" s="14">
        <v>100</v>
      </c>
      <c r="G12" s="15">
        <v>0</v>
      </c>
      <c r="H12" s="3" t="s">
        <v>64</v>
      </c>
      <c r="I12" s="3">
        <v>0</v>
      </c>
      <c r="J12" s="3" t="s">
        <v>64</v>
      </c>
      <c r="K12" s="3">
        <v>22132</v>
      </c>
      <c r="L12" s="3" t="s">
        <v>66</v>
      </c>
      <c r="M12" s="3" t="s">
        <v>66</v>
      </c>
      <c r="N12" s="3">
        <v>22135</v>
      </c>
      <c r="O12" s="3" t="s">
        <v>66</v>
      </c>
      <c r="P12" s="3">
        <v>22173</v>
      </c>
      <c r="Q12" s="3" t="s">
        <v>66</v>
      </c>
      <c r="R12" s="3" t="s">
        <v>66</v>
      </c>
      <c r="S12" s="3"/>
      <c r="T12" s="3"/>
      <c r="U12" s="3">
        <v>99604</v>
      </c>
      <c r="V12" s="3" t="s">
        <v>66</v>
      </c>
      <c r="W12" s="3" t="s">
        <v>66</v>
      </c>
      <c r="X12" s="3">
        <v>198</v>
      </c>
      <c r="Y12" s="3" t="s">
        <v>66</v>
      </c>
      <c r="Z12" s="3">
        <v>198</v>
      </c>
      <c r="AA12" s="3" t="s">
        <v>66</v>
      </c>
      <c r="AB12" s="3" t="s">
        <v>66</v>
      </c>
      <c r="AC12" s="3" t="s">
        <v>66</v>
      </c>
      <c r="AD12" s="3" t="s">
        <v>66</v>
      </c>
      <c r="AE12" s="3">
        <v>22078</v>
      </c>
      <c r="AF12" s="3" t="s">
        <v>66</v>
      </c>
      <c r="AG12" s="3" t="s">
        <v>66</v>
      </c>
      <c r="AJ12" s="3">
        <v>1000</v>
      </c>
      <c r="AO12" s="3">
        <v>22018</v>
      </c>
      <c r="AP12" s="3" t="s">
        <v>66</v>
      </c>
      <c r="AQ12" s="3" t="s">
        <v>66</v>
      </c>
      <c r="AT12" s="3">
        <v>1000</v>
      </c>
      <c r="AY12" s="3">
        <v>22173</v>
      </c>
      <c r="AZ12" s="3" t="s">
        <v>66</v>
      </c>
      <c r="BA12" s="3" t="s">
        <v>66</v>
      </c>
      <c r="BB12" s="3">
        <v>22176</v>
      </c>
      <c r="BC12" s="3" t="s">
        <v>66</v>
      </c>
      <c r="BD12" s="3">
        <v>50</v>
      </c>
      <c r="BE12" s="3">
        <v>50</v>
      </c>
      <c r="BF12" s="3"/>
      <c r="BG12" s="3">
        <v>10</v>
      </c>
      <c r="BH12" s="3"/>
      <c r="BI12" s="23" t="s">
        <v>64</v>
      </c>
      <c r="BJ12" s="13">
        <v>0</v>
      </c>
      <c r="BK12" s="3" t="s">
        <v>72</v>
      </c>
      <c r="BL12" s="24" t="s">
        <v>82</v>
      </c>
    </row>
    <row r="13" s="3" customFormat="1" spans="1:64">
      <c r="A13" s="3">
        <v>110</v>
      </c>
      <c r="B13" s="12">
        <v>53</v>
      </c>
      <c r="C13" s="13">
        <v>55</v>
      </c>
      <c r="D13" s="3" t="s">
        <v>64</v>
      </c>
      <c r="E13" s="3">
        <v>9900</v>
      </c>
      <c r="F13" s="14">
        <v>100</v>
      </c>
      <c r="G13" s="15">
        <v>0</v>
      </c>
      <c r="H13" s="3" t="s">
        <v>64</v>
      </c>
      <c r="I13" s="3">
        <v>0</v>
      </c>
      <c r="J13" s="3" t="s">
        <v>64</v>
      </c>
      <c r="K13" s="3">
        <v>22133</v>
      </c>
      <c r="L13" s="3">
        <v>22132</v>
      </c>
      <c r="M13" s="3" t="s">
        <v>66</v>
      </c>
      <c r="N13" s="3">
        <v>22135</v>
      </c>
      <c r="O13" s="3" t="s">
        <v>66</v>
      </c>
      <c r="P13" s="3">
        <v>22174</v>
      </c>
      <c r="Q13" s="3">
        <v>22173</v>
      </c>
      <c r="R13" s="3" t="s">
        <v>66</v>
      </c>
      <c r="S13" s="3"/>
      <c r="T13" s="3"/>
      <c r="U13" s="3">
        <v>49802</v>
      </c>
      <c r="V13" s="3">
        <v>49802</v>
      </c>
      <c r="W13" s="3" t="s">
        <v>66</v>
      </c>
      <c r="X13" s="3">
        <v>198</v>
      </c>
      <c r="Y13" s="3" t="s">
        <v>66</v>
      </c>
      <c r="Z13" s="3">
        <v>99</v>
      </c>
      <c r="AA13" s="3">
        <v>99</v>
      </c>
      <c r="AB13" s="3" t="s">
        <v>66</v>
      </c>
      <c r="AC13" s="3" t="s">
        <v>66</v>
      </c>
      <c r="AD13" s="3" t="s">
        <v>66</v>
      </c>
      <c r="AE13" s="3">
        <v>22081</v>
      </c>
      <c r="AF13" s="3">
        <v>22079</v>
      </c>
      <c r="AG13" s="3" t="s">
        <v>66</v>
      </c>
      <c r="AJ13" s="3">
        <v>500</v>
      </c>
      <c r="AK13" s="3">
        <v>500</v>
      </c>
      <c r="AO13" s="3">
        <v>22021</v>
      </c>
      <c r="AP13" s="3">
        <v>22019</v>
      </c>
      <c r="AQ13" s="3" t="s">
        <v>66</v>
      </c>
      <c r="AT13" s="3">
        <v>500</v>
      </c>
      <c r="AU13" s="3">
        <v>500</v>
      </c>
      <c r="AY13" s="3">
        <v>22174</v>
      </c>
      <c r="AZ13" s="3">
        <v>22173</v>
      </c>
      <c r="BA13" s="3" t="s">
        <v>66</v>
      </c>
      <c r="BB13" s="3">
        <v>22176</v>
      </c>
      <c r="BC13" s="3" t="s">
        <v>66</v>
      </c>
      <c r="BD13" s="3">
        <v>50</v>
      </c>
      <c r="BE13" s="3">
        <v>50</v>
      </c>
      <c r="BF13" s="3"/>
      <c r="BG13" s="3">
        <v>10</v>
      </c>
      <c r="BH13" s="3"/>
      <c r="BI13" s="23" t="s">
        <v>64</v>
      </c>
      <c r="BJ13" s="13">
        <v>0</v>
      </c>
      <c r="BK13" s="3" t="s">
        <v>72</v>
      </c>
      <c r="BL13" s="24" t="s">
        <v>83</v>
      </c>
    </row>
    <row r="14" s="3" customFormat="1" spans="1:64">
      <c r="A14" s="3">
        <v>111</v>
      </c>
      <c r="B14" s="12">
        <v>56</v>
      </c>
      <c r="C14" s="13">
        <v>59</v>
      </c>
      <c r="D14" s="3" t="s">
        <v>64</v>
      </c>
      <c r="E14" s="3">
        <v>9900</v>
      </c>
      <c r="F14" s="14">
        <v>100</v>
      </c>
      <c r="G14" s="15">
        <v>0</v>
      </c>
      <c r="H14" s="3" t="s">
        <v>64</v>
      </c>
      <c r="I14" s="3">
        <v>0</v>
      </c>
      <c r="J14" s="3" t="s">
        <v>64</v>
      </c>
      <c r="K14" s="3">
        <v>22134</v>
      </c>
      <c r="L14" s="3">
        <v>22133</v>
      </c>
      <c r="M14" s="3">
        <v>22132</v>
      </c>
      <c r="N14" s="3">
        <v>22135</v>
      </c>
      <c r="O14" s="3" t="s">
        <v>66</v>
      </c>
      <c r="P14" s="3">
        <v>22175</v>
      </c>
      <c r="Q14" s="3">
        <v>22174</v>
      </c>
      <c r="R14" s="3">
        <v>22173</v>
      </c>
      <c r="S14" s="3"/>
      <c r="T14" s="3"/>
      <c r="U14" s="3">
        <v>33202</v>
      </c>
      <c r="V14" s="3">
        <v>33201</v>
      </c>
      <c r="W14" s="3">
        <v>33201</v>
      </c>
      <c r="X14" s="3">
        <v>198</v>
      </c>
      <c r="Y14" s="3" t="s">
        <v>66</v>
      </c>
      <c r="Z14" s="3">
        <v>66</v>
      </c>
      <c r="AA14" s="3">
        <v>66</v>
      </c>
      <c r="AB14" s="3">
        <v>66</v>
      </c>
      <c r="AC14" s="3" t="s">
        <v>66</v>
      </c>
      <c r="AD14" s="3" t="s">
        <v>66</v>
      </c>
      <c r="AE14" s="3">
        <v>22083</v>
      </c>
      <c r="AF14" s="3">
        <v>22082</v>
      </c>
      <c r="AG14" s="3">
        <v>22080</v>
      </c>
      <c r="AJ14" s="3">
        <v>500</v>
      </c>
      <c r="AK14" s="3">
        <v>250</v>
      </c>
      <c r="AL14" s="3">
        <v>250</v>
      </c>
      <c r="AO14" s="3">
        <v>22023</v>
      </c>
      <c r="AP14" s="3">
        <v>22022</v>
      </c>
      <c r="AQ14" s="3">
        <v>22020</v>
      </c>
      <c r="AT14" s="3">
        <v>500</v>
      </c>
      <c r="AU14" s="3">
        <v>250</v>
      </c>
      <c r="AV14" s="3">
        <v>250</v>
      </c>
      <c r="AY14" s="3">
        <v>22175</v>
      </c>
      <c r="AZ14" s="3">
        <v>22174</v>
      </c>
      <c r="BA14" s="3">
        <v>22173</v>
      </c>
      <c r="BB14" s="3">
        <v>22176</v>
      </c>
      <c r="BC14" s="3" t="s">
        <v>66</v>
      </c>
      <c r="BD14" s="3">
        <v>50</v>
      </c>
      <c r="BE14" s="3">
        <v>25</v>
      </c>
      <c r="BF14" s="3">
        <v>25</v>
      </c>
      <c r="BG14" s="3">
        <v>10</v>
      </c>
      <c r="BH14" s="3"/>
      <c r="BI14" s="23" t="s">
        <v>64</v>
      </c>
      <c r="BJ14" s="13">
        <v>0</v>
      </c>
      <c r="BK14" s="3" t="s">
        <v>67</v>
      </c>
      <c r="BL14" s="24" t="s">
        <v>84</v>
      </c>
    </row>
    <row r="15" s="3" customFormat="1" spans="1:64">
      <c r="A15" s="3">
        <v>112</v>
      </c>
      <c r="B15" s="12">
        <v>60</v>
      </c>
      <c r="C15" s="13">
        <v>62</v>
      </c>
      <c r="D15" s="3" t="s">
        <v>64</v>
      </c>
      <c r="E15" s="3">
        <v>9900</v>
      </c>
      <c r="F15" s="14">
        <v>100</v>
      </c>
      <c r="G15" s="15">
        <v>0</v>
      </c>
      <c r="H15" s="3" t="s">
        <v>64</v>
      </c>
      <c r="I15" s="3">
        <v>0</v>
      </c>
      <c r="J15" s="3" t="s">
        <v>64</v>
      </c>
      <c r="K15" s="3">
        <v>22136</v>
      </c>
      <c r="L15" s="3" t="s">
        <v>66</v>
      </c>
      <c r="M15" s="3" t="s">
        <v>66</v>
      </c>
      <c r="N15" s="3">
        <v>22139</v>
      </c>
      <c r="O15" s="3">
        <v>22140</v>
      </c>
      <c r="P15" s="3">
        <v>22177</v>
      </c>
      <c r="Q15" s="3" t="s">
        <v>66</v>
      </c>
      <c r="R15" s="3" t="s">
        <v>66</v>
      </c>
      <c r="S15" s="3"/>
      <c r="T15" s="3"/>
      <c r="U15" s="3">
        <v>99604</v>
      </c>
      <c r="V15" s="3" t="s">
        <v>66</v>
      </c>
      <c r="W15" s="3" t="s">
        <v>66</v>
      </c>
      <c r="X15" s="3">
        <v>99</v>
      </c>
      <c r="Y15" s="3">
        <v>99</v>
      </c>
      <c r="Z15" s="3">
        <v>198</v>
      </c>
      <c r="AA15" s="3" t="s">
        <v>66</v>
      </c>
      <c r="AB15" s="3" t="s">
        <v>66</v>
      </c>
      <c r="AC15" s="3" t="s">
        <v>66</v>
      </c>
      <c r="AD15" s="3" t="s">
        <v>66</v>
      </c>
      <c r="AE15" s="3">
        <v>22084</v>
      </c>
      <c r="AF15" s="3" t="s">
        <v>66</v>
      </c>
      <c r="AG15" s="3" t="s">
        <v>66</v>
      </c>
      <c r="AJ15" s="3">
        <v>1000</v>
      </c>
      <c r="AO15" s="3">
        <v>22024</v>
      </c>
      <c r="AP15" s="3" t="s">
        <v>66</v>
      </c>
      <c r="AQ15" s="3" t="s">
        <v>66</v>
      </c>
      <c r="AT15" s="3">
        <v>1000</v>
      </c>
      <c r="AY15" s="3">
        <v>22177</v>
      </c>
      <c r="AZ15" s="3" t="s">
        <v>66</v>
      </c>
      <c r="BA15" s="3" t="s">
        <v>66</v>
      </c>
      <c r="BB15" s="3">
        <v>22180</v>
      </c>
      <c r="BC15" s="3">
        <v>22181</v>
      </c>
      <c r="BD15" s="3">
        <v>50</v>
      </c>
      <c r="BE15" s="3">
        <v>50</v>
      </c>
      <c r="BF15" s="3"/>
      <c r="BG15" s="3">
        <v>10</v>
      </c>
      <c r="BH15" s="3">
        <v>10</v>
      </c>
      <c r="BI15" s="23" t="s">
        <v>64</v>
      </c>
      <c r="BJ15" s="13">
        <v>0</v>
      </c>
      <c r="BK15" s="3" t="s">
        <v>72</v>
      </c>
      <c r="BL15" s="24" t="s">
        <v>85</v>
      </c>
    </row>
    <row r="16" s="3" customFormat="1" spans="1:64">
      <c r="A16" s="3">
        <v>113</v>
      </c>
      <c r="B16" s="12">
        <v>63</v>
      </c>
      <c r="C16" s="13">
        <v>65</v>
      </c>
      <c r="D16" s="3" t="s">
        <v>64</v>
      </c>
      <c r="E16" s="3">
        <v>9900</v>
      </c>
      <c r="F16" s="14">
        <v>100</v>
      </c>
      <c r="G16" s="15">
        <v>0</v>
      </c>
      <c r="H16" s="3" t="s">
        <v>64</v>
      </c>
      <c r="I16" s="3">
        <v>0</v>
      </c>
      <c r="J16" s="3" t="s">
        <v>64</v>
      </c>
      <c r="K16" s="3">
        <v>22137</v>
      </c>
      <c r="L16" s="3">
        <v>22136</v>
      </c>
      <c r="M16" s="3" t="s">
        <v>66</v>
      </c>
      <c r="N16" s="3">
        <v>22139</v>
      </c>
      <c r="O16" s="3">
        <v>22140</v>
      </c>
      <c r="P16" s="3">
        <v>22178</v>
      </c>
      <c r="Q16" s="3">
        <v>22177</v>
      </c>
      <c r="R16" s="3" t="s">
        <v>66</v>
      </c>
      <c r="S16" s="3"/>
      <c r="T16" s="3"/>
      <c r="U16" s="3">
        <v>49802</v>
      </c>
      <c r="V16" s="3">
        <v>49802</v>
      </c>
      <c r="W16" s="3" t="s">
        <v>66</v>
      </c>
      <c r="X16" s="3">
        <v>99</v>
      </c>
      <c r="Y16" s="3">
        <v>99</v>
      </c>
      <c r="Z16" s="3">
        <v>99</v>
      </c>
      <c r="AA16" s="3">
        <v>99</v>
      </c>
      <c r="AB16" s="3" t="s">
        <v>66</v>
      </c>
      <c r="AC16" s="3" t="s">
        <v>66</v>
      </c>
      <c r="AD16" s="3" t="s">
        <v>66</v>
      </c>
      <c r="AE16" s="3">
        <v>22087</v>
      </c>
      <c r="AF16" s="3">
        <v>22085</v>
      </c>
      <c r="AG16" s="3" t="s">
        <v>66</v>
      </c>
      <c r="AJ16" s="3">
        <v>500</v>
      </c>
      <c r="AK16" s="3">
        <v>500</v>
      </c>
      <c r="AO16" s="3">
        <v>22027</v>
      </c>
      <c r="AP16" s="3">
        <v>22025</v>
      </c>
      <c r="AQ16" s="3" t="s">
        <v>66</v>
      </c>
      <c r="AT16" s="3">
        <v>500</v>
      </c>
      <c r="AU16" s="3">
        <v>500</v>
      </c>
      <c r="AY16" s="3">
        <v>22178</v>
      </c>
      <c r="AZ16" s="3">
        <v>22177</v>
      </c>
      <c r="BA16" s="3" t="s">
        <v>66</v>
      </c>
      <c r="BB16" s="3">
        <v>22180</v>
      </c>
      <c r="BC16" s="3">
        <v>22181</v>
      </c>
      <c r="BD16" s="3">
        <v>50</v>
      </c>
      <c r="BE16" s="3">
        <v>50</v>
      </c>
      <c r="BF16" s="3"/>
      <c r="BG16" s="3">
        <v>10</v>
      </c>
      <c r="BH16" s="3">
        <v>10</v>
      </c>
      <c r="BI16" s="23" t="s">
        <v>64</v>
      </c>
      <c r="BJ16" s="13">
        <v>0</v>
      </c>
      <c r="BK16" s="3" t="s">
        <v>72</v>
      </c>
      <c r="BL16" s="24" t="s">
        <v>86</v>
      </c>
    </row>
    <row r="17" s="3" customFormat="1" spans="1:64">
      <c r="A17" s="3">
        <v>114</v>
      </c>
      <c r="B17" s="12">
        <v>66</v>
      </c>
      <c r="C17" s="13">
        <v>69</v>
      </c>
      <c r="D17" s="3" t="s">
        <v>64</v>
      </c>
      <c r="E17" s="3">
        <v>9900</v>
      </c>
      <c r="F17" s="14">
        <v>100</v>
      </c>
      <c r="G17" s="15">
        <v>0</v>
      </c>
      <c r="H17" s="3" t="s">
        <v>64</v>
      </c>
      <c r="I17" s="3">
        <v>0</v>
      </c>
      <c r="J17" s="3" t="s">
        <v>64</v>
      </c>
      <c r="K17" s="3">
        <v>22138</v>
      </c>
      <c r="L17" s="3">
        <v>22137</v>
      </c>
      <c r="M17" s="3">
        <v>22136</v>
      </c>
      <c r="N17" s="3">
        <v>22139</v>
      </c>
      <c r="O17" s="3">
        <v>22140</v>
      </c>
      <c r="P17" s="3">
        <v>22179</v>
      </c>
      <c r="Q17" s="3">
        <v>22178</v>
      </c>
      <c r="R17" s="3">
        <v>22177</v>
      </c>
      <c r="S17" s="3"/>
      <c r="T17" s="3"/>
      <c r="U17" s="3">
        <v>33202</v>
      </c>
      <c r="V17" s="3">
        <v>33201</v>
      </c>
      <c r="W17" s="3">
        <v>33201</v>
      </c>
      <c r="X17" s="3">
        <v>99</v>
      </c>
      <c r="Y17" s="3">
        <v>99</v>
      </c>
      <c r="Z17" s="3">
        <v>66</v>
      </c>
      <c r="AA17" s="3">
        <v>66</v>
      </c>
      <c r="AB17" s="3">
        <v>66</v>
      </c>
      <c r="AC17" s="3" t="s">
        <v>66</v>
      </c>
      <c r="AD17" s="3" t="s">
        <v>66</v>
      </c>
      <c r="AE17" s="3">
        <v>22089</v>
      </c>
      <c r="AF17" s="3">
        <v>22088</v>
      </c>
      <c r="AG17" s="3">
        <v>22086</v>
      </c>
      <c r="AJ17" s="3">
        <v>500</v>
      </c>
      <c r="AK17" s="3">
        <v>250</v>
      </c>
      <c r="AL17" s="3">
        <v>250</v>
      </c>
      <c r="AO17" s="3">
        <v>22029</v>
      </c>
      <c r="AP17" s="3">
        <v>22028</v>
      </c>
      <c r="AQ17" s="3">
        <v>22026</v>
      </c>
      <c r="AT17" s="3">
        <v>500</v>
      </c>
      <c r="AU17" s="3">
        <v>250</v>
      </c>
      <c r="AV17" s="3">
        <v>250</v>
      </c>
      <c r="AY17" s="3">
        <v>22179</v>
      </c>
      <c r="AZ17" s="3">
        <v>22178</v>
      </c>
      <c r="BA17" s="3">
        <v>22177</v>
      </c>
      <c r="BB17" s="3">
        <v>22180</v>
      </c>
      <c r="BC17" s="3">
        <v>22181</v>
      </c>
      <c r="BD17" s="3">
        <v>50</v>
      </c>
      <c r="BE17" s="3">
        <v>25</v>
      </c>
      <c r="BF17" s="3">
        <v>25</v>
      </c>
      <c r="BG17" s="3">
        <v>10</v>
      </c>
      <c r="BH17" s="3">
        <v>10</v>
      </c>
      <c r="BI17" s="23" t="s">
        <v>64</v>
      </c>
      <c r="BJ17" s="13">
        <v>0</v>
      </c>
      <c r="BK17" s="3" t="s">
        <v>72</v>
      </c>
      <c r="BL17" s="24" t="s">
        <v>87</v>
      </c>
    </row>
    <row r="18" s="3" customFormat="1" spans="1:64">
      <c r="A18" s="3">
        <v>115</v>
      </c>
      <c r="B18" s="12">
        <v>70</v>
      </c>
      <c r="C18" s="13">
        <v>71</v>
      </c>
      <c r="D18" s="3" t="s">
        <v>64</v>
      </c>
      <c r="E18" s="3">
        <v>9900</v>
      </c>
      <c r="F18" s="14">
        <v>100</v>
      </c>
      <c r="G18" s="15">
        <v>0</v>
      </c>
      <c r="H18" s="3" t="s">
        <v>64</v>
      </c>
      <c r="I18" s="3">
        <v>0</v>
      </c>
      <c r="J18" s="3" t="s">
        <v>64</v>
      </c>
      <c r="K18" s="3">
        <v>22141</v>
      </c>
      <c r="L18" s="3" t="s">
        <v>66</v>
      </c>
      <c r="M18" s="3" t="s">
        <v>66</v>
      </c>
      <c r="N18" s="3">
        <v>22144</v>
      </c>
      <c r="O18" s="3" t="s">
        <v>66</v>
      </c>
      <c r="P18" s="3">
        <v>22182</v>
      </c>
      <c r="Q18" s="3" t="s">
        <v>66</v>
      </c>
      <c r="R18" s="3" t="s">
        <v>66</v>
      </c>
      <c r="S18" s="3"/>
      <c r="T18" s="3"/>
      <c r="U18" s="3">
        <v>99604</v>
      </c>
      <c r="V18" s="3" t="s">
        <v>66</v>
      </c>
      <c r="W18" s="3" t="s">
        <v>66</v>
      </c>
      <c r="X18" s="3">
        <v>198</v>
      </c>
      <c r="Y18" s="3" t="s">
        <v>66</v>
      </c>
      <c r="Z18" s="3">
        <v>198</v>
      </c>
      <c r="AA18" s="3" t="s">
        <v>66</v>
      </c>
      <c r="AB18" s="3" t="s">
        <v>66</v>
      </c>
      <c r="AC18" s="3" t="s">
        <v>66</v>
      </c>
      <c r="AD18" s="3" t="s">
        <v>66</v>
      </c>
      <c r="AE18" s="3">
        <v>22090</v>
      </c>
      <c r="AF18" s="3" t="s">
        <v>66</v>
      </c>
      <c r="AG18" s="3" t="s">
        <v>66</v>
      </c>
      <c r="AJ18" s="3">
        <v>1000</v>
      </c>
      <c r="AO18" s="3">
        <v>22030</v>
      </c>
      <c r="AP18" s="3" t="s">
        <v>66</v>
      </c>
      <c r="AQ18" s="3" t="s">
        <v>66</v>
      </c>
      <c r="AT18" s="3">
        <v>1000</v>
      </c>
      <c r="AY18" s="3">
        <v>22182</v>
      </c>
      <c r="AZ18" s="3" t="s">
        <v>66</v>
      </c>
      <c r="BA18" s="3" t="s">
        <v>66</v>
      </c>
      <c r="BB18" s="3">
        <v>22185</v>
      </c>
      <c r="BC18" s="3" t="s">
        <v>66</v>
      </c>
      <c r="BD18" s="3">
        <v>50</v>
      </c>
      <c r="BE18" s="3">
        <v>50</v>
      </c>
      <c r="BF18" s="3"/>
      <c r="BG18" s="3">
        <v>10</v>
      </c>
      <c r="BH18" s="3"/>
      <c r="BI18" s="23" t="s">
        <v>64</v>
      </c>
      <c r="BJ18" s="13">
        <v>0</v>
      </c>
      <c r="BK18" s="3" t="s">
        <v>70</v>
      </c>
      <c r="BL18" s="24" t="s">
        <v>88</v>
      </c>
    </row>
    <row r="19" s="3" customFormat="1" spans="1:64">
      <c r="A19" s="3">
        <v>116</v>
      </c>
      <c r="B19" s="12">
        <v>72</v>
      </c>
      <c r="C19" s="13">
        <v>73</v>
      </c>
      <c r="D19" s="3" t="s">
        <v>64</v>
      </c>
      <c r="E19" s="3">
        <v>9900</v>
      </c>
      <c r="F19" s="14">
        <v>100</v>
      </c>
      <c r="G19" s="15">
        <v>0</v>
      </c>
      <c r="H19" s="3" t="s">
        <v>64</v>
      </c>
      <c r="I19" s="3">
        <v>0</v>
      </c>
      <c r="J19" s="3" t="s">
        <v>64</v>
      </c>
      <c r="K19" s="3">
        <v>22142</v>
      </c>
      <c r="L19" s="3">
        <v>22141</v>
      </c>
      <c r="M19" s="3" t="s">
        <v>66</v>
      </c>
      <c r="N19" s="3">
        <v>22144</v>
      </c>
      <c r="O19" s="3" t="s">
        <v>66</v>
      </c>
      <c r="P19" s="3">
        <v>22183</v>
      </c>
      <c r="Q19" s="3">
        <v>22182</v>
      </c>
      <c r="R19" s="3" t="s">
        <v>66</v>
      </c>
      <c r="S19" s="3"/>
      <c r="T19" s="3"/>
      <c r="U19" s="3">
        <v>49802</v>
      </c>
      <c r="V19" s="3">
        <v>49802</v>
      </c>
      <c r="W19" s="3" t="s">
        <v>66</v>
      </c>
      <c r="X19" s="3">
        <v>198</v>
      </c>
      <c r="Y19" s="3" t="s">
        <v>66</v>
      </c>
      <c r="Z19" s="3">
        <v>99</v>
      </c>
      <c r="AA19" s="3">
        <v>99</v>
      </c>
      <c r="AB19" s="3" t="s">
        <v>66</v>
      </c>
      <c r="AC19" s="3" t="s">
        <v>66</v>
      </c>
      <c r="AD19" s="3" t="s">
        <v>66</v>
      </c>
      <c r="AE19" s="3">
        <v>22093</v>
      </c>
      <c r="AF19" s="3">
        <v>22091</v>
      </c>
      <c r="AG19" s="3" t="s">
        <v>66</v>
      </c>
      <c r="AJ19" s="3">
        <v>500</v>
      </c>
      <c r="AK19" s="3">
        <v>500</v>
      </c>
      <c r="AO19" s="3">
        <v>22033</v>
      </c>
      <c r="AP19" s="3">
        <v>22031</v>
      </c>
      <c r="AQ19" s="3" t="s">
        <v>66</v>
      </c>
      <c r="AT19" s="3">
        <v>500</v>
      </c>
      <c r="AU19" s="3">
        <v>500</v>
      </c>
      <c r="AY19" s="3">
        <v>22183</v>
      </c>
      <c r="AZ19" s="3">
        <v>22182</v>
      </c>
      <c r="BA19" s="3" t="s">
        <v>66</v>
      </c>
      <c r="BB19" s="3">
        <v>22185</v>
      </c>
      <c r="BC19" s="3" t="s">
        <v>66</v>
      </c>
      <c r="BD19" s="3">
        <v>50</v>
      </c>
      <c r="BE19" s="3">
        <v>50</v>
      </c>
      <c r="BF19" s="3"/>
      <c r="BG19" s="3">
        <v>10</v>
      </c>
      <c r="BH19" s="3"/>
      <c r="BI19" s="23" t="s">
        <v>64</v>
      </c>
      <c r="BJ19" s="13">
        <v>0</v>
      </c>
      <c r="BK19" s="3" t="s">
        <v>70</v>
      </c>
      <c r="BL19" s="24" t="s">
        <v>89</v>
      </c>
    </row>
    <row r="20" s="3" customFormat="1" spans="1:64">
      <c r="A20" s="3">
        <v>117</v>
      </c>
      <c r="B20" s="12">
        <v>74</v>
      </c>
      <c r="C20" s="13">
        <v>75</v>
      </c>
      <c r="D20" s="3" t="s">
        <v>64</v>
      </c>
      <c r="E20" s="3">
        <v>9900</v>
      </c>
      <c r="F20" s="14">
        <v>100</v>
      </c>
      <c r="G20" s="15">
        <v>0</v>
      </c>
      <c r="H20" s="3" t="s">
        <v>64</v>
      </c>
      <c r="I20" s="3">
        <v>0</v>
      </c>
      <c r="J20" s="3" t="s">
        <v>64</v>
      </c>
      <c r="K20" s="3">
        <v>22143</v>
      </c>
      <c r="L20" s="3">
        <v>22142</v>
      </c>
      <c r="M20" s="3">
        <v>22141</v>
      </c>
      <c r="N20" s="3">
        <v>22144</v>
      </c>
      <c r="O20" s="3" t="s">
        <v>66</v>
      </c>
      <c r="P20" s="3">
        <v>22184</v>
      </c>
      <c r="Q20" s="3">
        <v>22183</v>
      </c>
      <c r="R20" s="3">
        <v>22182</v>
      </c>
      <c r="S20" s="3"/>
      <c r="T20" s="3"/>
      <c r="U20" s="3">
        <v>33202</v>
      </c>
      <c r="V20" s="3">
        <v>33201</v>
      </c>
      <c r="W20" s="3">
        <v>33201</v>
      </c>
      <c r="X20" s="3">
        <v>198</v>
      </c>
      <c r="Y20" s="3" t="s">
        <v>66</v>
      </c>
      <c r="Z20" s="3">
        <v>66</v>
      </c>
      <c r="AA20" s="3">
        <v>66</v>
      </c>
      <c r="AB20" s="3">
        <v>66</v>
      </c>
      <c r="AC20" s="3" t="s">
        <v>66</v>
      </c>
      <c r="AD20" s="3" t="s">
        <v>66</v>
      </c>
      <c r="AE20" s="3">
        <v>22095</v>
      </c>
      <c r="AF20" s="3">
        <v>22094</v>
      </c>
      <c r="AG20" s="3">
        <v>22092</v>
      </c>
      <c r="AJ20" s="3">
        <v>500</v>
      </c>
      <c r="AK20" s="3">
        <v>250</v>
      </c>
      <c r="AL20" s="3">
        <v>250</v>
      </c>
      <c r="AO20" s="3">
        <v>22035</v>
      </c>
      <c r="AP20" s="3">
        <v>22034</v>
      </c>
      <c r="AQ20" s="3">
        <v>22032</v>
      </c>
      <c r="AT20" s="3">
        <v>500</v>
      </c>
      <c r="AU20" s="3">
        <v>250</v>
      </c>
      <c r="AV20" s="3">
        <v>250</v>
      </c>
      <c r="AY20" s="3">
        <v>22184</v>
      </c>
      <c r="AZ20" s="3">
        <v>22183</v>
      </c>
      <c r="BA20" s="3">
        <v>22182</v>
      </c>
      <c r="BB20" s="3">
        <v>22185</v>
      </c>
      <c r="BC20" s="3" t="s">
        <v>66</v>
      </c>
      <c r="BD20" s="3">
        <v>50</v>
      </c>
      <c r="BE20" s="3">
        <v>25</v>
      </c>
      <c r="BF20" s="3">
        <v>25</v>
      </c>
      <c r="BG20" s="3">
        <v>10</v>
      </c>
      <c r="BH20" s="3"/>
      <c r="BI20" s="23" t="s">
        <v>64</v>
      </c>
      <c r="BJ20" s="13">
        <v>0</v>
      </c>
      <c r="BK20" s="3" t="s">
        <v>77</v>
      </c>
      <c r="BL20" s="24" t="s">
        <v>90</v>
      </c>
    </row>
    <row r="21" s="3" customFormat="1" spans="1:64">
      <c r="A21" s="3">
        <v>118</v>
      </c>
      <c r="B21" s="12">
        <v>76</v>
      </c>
      <c r="C21" s="13">
        <v>77</v>
      </c>
      <c r="D21" s="3" t="s">
        <v>64</v>
      </c>
      <c r="E21" s="3">
        <v>9900</v>
      </c>
      <c r="F21" s="14">
        <v>100</v>
      </c>
      <c r="G21" s="15">
        <v>0</v>
      </c>
      <c r="H21" s="3" t="s">
        <v>64</v>
      </c>
      <c r="I21" s="3">
        <v>0</v>
      </c>
      <c r="J21" s="3" t="s">
        <v>64</v>
      </c>
      <c r="K21" s="3">
        <v>22145</v>
      </c>
      <c r="L21" s="3" t="s">
        <v>66</v>
      </c>
      <c r="M21" s="3" t="s">
        <v>66</v>
      </c>
      <c r="N21" s="3">
        <v>22148</v>
      </c>
      <c r="O21" s="3" t="s">
        <v>66</v>
      </c>
      <c r="P21" s="3">
        <v>22186</v>
      </c>
      <c r="Q21" s="3" t="s">
        <v>66</v>
      </c>
      <c r="R21" s="3" t="s">
        <v>66</v>
      </c>
      <c r="S21" s="3"/>
      <c r="T21" s="3"/>
      <c r="U21" s="3">
        <v>99604</v>
      </c>
      <c r="V21" s="3" t="s">
        <v>66</v>
      </c>
      <c r="W21" s="3" t="s">
        <v>66</v>
      </c>
      <c r="X21" s="3">
        <v>198</v>
      </c>
      <c r="Y21" s="3" t="s">
        <v>66</v>
      </c>
      <c r="Z21" s="3">
        <v>198</v>
      </c>
      <c r="AA21" s="3" t="s">
        <v>66</v>
      </c>
      <c r="AB21" s="3" t="s">
        <v>66</v>
      </c>
      <c r="AC21" s="3" t="s">
        <v>66</v>
      </c>
      <c r="AD21" s="3" t="s">
        <v>66</v>
      </c>
      <c r="AE21" s="3">
        <v>22096</v>
      </c>
      <c r="AF21" s="3" t="s">
        <v>66</v>
      </c>
      <c r="AG21" s="3" t="s">
        <v>66</v>
      </c>
      <c r="AJ21" s="3">
        <v>1000</v>
      </c>
      <c r="AO21" s="3">
        <v>22036</v>
      </c>
      <c r="AP21" s="3" t="s">
        <v>66</v>
      </c>
      <c r="AQ21" s="3" t="s">
        <v>66</v>
      </c>
      <c r="AT21" s="3">
        <v>1000</v>
      </c>
      <c r="AY21" s="3">
        <v>22186</v>
      </c>
      <c r="AZ21" s="3" t="s">
        <v>66</v>
      </c>
      <c r="BA21" s="3" t="s">
        <v>66</v>
      </c>
      <c r="BB21" s="3">
        <v>22189</v>
      </c>
      <c r="BC21" s="3" t="s">
        <v>66</v>
      </c>
      <c r="BD21" s="3">
        <v>50</v>
      </c>
      <c r="BE21" s="3">
        <v>50</v>
      </c>
      <c r="BF21" s="3"/>
      <c r="BG21" s="3">
        <v>10</v>
      </c>
      <c r="BH21" s="3"/>
      <c r="BI21" s="23" t="s">
        <v>64</v>
      </c>
      <c r="BJ21" s="13">
        <v>0</v>
      </c>
      <c r="BK21" s="3" t="s">
        <v>80</v>
      </c>
      <c r="BL21" s="24" t="s">
        <v>91</v>
      </c>
    </row>
    <row r="22" s="3" customFormat="1" spans="1:64">
      <c r="A22" s="3">
        <v>119</v>
      </c>
      <c r="B22" s="12">
        <v>78</v>
      </c>
      <c r="C22" s="13">
        <v>79</v>
      </c>
      <c r="D22" s="3" t="s">
        <v>64</v>
      </c>
      <c r="E22" s="3">
        <v>9900</v>
      </c>
      <c r="F22" s="14">
        <v>100</v>
      </c>
      <c r="G22" s="15">
        <v>0</v>
      </c>
      <c r="H22" s="3" t="s">
        <v>64</v>
      </c>
      <c r="I22" s="3">
        <v>0</v>
      </c>
      <c r="J22" s="3" t="s">
        <v>64</v>
      </c>
      <c r="K22" s="3">
        <v>22146</v>
      </c>
      <c r="L22" s="3">
        <v>22145</v>
      </c>
      <c r="M22" s="3" t="s">
        <v>66</v>
      </c>
      <c r="N22" s="3">
        <v>22148</v>
      </c>
      <c r="O22" s="3" t="s">
        <v>66</v>
      </c>
      <c r="P22" s="3">
        <v>22187</v>
      </c>
      <c r="Q22" s="3">
        <v>22186</v>
      </c>
      <c r="R22" s="3" t="s">
        <v>66</v>
      </c>
      <c r="S22" s="3"/>
      <c r="T22" s="3"/>
      <c r="U22" s="3">
        <v>49802</v>
      </c>
      <c r="V22" s="3">
        <v>49802</v>
      </c>
      <c r="W22" s="3" t="s">
        <v>66</v>
      </c>
      <c r="X22" s="3">
        <v>198</v>
      </c>
      <c r="Y22" s="3" t="s">
        <v>66</v>
      </c>
      <c r="Z22" s="3">
        <v>99</v>
      </c>
      <c r="AA22" s="3">
        <v>99</v>
      </c>
      <c r="AB22" s="3" t="s">
        <v>66</v>
      </c>
      <c r="AC22" s="3" t="s">
        <v>66</v>
      </c>
      <c r="AD22" s="3" t="s">
        <v>66</v>
      </c>
      <c r="AE22" s="3">
        <v>22099</v>
      </c>
      <c r="AF22" s="3">
        <v>22097</v>
      </c>
      <c r="AG22" s="3" t="s">
        <v>66</v>
      </c>
      <c r="AJ22" s="3">
        <v>500</v>
      </c>
      <c r="AK22" s="3">
        <v>500</v>
      </c>
      <c r="AO22" s="3">
        <v>22039</v>
      </c>
      <c r="AP22" s="3">
        <v>22037</v>
      </c>
      <c r="AQ22" s="3" t="s">
        <v>66</v>
      </c>
      <c r="AT22" s="3">
        <v>500</v>
      </c>
      <c r="AU22" s="3">
        <v>500</v>
      </c>
      <c r="AY22" s="3">
        <v>22187</v>
      </c>
      <c r="AZ22" s="3">
        <v>22186</v>
      </c>
      <c r="BA22" s="3" t="s">
        <v>66</v>
      </c>
      <c r="BB22" s="3">
        <v>22189</v>
      </c>
      <c r="BC22" s="3" t="s">
        <v>66</v>
      </c>
      <c r="BD22" s="3">
        <v>50</v>
      </c>
      <c r="BE22" s="3">
        <v>50</v>
      </c>
      <c r="BF22" s="3"/>
      <c r="BG22" s="3">
        <v>10</v>
      </c>
      <c r="BH22" s="3"/>
      <c r="BI22" s="23" t="s">
        <v>64</v>
      </c>
      <c r="BJ22" s="13">
        <v>0</v>
      </c>
      <c r="BK22" s="3" t="s">
        <v>80</v>
      </c>
      <c r="BL22" s="24" t="s">
        <v>92</v>
      </c>
    </row>
    <row r="23" s="3" customFormat="1" spans="1:64">
      <c r="A23" s="3">
        <v>120</v>
      </c>
      <c r="B23" s="12">
        <v>80</v>
      </c>
      <c r="C23" s="13">
        <v>81</v>
      </c>
      <c r="D23" s="3" t="s">
        <v>64</v>
      </c>
      <c r="E23" s="3">
        <v>9900</v>
      </c>
      <c r="F23" s="14">
        <v>100</v>
      </c>
      <c r="G23" s="15">
        <v>0</v>
      </c>
      <c r="H23" s="3" t="s">
        <v>64</v>
      </c>
      <c r="I23" s="3">
        <v>0</v>
      </c>
      <c r="J23" s="3" t="s">
        <v>64</v>
      </c>
      <c r="K23" s="3">
        <v>22147</v>
      </c>
      <c r="L23" s="3">
        <v>22146</v>
      </c>
      <c r="M23" s="3">
        <v>22145</v>
      </c>
      <c r="N23" s="3">
        <v>22148</v>
      </c>
      <c r="O23" s="3" t="s">
        <v>66</v>
      </c>
      <c r="P23" s="3">
        <v>22188</v>
      </c>
      <c r="Q23" s="3">
        <v>22187</v>
      </c>
      <c r="R23" s="3">
        <v>22186</v>
      </c>
      <c r="S23" s="3"/>
      <c r="T23" s="3"/>
      <c r="U23" s="3">
        <v>33202</v>
      </c>
      <c r="V23" s="3">
        <v>33201</v>
      </c>
      <c r="W23" s="3">
        <v>33201</v>
      </c>
      <c r="X23" s="3">
        <v>198</v>
      </c>
      <c r="Y23" s="3" t="s">
        <v>66</v>
      </c>
      <c r="Z23" s="3">
        <v>66</v>
      </c>
      <c r="AA23" s="3">
        <v>66</v>
      </c>
      <c r="AB23" s="3">
        <v>66</v>
      </c>
      <c r="AC23" s="3" t="s">
        <v>66</v>
      </c>
      <c r="AD23" s="3" t="s">
        <v>66</v>
      </c>
      <c r="AE23" s="3">
        <v>22101</v>
      </c>
      <c r="AF23" s="3">
        <v>22100</v>
      </c>
      <c r="AG23" s="3">
        <v>22098</v>
      </c>
      <c r="AJ23" s="3">
        <v>500</v>
      </c>
      <c r="AK23" s="3">
        <v>250</v>
      </c>
      <c r="AL23" s="3">
        <v>250</v>
      </c>
      <c r="AO23" s="3">
        <v>22041</v>
      </c>
      <c r="AP23" s="3">
        <v>22040</v>
      </c>
      <c r="AQ23" s="3">
        <v>22038</v>
      </c>
      <c r="AT23" s="3">
        <v>500</v>
      </c>
      <c r="AU23" s="3">
        <v>250</v>
      </c>
      <c r="AV23" s="3">
        <v>250</v>
      </c>
      <c r="AY23" s="3">
        <v>22188</v>
      </c>
      <c r="AZ23" s="3">
        <v>22187</v>
      </c>
      <c r="BA23" s="3">
        <v>22186</v>
      </c>
      <c r="BB23" s="3">
        <v>22189</v>
      </c>
      <c r="BC23" s="3" t="s">
        <v>66</v>
      </c>
      <c r="BD23" s="3">
        <v>50</v>
      </c>
      <c r="BE23" s="3">
        <v>25</v>
      </c>
      <c r="BF23" s="3">
        <v>25</v>
      </c>
      <c r="BG23" s="3">
        <v>10</v>
      </c>
      <c r="BH23" s="3"/>
      <c r="BI23" s="23" t="s">
        <v>64</v>
      </c>
      <c r="BJ23" s="13">
        <v>0</v>
      </c>
      <c r="BK23" s="3" t="s">
        <v>93</v>
      </c>
      <c r="BL23" s="24" t="s">
        <v>94</v>
      </c>
    </row>
    <row r="24" s="3" customFormat="1" spans="1:64">
      <c r="A24" s="3">
        <v>121</v>
      </c>
      <c r="B24" s="12">
        <v>82</v>
      </c>
      <c r="C24" s="13">
        <v>83</v>
      </c>
      <c r="D24" s="3" t="s">
        <v>64</v>
      </c>
      <c r="E24" s="3">
        <v>9900</v>
      </c>
      <c r="F24" s="14">
        <v>100</v>
      </c>
      <c r="G24" s="15">
        <v>0</v>
      </c>
      <c r="H24" s="3" t="s">
        <v>64</v>
      </c>
      <c r="I24" s="3">
        <v>0</v>
      </c>
      <c r="J24" s="3" t="s">
        <v>64</v>
      </c>
      <c r="K24" s="3">
        <v>22149</v>
      </c>
      <c r="L24" s="3" t="s">
        <v>66</v>
      </c>
      <c r="M24" s="3" t="s">
        <v>66</v>
      </c>
      <c r="N24" s="3">
        <v>22152</v>
      </c>
      <c r="O24" s="3" t="s">
        <v>66</v>
      </c>
      <c r="P24" s="3">
        <v>22190</v>
      </c>
      <c r="Q24" s="3" t="s">
        <v>66</v>
      </c>
      <c r="R24" s="3" t="s">
        <v>66</v>
      </c>
      <c r="S24" s="3"/>
      <c r="T24" s="3"/>
      <c r="U24" s="3">
        <v>99604</v>
      </c>
      <c r="V24" s="3" t="s">
        <v>66</v>
      </c>
      <c r="W24" s="3" t="s">
        <v>66</v>
      </c>
      <c r="X24" s="3">
        <v>198</v>
      </c>
      <c r="Y24" s="3" t="s">
        <v>66</v>
      </c>
      <c r="Z24" s="3">
        <v>198</v>
      </c>
      <c r="AA24" s="3" t="s">
        <v>66</v>
      </c>
      <c r="AB24" s="3" t="s">
        <v>66</v>
      </c>
      <c r="AC24" s="3" t="s">
        <v>66</v>
      </c>
      <c r="AD24" s="3" t="s">
        <v>66</v>
      </c>
      <c r="AE24" s="3">
        <v>22102</v>
      </c>
      <c r="AF24" s="3" t="s">
        <v>66</v>
      </c>
      <c r="AG24" s="3" t="s">
        <v>66</v>
      </c>
      <c r="AJ24" s="3">
        <v>1000</v>
      </c>
      <c r="AO24" s="3">
        <v>22042</v>
      </c>
      <c r="AP24" s="3" t="s">
        <v>66</v>
      </c>
      <c r="AQ24" s="3" t="s">
        <v>66</v>
      </c>
      <c r="AT24" s="3">
        <v>1000</v>
      </c>
      <c r="AY24" s="3">
        <v>22190</v>
      </c>
      <c r="AZ24" s="3" t="s">
        <v>66</v>
      </c>
      <c r="BA24" s="3" t="s">
        <v>66</v>
      </c>
      <c r="BB24" s="3">
        <v>22193</v>
      </c>
      <c r="BC24" s="3" t="s">
        <v>66</v>
      </c>
      <c r="BD24" s="3">
        <v>50</v>
      </c>
      <c r="BE24" s="3">
        <v>50</v>
      </c>
      <c r="BF24" s="3"/>
      <c r="BG24" s="3">
        <v>10</v>
      </c>
      <c r="BH24" s="3"/>
      <c r="BI24" s="23" t="s">
        <v>64</v>
      </c>
      <c r="BJ24" s="13">
        <v>0</v>
      </c>
      <c r="BK24" s="3" t="s">
        <v>67</v>
      </c>
      <c r="BL24" s="24" t="s">
        <v>95</v>
      </c>
    </row>
    <row r="25" s="3" customFormat="1" spans="1:64">
      <c r="A25" s="3">
        <v>122</v>
      </c>
      <c r="B25" s="12">
        <v>84</v>
      </c>
      <c r="C25" s="13">
        <v>85</v>
      </c>
      <c r="D25" s="3" t="s">
        <v>64</v>
      </c>
      <c r="E25" s="3">
        <v>9900</v>
      </c>
      <c r="F25" s="14">
        <v>100</v>
      </c>
      <c r="G25" s="15">
        <v>0</v>
      </c>
      <c r="H25" s="3" t="s">
        <v>64</v>
      </c>
      <c r="I25" s="3">
        <v>0</v>
      </c>
      <c r="J25" s="3" t="s">
        <v>64</v>
      </c>
      <c r="K25" s="3">
        <v>22150</v>
      </c>
      <c r="L25" s="3">
        <v>22149</v>
      </c>
      <c r="M25" s="3" t="s">
        <v>66</v>
      </c>
      <c r="N25" s="3">
        <v>22152</v>
      </c>
      <c r="O25" s="3" t="s">
        <v>66</v>
      </c>
      <c r="P25" s="3">
        <v>22191</v>
      </c>
      <c r="Q25" s="3">
        <v>22190</v>
      </c>
      <c r="R25" s="3" t="s">
        <v>66</v>
      </c>
      <c r="S25" s="3"/>
      <c r="T25" s="3"/>
      <c r="U25" s="3">
        <v>49802</v>
      </c>
      <c r="V25" s="3">
        <v>49802</v>
      </c>
      <c r="W25" s="3" t="s">
        <v>66</v>
      </c>
      <c r="X25" s="3">
        <v>198</v>
      </c>
      <c r="Y25" s="3" t="s">
        <v>66</v>
      </c>
      <c r="Z25" s="3">
        <v>99</v>
      </c>
      <c r="AA25" s="3">
        <v>99</v>
      </c>
      <c r="AB25" s="3" t="s">
        <v>66</v>
      </c>
      <c r="AC25" s="3" t="s">
        <v>66</v>
      </c>
      <c r="AD25" s="3" t="s">
        <v>66</v>
      </c>
      <c r="AE25" s="3">
        <v>22105</v>
      </c>
      <c r="AF25" s="3">
        <v>22103</v>
      </c>
      <c r="AG25" s="3" t="s">
        <v>66</v>
      </c>
      <c r="AJ25" s="3">
        <v>500</v>
      </c>
      <c r="AK25" s="3">
        <v>500</v>
      </c>
      <c r="AO25" s="3">
        <v>22045</v>
      </c>
      <c r="AP25" s="3">
        <v>22043</v>
      </c>
      <c r="AQ25" s="3" t="s">
        <v>66</v>
      </c>
      <c r="AT25" s="3">
        <v>500</v>
      </c>
      <c r="AU25" s="3">
        <v>500</v>
      </c>
      <c r="AY25" s="3">
        <v>22191</v>
      </c>
      <c r="AZ25" s="3">
        <v>22190</v>
      </c>
      <c r="BA25" s="3" t="s">
        <v>66</v>
      </c>
      <c r="BB25" s="3">
        <v>22193</v>
      </c>
      <c r="BC25" s="3" t="s">
        <v>66</v>
      </c>
      <c r="BD25" s="3">
        <v>50</v>
      </c>
      <c r="BE25" s="3">
        <v>50</v>
      </c>
      <c r="BF25" s="3"/>
      <c r="BG25" s="3">
        <v>10</v>
      </c>
      <c r="BH25" s="3"/>
      <c r="BI25" s="23" t="s">
        <v>64</v>
      </c>
      <c r="BJ25" s="13">
        <v>0</v>
      </c>
      <c r="BK25" s="3" t="s">
        <v>67</v>
      </c>
      <c r="BL25" s="24" t="s">
        <v>96</v>
      </c>
    </row>
    <row r="26" s="3" customFormat="1" spans="1:64">
      <c r="A26" s="3">
        <v>123</v>
      </c>
      <c r="B26" s="12">
        <v>86</v>
      </c>
      <c r="C26" s="13">
        <v>87</v>
      </c>
      <c r="D26" s="3" t="s">
        <v>64</v>
      </c>
      <c r="E26" s="3">
        <v>9900</v>
      </c>
      <c r="F26" s="14">
        <v>100</v>
      </c>
      <c r="G26" s="15">
        <v>0</v>
      </c>
      <c r="H26" s="3" t="s">
        <v>64</v>
      </c>
      <c r="I26" s="3">
        <v>0</v>
      </c>
      <c r="J26" s="3" t="s">
        <v>64</v>
      </c>
      <c r="K26" s="3">
        <v>22151</v>
      </c>
      <c r="L26" s="3">
        <v>22150</v>
      </c>
      <c r="M26" s="3">
        <v>22149</v>
      </c>
      <c r="N26" s="3">
        <v>22152</v>
      </c>
      <c r="O26" s="3" t="s">
        <v>66</v>
      </c>
      <c r="P26" s="3">
        <v>22192</v>
      </c>
      <c r="Q26" s="3">
        <v>22191</v>
      </c>
      <c r="R26" s="3">
        <v>22190</v>
      </c>
      <c r="S26" s="3"/>
      <c r="T26" s="3"/>
      <c r="U26" s="3">
        <v>33202</v>
      </c>
      <c r="V26" s="3">
        <v>33201</v>
      </c>
      <c r="W26" s="3">
        <v>33201</v>
      </c>
      <c r="X26" s="3">
        <v>198</v>
      </c>
      <c r="Y26" s="3" t="s">
        <v>66</v>
      </c>
      <c r="Z26" s="3">
        <v>66</v>
      </c>
      <c r="AA26" s="3">
        <v>66</v>
      </c>
      <c r="AB26" s="3">
        <v>66</v>
      </c>
      <c r="AC26" s="3" t="s">
        <v>66</v>
      </c>
      <c r="AD26" s="3" t="s">
        <v>66</v>
      </c>
      <c r="AE26" s="3">
        <v>22107</v>
      </c>
      <c r="AF26" s="3">
        <v>22106</v>
      </c>
      <c r="AG26" s="3">
        <v>22104</v>
      </c>
      <c r="AJ26" s="3">
        <v>500</v>
      </c>
      <c r="AK26" s="3">
        <v>250</v>
      </c>
      <c r="AL26" s="3">
        <v>250</v>
      </c>
      <c r="AO26" s="3">
        <v>22047</v>
      </c>
      <c r="AP26" s="3">
        <v>22046</v>
      </c>
      <c r="AQ26" s="3">
        <v>22044</v>
      </c>
      <c r="AT26" s="3">
        <v>500</v>
      </c>
      <c r="AU26" s="3">
        <v>250</v>
      </c>
      <c r="AV26" s="3">
        <v>250</v>
      </c>
      <c r="AY26" s="3">
        <v>22192</v>
      </c>
      <c r="AZ26" s="3">
        <v>22191</v>
      </c>
      <c r="BA26" s="3">
        <v>22190</v>
      </c>
      <c r="BB26" s="3">
        <v>22193</v>
      </c>
      <c r="BC26" s="3" t="s">
        <v>66</v>
      </c>
      <c r="BD26" s="3">
        <v>50</v>
      </c>
      <c r="BE26" s="3">
        <v>25</v>
      </c>
      <c r="BF26" s="3">
        <v>25</v>
      </c>
      <c r="BG26" s="3">
        <v>10</v>
      </c>
      <c r="BH26" s="3"/>
      <c r="BI26" s="23" t="s">
        <v>64</v>
      </c>
      <c r="BJ26" s="13">
        <v>0</v>
      </c>
      <c r="BK26" s="3" t="s">
        <v>97</v>
      </c>
      <c r="BL26" s="24" t="s">
        <v>98</v>
      </c>
    </row>
    <row r="27" s="3" customFormat="1" spans="1:64">
      <c r="A27" s="3">
        <v>124</v>
      </c>
      <c r="B27" s="12">
        <v>88</v>
      </c>
      <c r="C27" s="13">
        <v>89</v>
      </c>
      <c r="D27" s="3" t="s">
        <v>64</v>
      </c>
      <c r="E27" s="3">
        <v>9900</v>
      </c>
      <c r="F27" s="14">
        <v>100</v>
      </c>
      <c r="G27" s="15">
        <v>0</v>
      </c>
      <c r="H27" s="3" t="s">
        <v>64</v>
      </c>
      <c r="I27" s="3">
        <v>0</v>
      </c>
      <c r="J27" s="3" t="s">
        <v>64</v>
      </c>
      <c r="K27" s="3">
        <v>22153</v>
      </c>
      <c r="L27" s="3" t="s">
        <v>66</v>
      </c>
      <c r="M27" s="3" t="s">
        <v>66</v>
      </c>
      <c r="N27" s="3">
        <v>22156</v>
      </c>
      <c r="O27" s="3" t="s">
        <v>66</v>
      </c>
      <c r="P27" s="3">
        <v>22194</v>
      </c>
      <c r="Q27" s="3" t="s">
        <v>66</v>
      </c>
      <c r="R27" s="3" t="s">
        <v>66</v>
      </c>
      <c r="S27" s="3"/>
      <c r="T27" s="3"/>
      <c r="U27" s="3">
        <v>99604</v>
      </c>
      <c r="V27" s="3" t="s">
        <v>66</v>
      </c>
      <c r="W27" s="3" t="s">
        <v>66</v>
      </c>
      <c r="X27" s="3">
        <v>198</v>
      </c>
      <c r="Y27" s="3" t="s">
        <v>66</v>
      </c>
      <c r="Z27" s="3">
        <v>198</v>
      </c>
      <c r="AA27" s="3" t="s">
        <v>66</v>
      </c>
      <c r="AB27" s="3" t="s">
        <v>66</v>
      </c>
      <c r="AC27" s="3" t="s">
        <v>66</v>
      </c>
      <c r="AD27" s="3" t="s">
        <v>66</v>
      </c>
      <c r="AE27" s="3">
        <v>22108</v>
      </c>
      <c r="AF27" s="3" t="s">
        <v>66</v>
      </c>
      <c r="AG27" s="3" t="s">
        <v>66</v>
      </c>
      <c r="AJ27" s="3">
        <v>1000</v>
      </c>
      <c r="AO27" s="3">
        <v>22048</v>
      </c>
      <c r="AP27" s="3" t="s">
        <v>66</v>
      </c>
      <c r="AQ27" s="3" t="s">
        <v>66</v>
      </c>
      <c r="AT27" s="3">
        <v>1000</v>
      </c>
      <c r="AY27" s="3">
        <v>22194</v>
      </c>
      <c r="AZ27" s="3" t="s">
        <v>66</v>
      </c>
      <c r="BA27" s="3" t="s">
        <v>66</v>
      </c>
      <c r="BB27" s="3">
        <v>22197</v>
      </c>
      <c r="BC27" s="3" t="s">
        <v>66</v>
      </c>
      <c r="BD27" s="3">
        <v>50</v>
      </c>
      <c r="BE27" s="3">
        <v>50</v>
      </c>
      <c r="BF27" s="3"/>
      <c r="BG27" s="3">
        <v>10</v>
      </c>
      <c r="BH27" s="3"/>
      <c r="BI27" s="23" t="s">
        <v>64</v>
      </c>
      <c r="BJ27" s="13">
        <v>0</v>
      </c>
      <c r="BK27" s="3" t="s">
        <v>99</v>
      </c>
      <c r="BL27" s="24" t="s">
        <v>100</v>
      </c>
    </row>
    <row r="28" s="3" customFormat="1" spans="1:64">
      <c r="A28" s="3">
        <v>125</v>
      </c>
      <c r="B28" s="12">
        <v>90</v>
      </c>
      <c r="C28" s="13">
        <v>91</v>
      </c>
      <c r="D28" s="3" t="s">
        <v>64</v>
      </c>
      <c r="E28" s="3">
        <v>9900</v>
      </c>
      <c r="F28" s="14">
        <v>100</v>
      </c>
      <c r="G28" s="15">
        <v>0</v>
      </c>
      <c r="H28" s="3" t="s">
        <v>64</v>
      </c>
      <c r="I28" s="3">
        <v>0</v>
      </c>
      <c r="J28" s="3" t="s">
        <v>64</v>
      </c>
      <c r="K28" s="3">
        <v>22154</v>
      </c>
      <c r="L28" s="3">
        <v>22153</v>
      </c>
      <c r="M28" s="3" t="s">
        <v>66</v>
      </c>
      <c r="N28" s="3">
        <v>22156</v>
      </c>
      <c r="O28" s="3" t="s">
        <v>66</v>
      </c>
      <c r="P28" s="3">
        <v>22195</v>
      </c>
      <c r="Q28" s="3">
        <v>22194</v>
      </c>
      <c r="R28" s="3" t="s">
        <v>66</v>
      </c>
      <c r="S28" s="3"/>
      <c r="T28" s="3"/>
      <c r="U28" s="3">
        <v>49802</v>
      </c>
      <c r="V28" s="3">
        <v>49802</v>
      </c>
      <c r="W28" s="3" t="s">
        <v>66</v>
      </c>
      <c r="X28" s="3">
        <v>198</v>
      </c>
      <c r="Y28" s="3" t="s">
        <v>66</v>
      </c>
      <c r="Z28" s="3">
        <v>99</v>
      </c>
      <c r="AA28" s="3">
        <v>99</v>
      </c>
      <c r="AB28" s="3" t="s">
        <v>66</v>
      </c>
      <c r="AC28" s="3" t="s">
        <v>66</v>
      </c>
      <c r="AD28" s="3" t="s">
        <v>66</v>
      </c>
      <c r="AE28" s="3">
        <v>22111</v>
      </c>
      <c r="AF28" s="3">
        <v>22109</v>
      </c>
      <c r="AG28" s="3" t="s">
        <v>66</v>
      </c>
      <c r="AJ28" s="3">
        <v>500</v>
      </c>
      <c r="AK28" s="3">
        <v>500</v>
      </c>
      <c r="AO28" s="3">
        <v>22051</v>
      </c>
      <c r="AP28" s="3">
        <v>22049</v>
      </c>
      <c r="AQ28" s="3" t="s">
        <v>66</v>
      </c>
      <c r="AT28" s="3">
        <v>500</v>
      </c>
      <c r="AU28" s="3">
        <v>500</v>
      </c>
      <c r="AY28" s="3">
        <v>22195</v>
      </c>
      <c r="AZ28" s="3">
        <v>22194</v>
      </c>
      <c r="BA28" s="3" t="s">
        <v>66</v>
      </c>
      <c r="BB28" s="3">
        <v>22197</v>
      </c>
      <c r="BC28" s="3" t="s">
        <v>66</v>
      </c>
      <c r="BD28" s="3">
        <v>50</v>
      </c>
      <c r="BE28" s="3">
        <v>50</v>
      </c>
      <c r="BF28" s="3"/>
      <c r="BG28" s="3">
        <v>10</v>
      </c>
      <c r="BH28" s="3"/>
      <c r="BI28" s="23" t="s">
        <v>64</v>
      </c>
      <c r="BJ28" s="13">
        <v>0</v>
      </c>
      <c r="BK28" s="3" t="s">
        <v>99</v>
      </c>
      <c r="BL28" s="24" t="s">
        <v>101</v>
      </c>
    </row>
    <row r="29" s="3" customFormat="1" spans="1:64">
      <c r="A29" s="3">
        <v>126</v>
      </c>
      <c r="B29" s="12">
        <v>92</v>
      </c>
      <c r="C29" s="13">
        <v>93</v>
      </c>
      <c r="D29" s="3" t="s">
        <v>64</v>
      </c>
      <c r="E29" s="3">
        <v>9900</v>
      </c>
      <c r="F29" s="14">
        <v>100</v>
      </c>
      <c r="G29" s="15">
        <v>0</v>
      </c>
      <c r="H29" s="3" t="s">
        <v>64</v>
      </c>
      <c r="I29" s="3">
        <v>0</v>
      </c>
      <c r="J29" s="3" t="s">
        <v>64</v>
      </c>
      <c r="K29" s="3">
        <v>22155</v>
      </c>
      <c r="L29" s="3">
        <v>22154</v>
      </c>
      <c r="M29" s="3">
        <v>22153</v>
      </c>
      <c r="N29" s="3">
        <v>22156</v>
      </c>
      <c r="O29" s="3" t="s">
        <v>66</v>
      </c>
      <c r="P29" s="3">
        <v>22196</v>
      </c>
      <c r="Q29" s="3">
        <v>22195</v>
      </c>
      <c r="R29" s="3">
        <v>22194</v>
      </c>
      <c r="S29" s="3"/>
      <c r="T29" s="3"/>
      <c r="U29" s="3">
        <v>33202</v>
      </c>
      <c r="V29" s="3">
        <v>33201</v>
      </c>
      <c r="W29" s="3">
        <v>33201</v>
      </c>
      <c r="X29" s="3">
        <v>198</v>
      </c>
      <c r="Y29" s="3" t="s">
        <v>66</v>
      </c>
      <c r="Z29" s="3">
        <v>66</v>
      </c>
      <c r="AA29" s="3">
        <v>66</v>
      </c>
      <c r="AB29" s="3">
        <v>66</v>
      </c>
      <c r="AC29" s="3" t="s">
        <v>66</v>
      </c>
      <c r="AD29" s="3" t="s">
        <v>66</v>
      </c>
      <c r="AE29" s="3">
        <v>22113</v>
      </c>
      <c r="AF29" s="3">
        <v>22112</v>
      </c>
      <c r="AG29" s="3">
        <v>22110</v>
      </c>
      <c r="AJ29" s="3">
        <v>500</v>
      </c>
      <c r="AK29" s="3">
        <v>250</v>
      </c>
      <c r="AL29" s="3">
        <v>250</v>
      </c>
      <c r="AO29" s="3">
        <v>22053</v>
      </c>
      <c r="AP29" s="3">
        <v>22052</v>
      </c>
      <c r="AQ29" s="3">
        <v>22050</v>
      </c>
      <c r="AT29" s="3">
        <v>500</v>
      </c>
      <c r="AU29" s="3">
        <v>250</v>
      </c>
      <c r="AV29" s="3">
        <v>250</v>
      </c>
      <c r="AY29" s="3">
        <v>22196</v>
      </c>
      <c r="AZ29" s="3">
        <v>22195</v>
      </c>
      <c r="BA29" s="3">
        <v>22194</v>
      </c>
      <c r="BB29" s="3">
        <v>22197</v>
      </c>
      <c r="BC29" s="3" t="s">
        <v>66</v>
      </c>
      <c r="BD29" s="3">
        <v>50</v>
      </c>
      <c r="BE29" s="3">
        <v>25</v>
      </c>
      <c r="BF29" s="3">
        <v>25</v>
      </c>
      <c r="BG29" s="3">
        <v>10</v>
      </c>
      <c r="BH29" s="3"/>
      <c r="BI29" s="23" t="s">
        <v>64</v>
      </c>
      <c r="BJ29" s="13">
        <v>0</v>
      </c>
      <c r="BK29" s="3" t="s">
        <v>102</v>
      </c>
      <c r="BL29" s="24" t="s">
        <v>103</v>
      </c>
    </row>
    <row r="30" s="3" customFormat="1" spans="1:64">
      <c r="A30" s="3">
        <v>127</v>
      </c>
      <c r="B30" s="12">
        <v>94</v>
      </c>
      <c r="C30" s="13">
        <v>95</v>
      </c>
      <c r="D30" s="3" t="s">
        <v>64</v>
      </c>
      <c r="E30" s="3">
        <v>9900</v>
      </c>
      <c r="F30" s="14">
        <v>100</v>
      </c>
      <c r="G30" s="15">
        <v>0</v>
      </c>
      <c r="H30" s="3" t="s">
        <v>64</v>
      </c>
      <c r="I30" s="3">
        <v>0</v>
      </c>
      <c r="J30" s="3" t="s">
        <v>64</v>
      </c>
      <c r="K30" s="3">
        <v>22157</v>
      </c>
      <c r="L30" s="3" t="s">
        <v>66</v>
      </c>
      <c r="M30" s="3" t="s">
        <v>66</v>
      </c>
      <c r="N30" s="3">
        <v>22160</v>
      </c>
      <c r="O30" s="3" t="s">
        <v>66</v>
      </c>
      <c r="P30" s="3">
        <v>22198</v>
      </c>
      <c r="Q30" s="3" t="s">
        <v>66</v>
      </c>
      <c r="R30" s="3" t="s">
        <v>66</v>
      </c>
      <c r="S30" s="3"/>
      <c r="T30" s="3"/>
      <c r="U30" s="3">
        <v>99604</v>
      </c>
      <c r="V30" s="3" t="s">
        <v>66</v>
      </c>
      <c r="W30" s="3" t="s">
        <v>66</v>
      </c>
      <c r="X30" s="3">
        <v>198</v>
      </c>
      <c r="Y30" s="3" t="s">
        <v>66</v>
      </c>
      <c r="Z30" s="3">
        <v>198</v>
      </c>
      <c r="AA30" s="3" t="s">
        <v>66</v>
      </c>
      <c r="AB30" s="3" t="s">
        <v>66</v>
      </c>
      <c r="AC30" s="3" t="s">
        <v>66</v>
      </c>
      <c r="AD30" s="3" t="s">
        <v>66</v>
      </c>
      <c r="AE30" s="3">
        <v>22114</v>
      </c>
      <c r="AF30" s="3" t="s">
        <v>66</v>
      </c>
      <c r="AG30" s="3" t="s">
        <v>66</v>
      </c>
      <c r="AJ30" s="3">
        <v>1000</v>
      </c>
      <c r="AO30" s="3">
        <v>22054</v>
      </c>
      <c r="AP30" s="3" t="s">
        <v>66</v>
      </c>
      <c r="AQ30" s="3" t="s">
        <v>66</v>
      </c>
      <c r="AT30" s="3">
        <v>1000</v>
      </c>
      <c r="AY30" s="3">
        <v>22198</v>
      </c>
      <c r="AZ30" s="3" t="s">
        <v>66</v>
      </c>
      <c r="BA30" s="3" t="s">
        <v>66</v>
      </c>
      <c r="BB30" s="3">
        <v>22201</v>
      </c>
      <c r="BC30" s="3" t="s">
        <v>66</v>
      </c>
      <c r="BD30" s="3">
        <v>50</v>
      </c>
      <c r="BE30" s="3">
        <v>50</v>
      </c>
      <c r="BF30" s="3"/>
      <c r="BG30" s="3">
        <v>10</v>
      </c>
      <c r="BH30" s="3"/>
      <c r="BI30" s="23" t="s">
        <v>64</v>
      </c>
      <c r="BJ30" s="13">
        <v>0</v>
      </c>
      <c r="BK30" s="3" t="s">
        <v>67</v>
      </c>
      <c r="BL30" s="24" t="s">
        <v>104</v>
      </c>
    </row>
    <row r="31" s="3" customFormat="1" spans="1:64">
      <c r="A31" s="3">
        <v>128</v>
      </c>
      <c r="B31" s="12">
        <v>96</v>
      </c>
      <c r="C31" s="13">
        <v>97</v>
      </c>
      <c r="D31" s="3" t="s">
        <v>64</v>
      </c>
      <c r="E31" s="3">
        <v>9900</v>
      </c>
      <c r="F31" s="14">
        <v>100</v>
      </c>
      <c r="G31" s="15">
        <v>0</v>
      </c>
      <c r="H31" s="3" t="s">
        <v>64</v>
      </c>
      <c r="I31" s="3">
        <v>0</v>
      </c>
      <c r="J31" s="3" t="s">
        <v>64</v>
      </c>
      <c r="K31" s="3">
        <v>22158</v>
      </c>
      <c r="L31" s="3">
        <v>22157</v>
      </c>
      <c r="M31" s="3" t="s">
        <v>66</v>
      </c>
      <c r="N31" s="3">
        <v>22160</v>
      </c>
      <c r="O31" s="3" t="s">
        <v>66</v>
      </c>
      <c r="P31" s="3">
        <v>22199</v>
      </c>
      <c r="Q31" s="3">
        <v>22198</v>
      </c>
      <c r="R31" s="3" t="s">
        <v>66</v>
      </c>
      <c r="S31" s="3"/>
      <c r="T31" s="3"/>
      <c r="U31" s="3">
        <v>49802</v>
      </c>
      <c r="V31" s="3">
        <v>49802</v>
      </c>
      <c r="W31" s="3" t="s">
        <v>66</v>
      </c>
      <c r="X31" s="3">
        <v>198</v>
      </c>
      <c r="Y31" s="3" t="s">
        <v>66</v>
      </c>
      <c r="Z31" s="3">
        <v>99</v>
      </c>
      <c r="AA31" s="3">
        <v>99</v>
      </c>
      <c r="AB31" s="3" t="s">
        <v>66</v>
      </c>
      <c r="AC31" s="3" t="s">
        <v>66</v>
      </c>
      <c r="AD31" s="3" t="s">
        <v>66</v>
      </c>
      <c r="AE31" s="3">
        <v>22117</v>
      </c>
      <c r="AF31" s="3">
        <v>22115</v>
      </c>
      <c r="AG31" s="3" t="s">
        <v>66</v>
      </c>
      <c r="AJ31" s="3">
        <v>500</v>
      </c>
      <c r="AK31" s="3">
        <v>500</v>
      </c>
      <c r="AO31" s="3">
        <v>22057</v>
      </c>
      <c r="AP31" s="3">
        <v>22055</v>
      </c>
      <c r="AQ31" s="3" t="s">
        <v>66</v>
      </c>
      <c r="AT31" s="3">
        <v>500</v>
      </c>
      <c r="AU31" s="3">
        <v>500</v>
      </c>
      <c r="AY31" s="3">
        <v>22199</v>
      </c>
      <c r="AZ31" s="3">
        <v>22198</v>
      </c>
      <c r="BA31" s="3" t="s">
        <v>66</v>
      </c>
      <c r="BB31" s="3">
        <v>22201</v>
      </c>
      <c r="BC31" s="3" t="s">
        <v>66</v>
      </c>
      <c r="BD31" s="3">
        <v>50</v>
      </c>
      <c r="BE31" s="3">
        <v>50</v>
      </c>
      <c r="BF31" s="3"/>
      <c r="BG31" s="3">
        <v>10</v>
      </c>
      <c r="BH31" s="3"/>
      <c r="BI31" s="23" t="s">
        <v>64</v>
      </c>
      <c r="BJ31" s="13">
        <v>0</v>
      </c>
      <c r="BK31" s="3" t="s">
        <v>67</v>
      </c>
      <c r="BL31" s="24" t="s">
        <v>105</v>
      </c>
    </row>
    <row r="32" s="3" customFormat="1" spans="1:64">
      <c r="A32" s="3">
        <v>129</v>
      </c>
      <c r="B32" s="12">
        <v>98</v>
      </c>
      <c r="C32" s="13">
        <v>99</v>
      </c>
      <c r="D32" s="3" t="s">
        <v>64</v>
      </c>
      <c r="E32" s="3">
        <v>9900</v>
      </c>
      <c r="F32" s="14">
        <v>100</v>
      </c>
      <c r="G32" s="15">
        <v>0</v>
      </c>
      <c r="H32" s="3" t="s">
        <v>64</v>
      </c>
      <c r="I32" s="3">
        <v>0</v>
      </c>
      <c r="J32" s="3" t="s">
        <v>64</v>
      </c>
      <c r="K32" s="3">
        <v>22159</v>
      </c>
      <c r="L32" s="3">
        <v>22158</v>
      </c>
      <c r="M32" s="3">
        <v>22157</v>
      </c>
      <c r="N32" s="3">
        <v>22160</v>
      </c>
      <c r="O32" s="3" t="s">
        <v>66</v>
      </c>
      <c r="P32" s="3">
        <v>22200</v>
      </c>
      <c r="Q32" s="3">
        <v>22199</v>
      </c>
      <c r="R32" s="3">
        <v>22198</v>
      </c>
      <c r="S32" s="3"/>
      <c r="T32" s="3"/>
      <c r="U32" s="3">
        <v>33202</v>
      </c>
      <c r="V32" s="3">
        <v>33201</v>
      </c>
      <c r="W32" s="3">
        <v>33201</v>
      </c>
      <c r="X32" s="3">
        <v>198</v>
      </c>
      <c r="Y32" s="3" t="s">
        <v>66</v>
      </c>
      <c r="Z32" s="3">
        <v>66</v>
      </c>
      <c r="AA32" s="3">
        <v>66</v>
      </c>
      <c r="AB32" s="3">
        <v>66</v>
      </c>
      <c r="AC32" s="3" t="s">
        <v>66</v>
      </c>
      <c r="AD32" s="3" t="s">
        <v>66</v>
      </c>
      <c r="AE32" s="3">
        <v>22119</v>
      </c>
      <c r="AF32" s="3">
        <v>22118</v>
      </c>
      <c r="AG32" s="3">
        <v>22116</v>
      </c>
      <c r="AJ32" s="3">
        <v>500</v>
      </c>
      <c r="AK32" s="3">
        <v>250</v>
      </c>
      <c r="AL32" s="3">
        <v>250</v>
      </c>
      <c r="AO32" s="3">
        <v>22059</v>
      </c>
      <c r="AP32" s="3">
        <v>22058</v>
      </c>
      <c r="AQ32" s="3">
        <v>22056</v>
      </c>
      <c r="AT32" s="3">
        <v>500</v>
      </c>
      <c r="AU32" s="3">
        <v>250</v>
      </c>
      <c r="AV32" s="3">
        <v>250</v>
      </c>
      <c r="AY32" s="3">
        <v>22200</v>
      </c>
      <c r="AZ32" s="3">
        <v>22199</v>
      </c>
      <c r="BA32" s="3">
        <v>22198</v>
      </c>
      <c r="BB32" s="3">
        <v>22201</v>
      </c>
      <c r="BC32" s="3" t="s">
        <v>66</v>
      </c>
      <c r="BD32" s="3">
        <v>50</v>
      </c>
      <c r="BE32" s="3">
        <v>25</v>
      </c>
      <c r="BF32" s="3">
        <v>25</v>
      </c>
      <c r="BG32" s="3">
        <v>10</v>
      </c>
      <c r="BH32" s="3"/>
      <c r="BI32" s="23" t="s">
        <v>64</v>
      </c>
      <c r="BJ32" s="13">
        <v>0</v>
      </c>
      <c r="BK32" s="3" t="s">
        <v>97</v>
      </c>
      <c r="BL32" s="24" t="s">
        <v>106</v>
      </c>
    </row>
    <row r="34" spans="17:18">
      <c r="Q34" s="1"/>
      <c r="R34" s="19"/>
    </row>
    <row r="35" spans="17:18">
      <c r="Q35" s="1"/>
      <c r="R35" s="19"/>
    </row>
    <row r="36" spans="17:18">
      <c r="Q36" s="1"/>
      <c r="R36" s="19"/>
    </row>
  </sheetData>
  <autoFilter ref="A1:BL32">
    <extLst/>
  </autoFilter>
  <pageMargins left="0.75" right="0.75" top="1" bottom="1" header="0.5" footer="0.5"/>
  <pageSetup paperSize="9" orientation="portrait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F3"/>
  <sheetViews>
    <sheetView workbookViewId="0">
      <selection activeCell="K20" sqref="K20"/>
    </sheetView>
  </sheetViews>
  <sheetFormatPr defaultColWidth="9" defaultRowHeight="13.2" outlineLevelRow="2" outlineLevelCol="5"/>
  <cols>
    <col min="4" max="4" width="13.1388888888889" customWidth="1"/>
  </cols>
  <sheetData>
    <row r="1" spans="2:6">
      <c r="B1" s="1" t="s">
        <v>107</v>
      </c>
      <c r="C1" s="1" t="s">
        <v>108</v>
      </c>
      <c r="D1" s="1" t="s">
        <v>109</v>
      </c>
      <c r="E1" s="1" t="s">
        <v>110</v>
      </c>
      <c r="F1" s="1" t="s">
        <v>111</v>
      </c>
    </row>
    <row r="2" spans="2:6">
      <c r="B2">
        <f>300/10000</f>
        <v>0.03</v>
      </c>
      <c r="C2">
        <f>B2/100/15</f>
        <v>2e-5</v>
      </c>
      <c r="D2">
        <f>B2/100/15</f>
        <v>2e-5</v>
      </c>
      <c r="E2">
        <f>1/100/15*100000</f>
        <v>66.6666666666667</v>
      </c>
      <c r="F2">
        <f>1/100/15*100000</f>
        <v>66.6666666666667</v>
      </c>
    </row>
    <row r="3" spans="3:3">
      <c r="C3">
        <f>24*120*C2*30</f>
        <v>1.728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Cc.</cp:lastModifiedBy>
  <dcterms:created xsi:type="dcterms:W3CDTF">2015-05-04T02:37:00Z</dcterms:created>
  <dcterms:modified xsi:type="dcterms:W3CDTF">2024-05-22T05:46:10Z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2052-12.1.0.16929</vt:lpwstr>
  </property>
  <property fmtid="{D5CDD505-2E9C-101B-9397-08002B2CF9AE}" pid="3" name="ICV">
    <vt:lpwstr>9C164E8FE3C142FEB8793ACE0388F859_12</vt:lpwstr>
  </property>
</Properties>
</file>