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 tabRatio="478"/>
  </bookViews>
  <sheets>
    <sheet name="Sheet1" sheetId="161" r:id="rId1"/>
    <sheet name="Sheet2" sheetId="162" r:id="rId2"/>
    <sheet name="Sheet3" sheetId="163" r:id="rId3"/>
    <sheet name="Sheet4" sheetId="164" r:id="rId4"/>
  </sheets>
  <definedNames>
    <definedName name="_xlnm._FilterDatabase" localSheetId="0" hidden="1">Sheet1!$E$1:$E$570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Cc</author>
  </authors>
  <commentList>
    <comment ref="C1" authorId="0">
      <text>
        <r>
          <rPr>
            <sz val="9"/>
            <rFont val="宋体"/>
            <charset val="134"/>
          </rPr>
          <t xml:space="preserve">Administrator:
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D1" authorId="0">
      <text>
        <r>
          <rPr>
            <sz val="9"/>
            <rFont val="宋体"/>
            <charset val="134"/>
          </rPr>
          <t xml:space="preserve">Administrator:
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E1" authorId="0">
      <text>
        <r>
          <rPr>
            <sz val="9"/>
            <rFont val="宋体"/>
            <charset val="134"/>
          </rPr>
          <t xml:space="preserve">Administrator:
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H1" authorId="0">
      <text>
        <r>
          <rPr>
            <sz val="9"/>
            <rFont val="宋体"/>
            <charset val="134"/>
          </rPr>
          <t xml:space="preserve">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J1" authorId="0">
      <text>
        <r>
          <rPr>
            <sz val="9"/>
            <rFont val="宋体"/>
            <charset val="134"/>
          </rPr>
          <t xml:space="preserve">Administrator:
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K1" authorId="0">
      <text>
        <r>
          <rPr>
            <sz val="9"/>
            <rFont val="宋体"/>
            <charset val="134"/>
          </rPr>
          <t xml:space="preserve">Administrator:
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N1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活动积分</t>
        </r>
      </text>
    </comment>
    <comment ref="O1" authorId="0">
      <text>
        <r>
          <rPr>
            <sz val="9"/>
            <rFont val="宋体"/>
            <charset val="134"/>
          </rPr>
          <t>物品类型库ID</t>
        </r>
      </text>
    </comment>
    <comment ref="Q1" authorId="0">
      <text>
        <r>
          <rPr>
            <sz val="9"/>
            <rFont val="宋体"/>
            <charset val="134"/>
          </rPr>
          <t>user:
物品只能填写10万以上的物品类型库id，10万以下填写奖励id</t>
        </r>
      </text>
    </comment>
    <comment ref="CC1" authorId="0">
      <text>
        <r>
          <rPr>
            <sz val="9"/>
            <rFont val="宋体"/>
            <charset val="134"/>
          </rPr>
          <t>user:
填0的时候 使用获得概率列 填1的时候不使用获得概率列 填0的时候  获得概率/总概率决定玩家是否获得物品 物品类掉率/总概率决定玩家获得什么物品 填1的时候 只有物品类掉率/总概率 决定玩家是否获得物品获得什么物品 忽略获得概率列 所以 当获得概率等于总概率时 填0 一定会获得一个物品 填1可能获得一个物品 可能获得多个物品 也可能无法获得物品</t>
        </r>
      </text>
    </comment>
    <comment ref="CE1" authorId="0">
      <text>
        <r>
          <rPr>
            <sz val="9"/>
            <rFont val="宋体"/>
            <charset val="134"/>
          </rPr>
          <t>user:
填写杂货表id</t>
        </r>
      </text>
    </comment>
    <comment ref="CH1" authorId="0">
      <text>
        <r>
          <rPr>
            <sz val="9"/>
            <rFont val="宋体"/>
            <charset val="134"/>
          </rPr>
          <t>user:
0，不触发
1，触发</t>
        </r>
      </text>
    </comment>
    <comment ref="CV1" authorId="0">
      <text>
        <r>
          <rPr>
            <sz val="9"/>
            <rFont val="宋体"/>
            <charset val="134"/>
          </rPr>
          <t>Administrator:
“0”为不受
“1”为受</t>
        </r>
      </text>
    </comment>
    <comment ref="CW1" authorId="0">
      <text>
        <r>
          <rPr>
            <sz val="9"/>
            <rFont val="宋体"/>
            <charset val="134"/>
          </rPr>
          <t>Administrator:
“0”为不受
“1”为受</t>
        </r>
      </text>
    </comment>
    <comment ref="CX1" authorId="0">
      <text>
        <r>
          <rPr>
            <sz val="9"/>
            <rFont val="宋体"/>
            <charset val="134"/>
          </rPr>
          <t>Administrator:
不填走默认声望获得提示，填了走对应提示</t>
        </r>
      </text>
    </comment>
    <comment ref="A14" authorId="0">
      <text>
        <r>
          <rPr>
            <sz val="9"/>
            <rFont val="宋体"/>
            <charset val="134"/>
          </rPr>
          <t>admin:
暗雷区经验</t>
        </r>
      </text>
    </comment>
    <comment ref="A15" authorId="0">
      <text>
        <r>
          <rPr>
            <sz val="9"/>
            <rFont val="宋体"/>
            <charset val="134"/>
          </rPr>
          <t>admin:
暗雷区经验</t>
        </r>
      </text>
    </comment>
    <comment ref="CC63" authorId="0">
      <text>
        <r>
          <rPr>
            <sz val="9"/>
            <rFont val="宋体"/>
            <charset val="134"/>
          </rPr>
          <t>填0的时候 使用获得概率列 填1的时候不使用获得概率列 填0的时候  获得概率/总概率决定玩家是否获得物品 物品类掉率/总概率决定玩家获得什么物品 填1的时候 只有物品类掉率/总概率 决定玩家是否获得物品获得什么物品 忽略获得概率列 所以 当获得概率等于总概率时 填0 一定会获得一个物品 填1可能获得一个物品 可能获得多个物品 也可能无法获得物品</t>
        </r>
      </text>
    </comment>
    <comment ref="AE175" authorId="0">
      <text>
        <r>
          <rPr>
            <sz val="9"/>
            <rFont val="宋体"/>
            <charset val="134"/>
          </rPr>
          <t>90级打造图纸库</t>
        </r>
      </text>
    </comment>
    <comment ref="AF175" authorId="0">
      <text>
        <r>
          <rPr>
            <sz val="9"/>
            <rFont val="宋体"/>
            <charset val="134"/>
          </rPr>
          <t>100级打造图纸库</t>
        </r>
      </text>
    </comment>
    <comment ref="AG175" authorId="0">
      <text>
        <r>
          <rPr>
            <sz val="9"/>
            <rFont val="宋体"/>
            <charset val="134"/>
          </rPr>
          <t>110级打造图纸库</t>
        </r>
      </text>
    </comment>
    <comment ref="AF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</t>
        </r>
      </text>
    </comment>
    <comment ref="AG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</t>
        </r>
      </text>
    </comment>
    <comment ref="AH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</t>
        </r>
      </text>
    </comment>
    <comment ref="AI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10W仙玉</t>
        </r>
      </text>
    </comment>
    <comment ref="AJ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50W金币</t>
        </r>
      </text>
    </comment>
    <comment ref="AF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</t>
        </r>
      </text>
    </comment>
    <comment ref="AG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</t>
        </r>
      </text>
    </comment>
    <comment ref="AH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点化石</t>
        </r>
      </text>
    </comment>
    <comment ref="AI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点化石</t>
        </r>
      </text>
    </comment>
    <comment ref="AJ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点化石</t>
        </r>
      </text>
    </comment>
    <comment ref="AK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内丹礼包</t>
        </r>
      </text>
    </comment>
    <comment ref="AL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内丹礼包</t>
        </r>
      </text>
    </comment>
    <comment ref="AM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内丹礼包</t>
        </r>
      </text>
    </comment>
    <comment ref="AF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祈福卷轴</t>
        </r>
      </text>
    </comment>
    <comment ref="AG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
</t>
        </r>
      </text>
    </comment>
    <comment ref="AH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宠物碎片</t>
        </r>
      </text>
    </comment>
    <comment ref="AI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</t>
        </r>
      </text>
    </comment>
    <comment ref="AJ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</t>
        </r>
      </text>
    </comment>
    <comment ref="AK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金斧子</t>
        </r>
      </text>
    </comment>
    <comment ref="AF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祈福卷轴</t>
        </r>
      </text>
    </comment>
    <comment ref="AG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
</t>
        </r>
      </text>
    </comment>
    <comment ref="AH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宠物碎片</t>
        </r>
      </text>
    </comment>
    <comment ref="AI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</t>
        </r>
      </text>
    </comment>
    <comment ref="AJ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</t>
        </r>
      </text>
    </comment>
    <comment ref="AK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金斧子</t>
        </r>
      </text>
    </comment>
    <comment ref="AF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祈福卷轴</t>
        </r>
      </text>
    </comment>
    <comment ref="AG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
</t>
        </r>
      </text>
    </comment>
    <comment ref="AH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宠物碎片</t>
        </r>
      </text>
    </comment>
    <comment ref="AI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</t>
        </r>
      </text>
    </comment>
    <comment ref="AJ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</t>
        </r>
      </text>
    </comment>
    <comment ref="AK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金斧子</t>
        </r>
      </text>
    </comment>
    <comment ref="AF3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法术观照</t>
        </r>
      </text>
    </comment>
    <comment ref="AG3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物理观照</t>
        </r>
      </text>
    </comment>
    <comment ref="AH3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</t>
        </r>
      </text>
    </comment>
    <comment ref="AI3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</t>
        </r>
      </text>
    </comment>
    <comment ref="B4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争夺战</t>
        </r>
      </text>
    </comment>
    <comment ref="B4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争夺战</t>
        </r>
      </text>
    </comment>
    <comment ref="B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争夺战</t>
        </r>
      </text>
    </comment>
    <comment ref="AE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仙玉100W</t>
        </r>
      </text>
    </comment>
    <comment ref="AF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神级宠物</t>
        </r>
      </text>
    </comment>
    <comment ref="AG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H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仙露</t>
        </r>
      </text>
    </comment>
    <comment ref="AI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金斧子</t>
        </r>
      </text>
    </comment>
    <comment ref="AJ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</t>
        </r>
      </text>
    </comment>
    <comment ref="B4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龙宫</t>
        </r>
      </text>
    </comment>
    <comment ref="AF4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高定</t>
        </r>
      </text>
    </comment>
    <comment ref="B4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龙宫</t>
        </r>
      </text>
    </comment>
    <comment ref="AG4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高定</t>
        </r>
      </text>
    </comment>
    <comment ref="B4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龙宫</t>
        </r>
      </text>
    </comment>
    <comment ref="AF4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高定</t>
        </r>
      </text>
    </comment>
    <comment ref="AG413" authorId="0">
      <text>
        <r>
          <rPr>
            <b/>
            <sz val="9"/>
            <rFont val="宋体"/>
            <charset val="134"/>
          </rPr>
          <t>Administrator:钨金</t>
        </r>
      </text>
    </comment>
    <comment ref="AH4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</t>
        </r>
      </text>
    </comment>
    <comment ref="B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龙窟</t>
        </r>
      </text>
    </comment>
    <comment ref="AE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神兽丹小</t>
        </r>
      </text>
    </comment>
    <comment ref="AF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高定</t>
        </r>
      </text>
    </comment>
    <comment ref="AG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神兜兜小</t>
        </r>
      </text>
    </comment>
    <comment ref="B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龙窟</t>
        </r>
      </text>
    </comment>
    <comment ref="AE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五阶宠物装备</t>
        </r>
      </text>
    </comment>
    <comment ref="AF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高定</t>
        </r>
      </text>
    </comment>
    <comment ref="AG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</t>
        </r>
      </text>
    </comment>
    <comment ref="AH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I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特殊技能定制书</t>
        </r>
      </text>
    </comment>
    <comment ref="B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龙窟</t>
        </r>
      </text>
    </comment>
    <comment ref="AE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神级宠物装备</t>
        </r>
      </text>
    </comment>
    <comment ref="AF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高级技能定制书</t>
        </r>
      </text>
    </comment>
    <comment ref="AG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</t>
        </r>
      </text>
    </comment>
    <comment ref="AH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</t>
        </r>
      </text>
    </comment>
    <comment ref="AI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
</t>
        </r>
      </text>
    </comment>
    <comment ref="AJ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特殊技能定制书</t>
        </r>
      </text>
    </comment>
    <comment ref="AE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VIP经验大</t>
        </r>
      </text>
    </comment>
    <comment ref="AF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50W仙玉</t>
        </r>
      </text>
    </comment>
    <comment ref="AG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
</t>
        </r>
      </text>
    </comment>
    <comment ref="AH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I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</t>
        </r>
      </text>
    </comment>
    <comment ref="AJ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金斧子</t>
        </r>
      </text>
    </comment>
    <comment ref="AK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特殊技能定制书</t>
        </r>
      </text>
    </comment>
    <comment ref="AL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龙之晶石</t>
        </r>
      </text>
    </comment>
    <comment ref="O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500W金币
</t>
        </r>
      </text>
    </comment>
    <comment ref="S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神兜兜
</t>
        </r>
      </text>
    </comment>
    <comment ref="W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2000荣誉</t>
        </r>
      </text>
    </comment>
    <comment ref="AE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F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陨铁
</t>
        </r>
      </text>
    </comment>
    <comment ref="AG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
</t>
        </r>
      </text>
    </comment>
    <comment ref="AH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特殊技能定制书</t>
        </r>
      </text>
    </comment>
    <comment ref="AI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黄庭经
</t>
        </r>
      </text>
    </comment>
    <comment ref="AJ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神级宠物装备</t>
        </r>
      </text>
    </comment>
    <comment ref="AK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</t>
        </r>
      </text>
    </comment>
    <comment ref="AL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
</t>
        </r>
      </text>
    </comment>
    <comment ref="AM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侠客币10
</t>
        </r>
      </text>
    </comment>
    <comment ref="AN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侠客币200</t>
        </r>
      </text>
    </comment>
    <comment ref="AO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
</t>
        </r>
      </text>
    </comment>
    <comment ref="O4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VIP经验大</t>
        </r>
      </text>
    </comment>
    <comment ref="O4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VIP经验大</t>
        </r>
      </text>
    </comment>
    <comment ref="O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E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V大</t>
        </r>
      </text>
    </comment>
    <comment ref="AF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V中</t>
        </r>
      </text>
    </comment>
    <comment ref="AG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V小</t>
        </r>
      </text>
    </comment>
    <comment ref="AH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10W玉</t>
        </r>
      </text>
    </comment>
    <comment ref="AI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J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K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L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V大</t>
        </r>
      </text>
    </comment>
    <comment ref="AM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V中</t>
        </r>
      </text>
    </comment>
    <comment ref="AN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V小</t>
        </r>
      </text>
    </comment>
    <comment ref="AO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10W玉</t>
        </r>
      </text>
    </comment>
    <comment ref="AP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Q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R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E4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50W仙玉</t>
        </r>
      </text>
    </comment>
    <comment ref="AE437" authorId="0">
      <text>
        <r>
          <rPr>
            <sz val="9"/>
            <rFont val="宋体"/>
            <charset val="134"/>
          </rPr>
          <t>低级兽决库</t>
        </r>
      </text>
    </comment>
    <comment ref="AE438" authorId="0">
      <text>
        <r>
          <rPr>
            <sz val="9"/>
            <rFont val="宋体"/>
            <charset val="134"/>
          </rPr>
          <t>低级兽决库</t>
        </r>
      </text>
    </comment>
    <comment ref="AE439" authorId="0">
      <text>
        <r>
          <rPr>
            <sz val="9"/>
            <rFont val="宋体"/>
            <charset val="134"/>
          </rPr>
          <t>低级兽决库</t>
        </r>
      </text>
    </comment>
    <comment ref="AE440" authorId="0">
      <text>
        <r>
          <rPr>
            <sz val="9"/>
            <rFont val="宋体"/>
            <charset val="134"/>
          </rPr>
          <t>低级兽决库</t>
        </r>
      </text>
    </comment>
    <comment ref="AE441" authorId="0">
      <text>
        <r>
          <rPr>
            <sz val="9"/>
            <rFont val="宋体"/>
            <charset val="134"/>
          </rPr>
          <t>低级兽决库</t>
        </r>
      </text>
    </comment>
    <comment ref="AE442" authorId="0">
      <text>
        <r>
          <rPr>
            <sz val="9"/>
            <rFont val="宋体"/>
            <charset val="134"/>
          </rPr>
          <t>炼妖石</t>
        </r>
      </text>
    </comment>
    <comment ref="AF442" authorId="0">
      <text>
        <r>
          <rPr>
            <b/>
            <sz val="9"/>
            <rFont val="宋体"/>
            <charset val="134"/>
          </rPr>
          <t>6-7级宝石礼包</t>
        </r>
        <r>
          <rPr>
            <sz val="9"/>
            <rFont val="宋体"/>
            <charset val="134"/>
          </rPr>
          <t xml:space="preserve">
</t>
        </r>
      </text>
    </comment>
    <comment ref="AG442" authorId="0">
      <text>
        <r>
          <rPr>
            <sz val="9"/>
            <rFont val="宋体"/>
            <charset val="134"/>
          </rPr>
          <t>三眼</t>
        </r>
      </text>
    </comment>
    <comment ref="AH442" authorId="0">
      <text>
        <r>
          <rPr>
            <sz val="9"/>
            <rFont val="宋体"/>
            <charset val="134"/>
          </rPr>
          <t>六眼</t>
        </r>
      </text>
    </comment>
    <comment ref="AI442" authorId="0">
      <text>
        <r>
          <rPr>
            <sz val="9"/>
            <rFont val="宋体"/>
            <charset val="134"/>
          </rPr>
          <t>九眼</t>
        </r>
      </text>
    </comment>
    <comment ref="AE443" authorId="0">
      <text>
        <r>
          <rPr>
            <sz val="9"/>
            <rFont val="宋体"/>
            <charset val="134"/>
          </rPr>
          <t>低级内丹库1级</t>
        </r>
      </text>
    </comment>
    <comment ref="AF443" authorId="0">
      <text>
        <r>
          <rPr>
            <sz val="9"/>
            <rFont val="宋体"/>
            <charset val="134"/>
          </rPr>
          <t>高级内丹库</t>
        </r>
      </text>
    </comment>
    <comment ref="AG443" authorId="0">
      <text>
        <r>
          <rPr>
            <b/>
            <sz val="9"/>
            <rFont val="宋体"/>
            <charset val="134"/>
          </rPr>
          <t>6-7级宝石礼包</t>
        </r>
        <r>
          <rPr>
            <sz val="9"/>
            <rFont val="宋体"/>
            <charset val="134"/>
          </rPr>
          <t xml:space="preserve">
</t>
        </r>
      </text>
    </comment>
    <comment ref="AH443" authorId="0">
      <text>
        <r>
          <rPr>
            <sz val="9"/>
            <rFont val="宋体"/>
            <charset val="134"/>
          </rPr>
          <t>3-5级宝珠礼包</t>
        </r>
      </text>
    </comment>
    <comment ref="AI443" authorId="0">
      <text>
        <r>
          <rPr>
            <sz val="9"/>
            <rFont val="宋体"/>
            <charset val="134"/>
          </rPr>
          <t>法宝精华库</t>
        </r>
      </text>
    </comment>
    <comment ref="AE444" authorId="0">
      <text>
        <r>
          <rPr>
            <sz val="9"/>
            <rFont val="宋体"/>
            <charset val="134"/>
          </rPr>
          <t>低级内丹库1级</t>
        </r>
      </text>
    </comment>
    <comment ref="AF444" authorId="0">
      <text>
        <r>
          <rPr>
            <sz val="9"/>
            <rFont val="宋体"/>
            <charset val="134"/>
          </rPr>
          <t>高级内丹库</t>
        </r>
      </text>
    </comment>
    <comment ref="AG444" authorId="0">
      <text>
        <r>
          <rPr>
            <b/>
            <sz val="9"/>
            <rFont val="宋体"/>
            <charset val="134"/>
          </rPr>
          <t>6-7级宝石礼包</t>
        </r>
        <r>
          <rPr>
            <sz val="9"/>
            <rFont val="宋体"/>
            <charset val="134"/>
          </rPr>
          <t xml:space="preserve">
</t>
        </r>
      </text>
    </comment>
    <comment ref="AH444" authorId="0">
      <text>
        <r>
          <rPr>
            <sz val="9"/>
            <rFont val="宋体"/>
            <charset val="134"/>
          </rPr>
          <t>3-5级宝珠礼包</t>
        </r>
      </text>
    </comment>
    <comment ref="AI444" authorId="0">
      <text>
        <r>
          <rPr>
            <sz val="9"/>
            <rFont val="宋体"/>
            <charset val="134"/>
          </rPr>
          <t>法宝精华库</t>
        </r>
      </text>
    </comment>
    <comment ref="AE445" authorId="0">
      <text>
        <r>
          <rPr>
            <sz val="9"/>
            <rFont val="宋体"/>
            <charset val="134"/>
          </rPr>
          <t>低级内丹库1级</t>
        </r>
      </text>
    </comment>
    <comment ref="AF445" authorId="0">
      <text>
        <r>
          <rPr>
            <sz val="9"/>
            <rFont val="宋体"/>
            <charset val="134"/>
          </rPr>
          <t>高级内丹库</t>
        </r>
      </text>
    </comment>
    <comment ref="AG445" authorId="0">
      <text>
        <r>
          <rPr>
            <b/>
            <sz val="9"/>
            <rFont val="宋体"/>
            <charset val="134"/>
          </rPr>
          <t>6-7级宝石礼包</t>
        </r>
        <r>
          <rPr>
            <sz val="9"/>
            <rFont val="宋体"/>
            <charset val="134"/>
          </rPr>
          <t xml:space="preserve">
</t>
        </r>
      </text>
    </comment>
    <comment ref="AH445" authorId="0">
      <text>
        <r>
          <rPr>
            <sz val="9"/>
            <rFont val="宋体"/>
            <charset val="134"/>
          </rPr>
          <t>3-5级宝珠礼包</t>
        </r>
      </text>
    </comment>
    <comment ref="AI445" authorId="0">
      <text>
        <r>
          <rPr>
            <sz val="9"/>
            <rFont val="宋体"/>
            <charset val="134"/>
          </rPr>
          <t>法宝精华库</t>
        </r>
      </text>
    </comment>
    <comment ref="B516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打开获得
回梦丹*2、小海马*1，概率获得
银钥匙或金钥匙
</t>
        </r>
      </text>
    </comment>
    <comment ref="O550" authorId="0">
      <text>
        <r>
          <rPr>
            <sz val="9"/>
            <rFont val="宋体"/>
            <charset val="134"/>
          </rPr>
          <t>110级打造图纸库</t>
        </r>
      </text>
    </comment>
    <comment ref="S550" authorId="0">
      <text>
        <r>
          <rPr>
            <sz val="9"/>
            <rFont val="宋体"/>
            <charset val="134"/>
          </rPr>
          <t>110级百炼精铁</t>
        </r>
      </text>
    </comment>
    <comment ref="AE550" authorId="0">
      <text>
        <r>
          <rPr>
            <sz val="9"/>
            <rFont val="宋体"/>
            <charset val="134"/>
          </rPr>
          <t>高兽决库</t>
        </r>
      </text>
    </comment>
    <comment ref="AF550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50" authorId="0">
      <text>
        <r>
          <rPr>
            <sz val="9"/>
            <rFont val="宋体"/>
            <charset val="134"/>
          </rPr>
          <t>110级•钨金</t>
        </r>
      </text>
    </comment>
    <comment ref="AH550" authorId="0">
      <text>
        <r>
          <rPr>
            <sz val="9"/>
            <rFont val="宋体"/>
            <charset val="134"/>
          </rPr>
          <t>1级纹饰礼包</t>
        </r>
      </text>
    </comment>
    <comment ref="AI550" authorId="0">
      <text>
        <r>
          <rPr>
            <sz val="9"/>
            <rFont val="宋体"/>
            <charset val="134"/>
          </rPr>
          <t>11级宝石礼包</t>
        </r>
      </text>
    </comment>
    <comment ref="AJ550" authorId="0">
      <text>
        <r>
          <rPr>
            <sz val="9"/>
            <rFont val="宋体"/>
            <charset val="134"/>
          </rPr>
          <t>5-6级宝珠</t>
        </r>
      </text>
    </comment>
    <comment ref="O551" authorId="0">
      <text>
        <r>
          <rPr>
            <sz val="9"/>
            <rFont val="宋体"/>
            <charset val="134"/>
          </rPr>
          <t>110级打造图纸库</t>
        </r>
      </text>
    </comment>
    <comment ref="S551" authorId="0">
      <text>
        <r>
          <rPr>
            <sz val="9"/>
            <rFont val="宋体"/>
            <charset val="134"/>
          </rPr>
          <t>110级百炼精铁</t>
        </r>
      </text>
    </comment>
    <comment ref="AE551" authorId="0">
      <text>
        <r>
          <rPr>
            <sz val="9"/>
            <rFont val="宋体"/>
            <charset val="134"/>
          </rPr>
          <t>高兽决库</t>
        </r>
      </text>
    </comment>
    <comment ref="AF551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51" authorId="0">
      <text>
        <r>
          <rPr>
            <sz val="9"/>
            <rFont val="宋体"/>
            <charset val="134"/>
          </rPr>
          <t>110级•钨金</t>
        </r>
      </text>
    </comment>
    <comment ref="AH551" authorId="0">
      <text>
        <r>
          <rPr>
            <sz val="9"/>
            <rFont val="宋体"/>
            <charset val="134"/>
          </rPr>
          <t>1级纹饰礼包</t>
        </r>
      </text>
    </comment>
    <comment ref="AI551" authorId="0">
      <text>
        <r>
          <rPr>
            <sz val="9"/>
            <rFont val="宋体"/>
            <charset val="134"/>
          </rPr>
          <t>11级宝石礼包</t>
        </r>
      </text>
    </comment>
    <comment ref="AJ551" authorId="0">
      <text>
        <r>
          <rPr>
            <sz val="9"/>
            <rFont val="宋体"/>
            <charset val="134"/>
          </rPr>
          <t>5-6级宝珠</t>
        </r>
      </text>
    </comment>
    <comment ref="O552" authorId="0">
      <text>
        <r>
          <rPr>
            <sz val="9"/>
            <rFont val="宋体"/>
            <charset val="134"/>
          </rPr>
          <t xml:space="preserve">120级打造图纸库
</t>
        </r>
      </text>
    </comment>
    <comment ref="S552" authorId="0">
      <text>
        <r>
          <rPr>
            <sz val="9"/>
            <rFont val="宋体"/>
            <charset val="134"/>
          </rPr>
          <t xml:space="preserve">120级百炼精铁
</t>
        </r>
      </text>
    </comment>
    <comment ref="AE552" authorId="0">
      <text>
        <r>
          <rPr>
            <sz val="9"/>
            <rFont val="宋体"/>
            <charset val="134"/>
          </rPr>
          <t>高兽决库</t>
        </r>
      </text>
    </comment>
    <comment ref="AF552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52" authorId="0">
      <text>
        <r>
          <rPr>
            <sz val="9"/>
            <rFont val="宋体"/>
            <charset val="134"/>
          </rPr>
          <t>120级•钨金</t>
        </r>
      </text>
    </comment>
    <comment ref="AH552" authorId="0">
      <text>
        <r>
          <rPr>
            <sz val="9"/>
            <rFont val="宋体"/>
            <charset val="134"/>
          </rPr>
          <t>1级纹饰礼包</t>
        </r>
      </text>
    </comment>
    <comment ref="AI552" authorId="0">
      <text>
        <r>
          <rPr>
            <sz val="9"/>
            <rFont val="宋体"/>
            <charset val="134"/>
          </rPr>
          <t>12级宝石礼包</t>
        </r>
      </text>
    </comment>
    <comment ref="AJ552" authorId="0">
      <text>
        <r>
          <rPr>
            <sz val="9"/>
            <rFont val="宋体"/>
            <charset val="134"/>
          </rPr>
          <t>5-6级宝珠</t>
        </r>
      </text>
    </comment>
    <comment ref="O553" authorId="0">
      <text>
        <r>
          <rPr>
            <sz val="9"/>
            <rFont val="宋体"/>
            <charset val="134"/>
          </rPr>
          <t>120级打造图纸库</t>
        </r>
      </text>
    </comment>
    <comment ref="S553" authorId="0">
      <text>
        <r>
          <rPr>
            <sz val="9"/>
            <rFont val="宋体"/>
            <charset val="134"/>
          </rPr>
          <t xml:space="preserve">120级百炼精铁
</t>
        </r>
      </text>
    </comment>
    <comment ref="AE553" authorId="0">
      <text>
        <r>
          <rPr>
            <sz val="9"/>
            <rFont val="宋体"/>
            <charset val="134"/>
          </rPr>
          <t>高兽决库</t>
        </r>
      </text>
    </comment>
    <comment ref="AF553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53" authorId="0">
      <text>
        <r>
          <rPr>
            <sz val="9"/>
            <rFont val="宋体"/>
            <charset val="134"/>
          </rPr>
          <t>120级•钨金</t>
        </r>
      </text>
    </comment>
    <comment ref="AH553" authorId="0">
      <text>
        <r>
          <rPr>
            <sz val="9"/>
            <rFont val="宋体"/>
            <charset val="134"/>
          </rPr>
          <t>1级纹饰礼包</t>
        </r>
      </text>
    </comment>
    <comment ref="AI553" authorId="0">
      <text>
        <r>
          <rPr>
            <sz val="9"/>
            <rFont val="宋体"/>
            <charset val="134"/>
          </rPr>
          <t>12级宝石礼包</t>
        </r>
      </text>
    </comment>
    <comment ref="AJ553" authorId="0">
      <text>
        <r>
          <rPr>
            <sz val="9"/>
            <rFont val="宋体"/>
            <charset val="134"/>
          </rPr>
          <t>5-6级宝珠</t>
        </r>
      </text>
    </comment>
    <comment ref="O554" authorId="0">
      <text>
        <r>
          <rPr>
            <sz val="9"/>
            <rFont val="宋体"/>
            <charset val="134"/>
          </rPr>
          <t>130级打造图纸库</t>
        </r>
      </text>
    </comment>
    <comment ref="S554" authorId="0">
      <text>
        <r>
          <rPr>
            <sz val="9"/>
            <rFont val="宋体"/>
            <charset val="134"/>
          </rPr>
          <t xml:space="preserve">130级百炼精铁
</t>
        </r>
      </text>
    </comment>
    <comment ref="AE554" authorId="0">
      <text>
        <r>
          <rPr>
            <sz val="9"/>
            <rFont val="宋体"/>
            <charset val="134"/>
          </rPr>
          <t>高兽决库</t>
        </r>
      </text>
    </comment>
    <comment ref="AF554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54" authorId="0">
      <text>
        <r>
          <rPr>
            <sz val="9"/>
            <rFont val="宋体"/>
            <charset val="134"/>
          </rPr>
          <t>130级•钨金</t>
        </r>
      </text>
    </comment>
    <comment ref="AH554" authorId="0">
      <text>
        <r>
          <rPr>
            <sz val="9"/>
            <rFont val="宋体"/>
            <charset val="134"/>
          </rPr>
          <t>1级纹饰礼包</t>
        </r>
      </text>
    </comment>
    <comment ref="AI554" authorId="0">
      <text>
        <r>
          <rPr>
            <sz val="9"/>
            <rFont val="宋体"/>
            <charset val="134"/>
          </rPr>
          <t>13级宝石</t>
        </r>
      </text>
    </comment>
    <comment ref="AJ554" authorId="0">
      <text>
        <r>
          <rPr>
            <sz val="9"/>
            <rFont val="宋体"/>
            <charset val="134"/>
          </rPr>
          <t>6-7级宝珠</t>
        </r>
      </text>
    </comment>
    <comment ref="O555" authorId="0">
      <text>
        <r>
          <rPr>
            <sz val="9"/>
            <rFont val="宋体"/>
            <charset val="134"/>
          </rPr>
          <t xml:space="preserve">130级打造图纸库
</t>
        </r>
      </text>
    </comment>
    <comment ref="S555" authorId="0">
      <text>
        <r>
          <rPr>
            <sz val="9"/>
            <rFont val="宋体"/>
            <charset val="134"/>
          </rPr>
          <t xml:space="preserve">130级百炼精铁
</t>
        </r>
      </text>
    </comment>
    <comment ref="AE555" authorId="0">
      <text>
        <r>
          <rPr>
            <sz val="9"/>
            <rFont val="宋体"/>
            <charset val="134"/>
          </rPr>
          <t>高兽决库</t>
        </r>
      </text>
    </comment>
    <comment ref="AF555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55" authorId="0">
      <text>
        <r>
          <rPr>
            <sz val="9"/>
            <rFont val="宋体"/>
            <charset val="134"/>
          </rPr>
          <t xml:space="preserve">130级•钨金
</t>
        </r>
      </text>
    </comment>
    <comment ref="AH555" authorId="0">
      <text>
        <r>
          <rPr>
            <sz val="9"/>
            <rFont val="宋体"/>
            <charset val="134"/>
          </rPr>
          <t>1级纹饰礼包</t>
        </r>
      </text>
    </comment>
    <comment ref="AI555" authorId="0">
      <text>
        <r>
          <rPr>
            <sz val="9"/>
            <rFont val="宋体"/>
            <charset val="134"/>
          </rPr>
          <t>13级宝石</t>
        </r>
      </text>
    </comment>
    <comment ref="AJ555" authorId="0">
      <text>
        <r>
          <rPr>
            <sz val="9"/>
            <rFont val="宋体"/>
            <charset val="134"/>
          </rPr>
          <t>6-7级宝珠</t>
        </r>
      </text>
    </comment>
    <comment ref="O556" authorId="0">
      <text>
        <r>
          <rPr>
            <sz val="9"/>
            <rFont val="宋体"/>
            <charset val="134"/>
          </rPr>
          <t xml:space="preserve">140级打造图纸库
</t>
        </r>
      </text>
    </comment>
    <comment ref="S556" authorId="0">
      <text>
        <r>
          <rPr>
            <sz val="9"/>
            <rFont val="宋体"/>
            <charset val="134"/>
          </rPr>
          <t xml:space="preserve">140级百炼精铁
</t>
        </r>
      </text>
    </comment>
    <comment ref="AE556" authorId="0">
      <text>
        <r>
          <rPr>
            <sz val="9"/>
            <rFont val="宋体"/>
            <charset val="134"/>
          </rPr>
          <t>高兽决库</t>
        </r>
      </text>
    </comment>
    <comment ref="AF556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56" authorId="0">
      <text>
        <r>
          <rPr>
            <sz val="9"/>
            <rFont val="宋体"/>
            <charset val="134"/>
          </rPr>
          <t xml:space="preserve">140级•钨金
</t>
        </r>
      </text>
    </comment>
    <comment ref="AH556" authorId="0">
      <text>
        <r>
          <rPr>
            <sz val="9"/>
            <rFont val="宋体"/>
            <charset val="134"/>
          </rPr>
          <t>1级纹饰礼包</t>
        </r>
      </text>
    </comment>
    <comment ref="AI556" authorId="0">
      <text>
        <r>
          <rPr>
            <sz val="9"/>
            <rFont val="宋体"/>
            <charset val="134"/>
          </rPr>
          <t>14级宝石</t>
        </r>
      </text>
    </comment>
    <comment ref="AJ556" authorId="0">
      <text>
        <r>
          <rPr>
            <sz val="9"/>
            <rFont val="宋体"/>
            <charset val="134"/>
          </rPr>
          <t>6-7级宝珠</t>
        </r>
      </text>
    </comment>
    <comment ref="O557" authorId="0">
      <text>
        <r>
          <rPr>
            <sz val="9"/>
            <rFont val="宋体"/>
            <charset val="134"/>
          </rPr>
          <t xml:space="preserve">140级打造图纸库
</t>
        </r>
      </text>
    </comment>
    <comment ref="S557" authorId="0">
      <text>
        <r>
          <rPr>
            <sz val="9"/>
            <rFont val="宋体"/>
            <charset val="134"/>
          </rPr>
          <t xml:space="preserve">160级百炼精铁
</t>
        </r>
      </text>
    </comment>
    <comment ref="AE557" authorId="0">
      <text>
        <r>
          <rPr>
            <sz val="9"/>
            <rFont val="宋体"/>
            <charset val="134"/>
          </rPr>
          <t>高兽决库</t>
        </r>
      </text>
    </comment>
    <comment ref="AF557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57" authorId="0">
      <text>
        <r>
          <rPr>
            <sz val="9"/>
            <rFont val="宋体"/>
            <charset val="134"/>
          </rPr>
          <t>140级•钨金</t>
        </r>
      </text>
    </comment>
    <comment ref="AH557" authorId="0">
      <text>
        <r>
          <rPr>
            <sz val="9"/>
            <rFont val="宋体"/>
            <charset val="134"/>
          </rPr>
          <t>1级纹饰礼包</t>
        </r>
      </text>
    </comment>
    <comment ref="AI557" authorId="0">
      <text>
        <r>
          <rPr>
            <sz val="9"/>
            <rFont val="宋体"/>
            <charset val="134"/>
          </rPr>
          <t>15级宝石</t>
        </r>
      </text>
    </comment>
    <comment ref="AJ557" authorId="0">
      <text>
        <r>
          <rPr>
            <sz val="9"/>
            <rFont val="宋体"/>
            <charset val="134"/>
          </rPr>
          <t>7-8级宝珠</t>
        </r>
      </text>
    </comment>
    <comment ref="O558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S558" authorId="0">
      <text>
        <r>
          <rPr>
            <sz val="9"/>
            <rFont val="宋体"/>
            <charset val="134"/>
          </rPr>
          <t>140随机锻造礼包</t>
        </r>
      </text>
    </comment>
    <comment ref="W558" authorId="0">
      <text>
        <r>
          <rPr>
            <sz val="9"/>
            <rFont val="宋体"/>
            <charset val="134"/>
          </rPr>
          <t>150随机锻造礼包</t>
        </r>
      </text>
    </comment>
    <comment ref="AA558" authorId="0">
      <text>
        <r>
          <rPr>
            <sz val="9"/>
            <rFont val="宋体"/>
            <charset val="134"/>
          </rPr>
          <t>160随机锻造礼包</t>
        </r>
      </text>
    </comment>
    <comment ref="AE558" authorId="0">
      <text>
        <r>
          <rPr>
            <sz val="9"/>
            <rFont val="宋体"/>
            <charset val="134"/>
          </rPr>
          <t>140随机锻造礼包</t>
        </r>
      </text>
    </comment>
    <comment ref="AF558" authorId="0">
      <text>
        <r>
          <rPr>
            <sz val="9"/>
            <rFont val="宋体"/>
            <charset val="134"/>
          </rPr>
          <t>150随机锻造礼包</t>
        </r>
      </text>
    </comment>
    <comment ref="AG558" authorId="0">
      <text>
        <r>
          <rPr>
            <sz val="9"/>
            <rFont val="宋体"/>
            <charset val="134"/>
          </rPr>
          <t>160级打造图纸库</t>
        </r>
      </text>
    </comment>
    <comment ref="AH558" authorId="0">
      <text>
        <r>
          <rPr>
            <sz val="9"/>
            <rFont val="宋体"/>
            <charset val="134"/>
          </rPr>
          <t>星辰碎片</t>
        </r>
      </text>
    </comment>
    <comment ref="AI558" authorId="0">
      <text>
        <r>
          <rPr>
            <sz val="9"/>
            <rFont val="宋体"/>
            <charset val="134"/>
          </rPr>
          <t>星辰碎玉</t>
        </r>
      </text>
    </comment>
    <comment ref="AJ558" authorId="0">
      <text>
        <r>
          <rPr>
            <sz val="9"/>
            <rFont val="宋体"/>
            <charset val="134"/>
          </rPr>
          <t>星辰晶石</t>
        </r>
      </text>
    </comment>
    <comment ref="AE572" authorId="0">
      <text>
        <r>
          <rPr>
            <sz val="9"/>
            <rFont val="宋体"/>
            <charset val="134"/>
          </rPr>
          <t>经验包</t>
        </r>
      </text>
    </comment>
    <comment ref="AF572" authorId="0">
      <text>
        <r>
          <rPr>
            <sz val="9"/>
            <rFont val="宋体"/>
            <charset val="134"/>
          </rPr>
          <t>高兽决库</t>
        </r>
      </text>
    </comment>
    <comment ref="AG572" authorId="0">
      <text>
        <r>
          <rPr>
            <sz val="9"/>
            <rFont val="宋体"/>
            <charset val="134"/>
          </rPr>
          <t>低级兽决库</t>
        </r>
      </text>
    </comment>
    <comment ref="AH572" authorId="0">
      <text>
        <r>
          <rPr>
            <sz val="9"/>
            <rFont val="宋体"/>
            <charset val="134"/>
          </rPr>
          <t>9-10级宝石礼包</t>
        </r>
      </text>
    </comment>
    <comment ref="AI572" authorId="0">
      <text>
        <r>
          <rPr>
            <sz val="9"/>
            <rFont val="宋体"/>
            <charset val="134"/>
          </rPr>
          <t>星辰碎片</t>
        </r>
      </text>
    </comment>
    <comment ref="AE575" authorId="0">
      <text>
        <r>
          <rPr>
            <sz val="9"/>
            <rFont val="宋体"/>
            <charset val="134"/>
          </rPr>
          <t>印诀书库</t>
        </r>
      </text>
    </comment>
    <comment ref="AF575" authorId="0">
      <text>
        <r>
          <rPr>
            <sz val="9"/>
            <rFont val="宋体"/>
            <charset val="134"/>
          </rPr>
          <t>低兽决库</t>
        </r>
      </text>
    </comment>
    <comment ref="AG575" authorId="0">
      <text>
        <r>
          <rPr>
            <sz val="9"/>
            <rFont val="宋体"/>
            <charset val="134"/>
          </rPr>
          <t>高兽决库</t>
        </r>
      </text>
    </comment>
    <comment ref="AH575" authorId="0">
      <text>
        <r>
          <rPr>
            <b/>
            <sz val="9"/>
            <rFont val="宋体"/>
            <charset val="134"/>
          </rPr>
          <t>6-7级宝石礼包</t>
        </r>
        <r>
          <rPr>
            <sz val="9"/>
            <rFont val="宋体"/>
            <charset val="134"/>
          </rPr>
          <t xml:space="preserve">
</t>
        </r>
      </text>
    </comment>
    <comment ref="AI575" authorId="0">
      <text>
        <r>
          <rPr>
            <sz val="9"/>
            <rFont val="宋体"/>
            <charset val="134"/>
          </rPr>
          <t>3-5级宝珠礼包</t>
        </r>
      </text>
    </comment>
    <comment ref="AE576" authorId="0">
      <text>
        <r>
          <rPr>
            <sz val="9"/>
            <rFont val="宋体"/>
            <charset val="134"/>
          </rPr>
          <t>印诀书库</t>
        </r>
      </text>
    </comment>
    <comment ref="AF576" authorId="0">
      <text>
        <r>
          <rPr>
            <sz val="9"/>
            <rFont val="宋体"/>
            <charset val="134"/>
          </rPr>
          <t>低兽决库</t>
        </r>
      </text>
    </comment>
    <comment ref="AG576" authorId="0">
      <text>
        <r>
          <rPr>
            <sz val="9"/>
            <rFont val="宋体"/>
            <charset val="134"/>
          </rPr>
          <t>高兽决库</t>
        </r>
      </text>
    </comment>
    <comment ref="AH576" authorId="0">
      <text>
        <r>
          <rPr>
            <b/>
            <sz val="9"/>
            <rFont val="宋体"/>
            <charset val="134"/>
          </rPr>
          <t>6-7级宝石礼包</t>
        </r>
        <r>
          <rPr>
            <sz val="9"/>
            <rFont val="宋体"/>
            <charset val="134"/>
          </rPr>
          <t xml:space="preserve">
</t>
        </r>
      </text>
    </comment>
    <comment ref="AI576" authorId="0">
      <text>
        <r>
          <rPr>
            <sz val="9"/>
            <rFont val="宋体"/>
            <charset val="134"/>
          </rPr>
          <t>3-5级宝珠礼包</t>
        </r>
      </text>
    </comment>
    <comment ref="O577" authorId="0">
      <text>
        <r>
          <rPr>
            <sz val="9"/>
            <rFont val="宋体"/>
            <charset val="134"/>
          </rPr>
          <t xml:space="preserve">140级打造图纸库
</t>
        </r>
      </text>
    </comment>
    <comment ref="AE577" authorId="0">
      <text>
        <r>
          <rPr>
            <sz val="9"/>
            <rFont val="宋体"/>
            <charset val="134"/>
          </rPr>
          <t>高兽决库</t>
        </r>
      </text>
    </comment>
    <comment ref="AF577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77" authorId="0">
      <text>
        <r>
          <rPr>
            <sz val="9"/>
            <rFont val="宋体"/>
            <charset val="134"/>
          </rPr>
          <t>140级•钨金</t>
        </r>
      </text>
    </comment>
    <comment ref="AH577" authorId="0">
      <text>
        <r>
          <rPr>
            <sz val="9"/>
            <rFont val="宋体"/>
            <charset val="134"/>
          </rPr>
          <t>1级纹饰礼包</t>
        </r>
      </text>
    </comment>
    <comment ref="AI577" authorId="0">
      <text>
        <r>
          <rPr>
            <sz val="9"/>
            <rFont val="宋体"/>
            <charset val="134"/>
          </rPr>
          <t>15级宝石</t>
        </r>
      </text>
    </comment>
    <comment ref="AJ577" authorId="0">
      <text>
        <r>
          <rPr>
            <sz val="9"/>
            <rFont val="宋体"/>
            <charset val="134"/>
          </rPr>
          <t>7-8级宝珠</t>
        </r>
      </text>
    </comment>
    <comment ref="O578" authorId="0">
      <text>
        <r>
          <rPr>
            <sz val="9"/>
            <rFont val="宋体"/>
            <charset val="134"/>
          </rPr>
          <t xml:space="preserve">140级打造图纸库
</t>
        </r>
      </text>
    </comment>
    <comment ref="AE578" authorId="0">
      <text>
        <r>
          <rPr>
            <sz val="9"/>
            <rFont val="宋体"/>
            <charset val="134"/>
          </rPr>
          <t>高兽决库</t>
        </r>
      </text>
    </comment>
    <comment ref="AF578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78" authorId="0">
      <text>
        <r>
          <rPr>
            <sz val="9"/>
            <rFont val="宋体"/>
            <charset val="134"/>
          </rPr>
          <t xml:space="preserve">150级•钨金
</t>
        </r>
      </text>
    </comment>
    <comment ref="AH578" authorId="0">
      <text>
        <r>
          <rPr>
            <sz val="9"/>
            <rFont val="宋体"/>
            <charset val="134"/>
          </rPr>
          <t>1级纹饰礼包</t>
        </r>
      </text>
    </comment>
    <comment ref="AI578" authorId="0">
      <text>
        <r>
          <rPr>
            <sz val="9"/>
            <rFont val="宋体"/>
            <charset val="134"/>
          </rPr>
          <t>16级宝石</t>
        </r>
      </text>
    </comment>
    <comment ref="AJ578" authorId="0">
      <text>
        <r>
          <rPr>
            <sz val="9"/>
            <rFont val="宋体"/>
            <charset val="134"/>
          </rPr>
          <t>7-8级宝珠</t>
        </r>
      </text>
    </comment>
    <comment ref="O579" authorId="0">
      <text>
        <r>
          <rPr>
            <sz val="9"/>
            <rFont val="宋体"/>
            <charset val="134"/>
          </rPr>
          <t xml:space="preserve">140级打造图纸库
</t>
        </r>
      </text>
    </comment>
    <comment ref="AE579" authorId="0">
      <text>
        <r>
          <rPr>
            <sz val="9"/>
            <rFont val="宋体"/>
            <charset val="134"/>
          </rPr>
          <t>高兽决库</t>
        </r>
      </text>
    </comment>
    <comment ref="AF579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79" authorId="0">
      <text>
        <r>
          <rPr>
            <sz val="9"/>
            <rFont val="宋体"/>
            <charset val="134"/>
          </rPr>
          <t xml:space="preserve">150级•钨金
</t>
        </r>
      </text>
    </comment>
    <comment ref="AH579" authorId="0">
      <text>
        <r>
          <rPr>
            <sz val="9"/>
            <rFont val="宋体"/>
            <charset val="134"/>
          </rPr>
          <t>1级纹饰礼包</t>
        </r>
      </text>
    </comment>
    <comment ref="AI579" authorId="0">
      <text>
        <r>
          <rPr>
            <sz val="9"/>
            <rFont val="宋体"/>
            <charset val="134"/>
          </rPr>
          <t>17级宝石</t>
        </r>
      </text>
    </comment>
    <comment ref="AJ579" authorId="0">
      <text>
        <r>
          <rPr>
            <sz val="9"/>
            <rFont val="宋体"/>
            <charset val="134"/>
          </rPr>
          <t>8-9级宝珠</t>
        </r>
      </text>
    </comment>
    <comment ref="O580" authorId="0">
      <text>
        <r>
          <rPr>
            <sz val="9"/>
            <rFont val="宋体"/>
            <charset val="134"/>
          </rPr>
          <t>150级打造图纸库</t>
        </r>
      </text>
    </comment>
    <comment ref="S580" authorId="0">
      <text>
        <r>
          <rPr>
            <sz val="9"/>
            <rFont val="宋体"/>
            <charset val="134"/>
          </rPr>
          <t>160级打造图纸库</t>
        </r>
      </text>
    </comment>
    <comment ref="AE580" authorId="0">
      <text>
        <r>
          <rPr>
            <sz val="9"/>
            <rFont val="宋体"/>
            <charset val="134"/>
          </rPr>
          <t>高兽决库</t>
        </r>
      </text>
    </comment>
    <comment ref="AF580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80" authorId="0">
      <text>
        <r>
          <rPr>
            <sz val="9"/>
            <rFont val="宋体"/>
            <charset val="134"/>
          </rPr>
          <t>160级•钨金</t>
        </r>
      </text>
    </comment>
    <comment ref="AH580" authorId="0">
      <text>
        <r>
          <rPr>
            <sz val="9"/>
            <rFont val="宋体"/>
            <charset val="134"/>
          </rPr>
          <t>1级纹饰礼包</t>
        </r>
      </text>
    </comment>
    <comment ref="AI580" authorId="0">
      <text>
        <r>
          <rPr>
            <sz val="9"/>
            <rFont val="宋体"/>
            <charset val="134"/>
          </rPr>
          <t>18级宝石</t>
        </r>
      </text>
    </comment>
    <comment ref="AJ580" authorId="0">
      <text>
        <r>
          <rPr>
            <sz val="9"/>
            <rFont val="宋体"/>
            <charset val="134"/>
          </rPr>
          <t>8-9级宝珠</t>
        </r>
      </text>
    </comment>
    <comment ref="O581" authorId="0">
      <text>
        <r>
          <rPr>
            <sz val="9"/>
            <rFont val="宋体"/>
            <charset val="134"/>
          </rPr>
          <t>150级打造图纸库</t>
        </r>
      </text>
    </comment>
    <comment ref="S581" authorId="0">
      <text>
        <r>
          <rPr>
            <sz val="9"/>
            <rFont val="宋体"/>
            <charset val="134"/>
          </rPr>
          <t>160级打造图纸库</t>
        </r>
      </text>
    </comment>
    <comment ref="AE581" authorId="0">
      <text>
        <r>
          <rPr>
            <sz val="9"/>
            <rFont val="宋体"/>
            <charset val="134"/>
          </rPr>
          <t>高兽决库</t>
        </r>
      </text>
    </comment>
    <comment ref="AF581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AG581" authorId="0">
      <text>
        <r>
          <rPr>
            <sz val="9"/>
            <rFont val="宋体"/>
            <charset val="134"/>
          </rPr>
          <t>160级•钨金</t>
        </r>
      </text>
    </comment>
    <comment ref="AH581" authorId="0">
      <text>
        <r>
          <rPr>
            <sz val="9"/>
            <rFont val="宋体"/>
            <charset val="134"/>
          </rPr>
          <t>1级纹饰礼包</t>
        </r>
      </text>
    </comment>
    <comment ref="AI581" authorId="0">
      <text>
        <r>
          <rPr>
            <sz val="9"/>
            <rFont val="宋体"/>
            <charset val="134"/>
          </rPr>
          <t>18级宝石</t>
        </r>
      </text>
    </comment>
    <comment ref="AJ581" authorId="0">
      <text>
        <r>
          <rPr>
            <sz val="9"/>
            <rFont val="宋体"/>
            <charset val="134"/>
          </rPr>
          <t>8-9级宝珠</t>
        </r>
      </text>
    </comment>
    <comment ref="O588" authorId="0">
      <text>
        <r>
          <rPr>
            <sz val="9"/>
            <rFont val="宋体"/>
            <charset val="134"/>
          </rPr>
          <t>神兜兜*5</t>
        </r>
      </text>
    </comment>
    <comment ref="AE588" authorId="0">
      <text>
        <r>
          <rPr>
            <sz val="9"/>
            <rFont val="宋体"/>
            <charset val="134"/>
          </rPr>
          <t>高兽决库</t>
        </r>
      </text>
    </comment>
    <comment ref="AF588" authorId="0">
      <text>
        <r>
          <rPr>
            <sz val="9"/>
            <rFont val="宋体"/>
            <charset val="134"/>
          </rPr>
          <t>110随机锻造礼包</t>
        </r>
      </text>
    </comment>
    <comment ref="AG588" authorId="0">
      <text>
        <r>
          <rPr>
            <sz val="9"/>
            <rFont val="宋体"/>
            <charset val="134"/>
          </rPr>
          <t>120随机锻造礼包</t>
        </r>
      </text>
    </comment>
    <comment ref="AH588" authorId="0">
      <text>
        <r>
          <rPr>
            <sz val="9"/>
            <rFont val="宋体"/>
            <charset val="134"/>
          </rPr>
          <t>130随机锻造礼包</t>
        </r>
      </text>
    </comment>
    <comment ref="AI588" authorId="0">
      <text>
        <r>
          <rPr>
            <sz val="9"/>
            <rFont val="宋体"/>
            <charset val="134"/>
          </rPr>
          <t>星辰碎片</t>
        </r>
      </text>
    </comment>
    <comment ref="AE597" authorId="0">
      <text>
        <r>
          <rPr>
            <sz val="9"/>
            <rFont val="宋体"/>
            <charset val="134"/>
          </rPr>
          <t>神兜兜*5</t>
        </r>
      </text>
    </comment>
    <comment ref="AF597" authorId="0">
      <text>
        <r>
          <rPr>
            <sz val="9"/>
            <rFont val="宋体"/>
            <charset val="134"/>
          </rPr>
          <t>星辰碎片</t>
        </r>
      </text>
    </comment>
    <comment ref="AG597" authorId="0">
      <text>
        <r>
          <rPr>
            <sz val="9"/>
            <rFont val="宋体"/>
            <charset val="134"/>
          </rPr>
          <t>3-5级宝珠礼包</t>
        </r>
      </text>
    </comment>
    <comment ref="AE600" authorId="0">
      <text>
        <r>
          <rPr>
            <sz val="9"/>
            <rFont val="宋体"/>
            <charset val="134"/>
          </rPr>
          <t>神兜兜*5</t>
        </r>
      </text>
    </comment>
    <comment ref="AF600" authorId="0">
      <text>
        <r>
          <rPr>
            <sz val="9"/>
            <rFont val="宋体"/>
            <charset val="134"/>
          </rPr>
          <t>星辰碎片</t>
        </r>
      </text>
    </comment>
    <comment ref="AG600" authorId="0">
      <text>
        <r>
          <rPr>
            <sz val="9"/>
            <rFont val="宋体"/>
            <charset val="134"/>
          </rPr>
          <t>3-5级宝珠礼包</t>
        </r>
      </text>
    </comment>
    <comment ref="AE603" authorId="0">
      <text>
        <r>
          <rPr>
            <sz val="9"/>
            <rFont val="宋体"/>
            <charset val="134"/>
          </rPr>
          <t>低级内丹库1级</t>
        </r>
      </text>
    </comment>
    <comment ref="AF603" authorId="0">
      <text>
        <r>
          <rPr>
            <sz val="9"/>
            <rFont val="宋体"/>
            <charset val="134"/>
          </rPr>
          <t>高级内丹库</t>
        </r>
      </text>
    </comment>
    <comment ref="AG603" authorId="0">
      <text>
        <r>
          <rPr>
            <b/>
            <sz val="9"/>
            <rFont val="宋体"/>
            <charset val="134"/>
          </rPr>
          <t>6-7级宝石礼包</t>
        </r>
        <r>
          <rPr>
            <sz val="9"/>
            <rFont val="宋体"/>
            <charset val="134"/>
          </rPr>
          <t xml:space="preserve">
</t>
        </r>
      </text>
    </comment>
    <comment ref="AH603" authorId="0">
      <text>
        <r>
          <rPr>
            <sz val="9"/>
            <rFont val="宋体"/>
            <charset val="134"/>
          </rPr>
          <t>3-5级宝珠礼包</t>
        </r>
      </text>
    </comment>
    <comment ref="AI603" authorId="0">
      <text>
        <r>
          <rPr>
            <sz val="9"/>
            <rFont val="宋体"/>
            <charset val="134"/>
          </rPr>
          <t>法宝精魄库</t>
        </r>
      </text>
    </comment>
    <comment ref="O620" authorId="0">
      <text>
        <r>
          <rPr>
            <sz val="9"/>
            <rFont val="宋体"/>
            <charset val="134"/>
          </rPr>
          <t>160随机锻造礼包</t>
        </r>
      </text>
    </comment>
    <comment ref="S620" authorId="0">
      <text>
        <r>
          <rPr>
            <sz val="9"/>
            <rFont val="宋体"/>
            <charset val="134"/>
          </rPr>
          <t>15级宝珠礼包</t>
        </r>
      </text>
    </comment>
    <comment ref="W620" authorId="0">
      <text>
        <r>
          <rPr>
            <sz val="9"/>
            <rFont val="宋体"/>
            <charset val="134"/>
          </rPr>
          <t>蚩尤专属法宝</t>
        </r>
      </text>
    </comment>
    <comment ref="AA620" authorId="0">
      <text>
        <r>
          <rPr>
            <sz val="9"/>
            <rFont val="宋体"/>
            <charset val="134"/>
          </rPr>
          <t>器灵碎片</t>
        </r>
      </text>
    </comment>
    <comment ref="AE620" authorId="0">
      <text>
        <r>
          <rPr>
            <sz val="9"/>
            <rFont val="宋体"/>
            <charset val="134"/>
          </rPr>
          <t>高级兽决库</t>
        </r>
      </text>
    </comment>
    <comment ref="AF620" authorId="0">
      <text>
        <r>
          <rPr>
            <sz val="9"/>
            <rFont val="宋体"/>
            <charset val="134"/>
          </rPr>
          <t>特殊被动兽决</t>
        </r>
      </text>
    </comment>
    <comment ref="AG620" authorId="0">
      <text>
        <r>
          <rPr>
            <sz val="9"/>
            <rFont val="宋体"/>
            <charset val="134"/>
          </rPr>
          <t>特殊主动兽决</t>
        </r>
      </text>
    </comment>
    <comment ref="AH620" authorId="0">
      <text>
        <r>
          <rPr>
            <sz val="9"/>
            <rFont val="宋体"/>
            <charset val="134"/>
          </rPr>
          <t>2级纹饰礼包</t>
        </r>
      </text>
    </comment>
    <comment ref="AI620" authorId="0">
      <text>
        <r>
          <rPr>
            <sz val="9"/>
            <rFont val="宋体"/>
            <charset val="134"/>
          </rPr>
          <t>星辰碎片</t>
        </r>
      </text>
    </comment>
    <comment ref="AJ620" authorId="0">
      <text>
        <r>
          <rPr>
            <sz val="9"/>
            <rFont val="宋体"/>
            <charset val="134"/>
          </rPr>
          <t>星辰碎玉</t>
        </r>
      </text>
    </comment>
    <comment ref="AK620" authorId="0">
      <text>
        <r>
          <rPr>
            <sz val="9"/>
            <rFont val="宋体"/>
            <charset val="134"/>
          </rPr>
          <t>星辰晶石</t>
        </r>
      </text>
    </comment>
    <comment ref="AL620" authorId="0">
      <text>
        <r>
          <rPr>
            <b/>
            <sz val="9"/>
            <rFont val="宋体"/>
            <charset val="134"/>
          </rPr>
          <t>500万经验丹</t>
        </r>
      </text>
    </comment>
    <comment ref="AM620" authorId="0">
      <text>
        <r>
          <rPr>
            <sz val="9"/>
            <rFont val="宋体"/>
            <charset val="134"/>
          </rPr>
          <t>器灵之魂</t>
        </r>
      </text>
    </comment>
    <comment ref="O621" authorId="0">
      <text>
        <r>
          <rPr>
            <sz val="9"/>
            <rFont val="宋体"/>
            <charset val="134"/>
          </rPr>
          <t>160随机锻造礼包</t>
        </r>
      </text>
    </comment>
    <comment ref="S621" authorId="0">
      <text>
        <r>
          <rPr>
            <sz val="9"/>
            <rFont val="宋体"/>
            <charset val="134"/>
          </rPr>
          <t>23级宝石礼包</t>
        </r>
      </text>
    </comment>
    <comment ref="W621" authorId="0">
      <text>
        <r>
          <rPr>
            <sz val="9"/>
            <rFont val="宋体"/>
            <charset val="134"/>
          </rPr>
          <t>棒棒糖碎片</t>
        </r>
      </text>
    </comment>
    <comment ref="AA621" authorId="0">
      <text>
        <r>
          <rPr>
            <sz val="9"/>
            <rFont val="宋体"/>
            <charset val="134"/>
          </rPr>
          <t>器灵碎片</t>
        </r>
      </text>
    </comment>
    <comment ref="AE621" authorId="0">
      <text>
        <r>
          <rPr>
            <sz val="9"/>
            <rFont val="宋体"/>
            <charset val="134"/>
          </rPr>
          <t>高级兽决库</t>
        </r>
      </text>
    </comment>
    <comment ref="AF621" authorId="0">
      <text>
        <r>
          <rPr>
            <sz val="9"/>
            <rFont val="宋体"/>
            <charset val="134"/>
          </rPr>
          <t>特殊被动兽决</t>
        </r>
      </text>
    </comment>
    <comment ref="AG621" authorId="0">
      <text>
        <r>
          <rPr>
            <sz val="9"/>
            <rFont val="宋体"/>
            <charset val="134"/>
          </rPr>
          <t>特殊主动兽决</t>
        </r>
      </text>
    </comment>
    <comment ref="AH621" authorId="0">
      <text>
        <r>
          <rPr>
            <sz val="9"/>
            <rFont val="宋体"/>
            <charset val="134"/>
          </rPr>
          <t>2级纹饰礼包</t>
        </r>
      </text>
    </comment>
    <comment ref="AI621" authorId="0">
      <text>
        <r>
          <rPr>
            <sz val="9"/>
            <rFont val="宋体"/>
            <charset val="134"/>
          </rPr>
          <t>星辰碎片</t>
        </r>
      </text>
    </comment>
    <comment ref="AJ621" authorId="0">
      <text>
        <r>
          <rPr>
            <sz val="9"/>
            <rFont val="宋体"/>
            <charset val="134"/>
          </rPr>
          <t>星辰碎玉</t>
        </r>
      </text>
    </comment>
    <comment ref="AK621" authorId="0">
      <text>
        <r>
          <rPr>
            <sz val="9"/>
            <rFont val="宋体"/>
            <charset val="134"/>
          </rPr>
          <t>星辰晶石</t>
        </r>
      </text>
    </comment>
    <comment ref="AL621" authorId="0">
      <text>
        <r>
          <rPr>
            <b/>
            <sz val="9"/>
            <rFont val="宋体"/>
            <charset val="134"/>
          </rPr>
          <t>500万经验丹</t>
        </r>
      </text>
    </comment>
    <comment ref="AM621" authorId="0">
      <text>
        <r>
          <rPr>
            <sz val="9"/>
            <rFont val="宋体"/>
            <charset val="134"/>
          </rPr>
          <t>器灵之魂</t>
        </r>
      </text>
    </comment>
    <comment ref="O622" authorId="0">
      <text>
        <r>
          <rPr>
            <sz val="9"/>
            <rFont val="宋体"/>
            <charset val="134"/>
          </rPr>
          <t>120级•钨金</t>
        </r>
      </text>
    </comment>
    <comment ref="AE622" authorId="0">
      <text>
        <r>
          <rPr>
            <sz val="9"/>
            <rFont val="宋体"/>
            <charset val="134"/>
          </rPr>
          <t>11级宝石礼包</t>
        </r>
      </text>
    </comment>
    <comment ref="AF622" authorId="0">
      <text>
        <r>
          <rPr>
            <sz val="9"/>
            <rFont val="宋体"/>
            <charset val="134"/>
          </rPr>
          <t>5-6级宝珠</t>
        </r>
      </text>
    </comment>
    <comment ref="AG622" authorId="0">
      <text>
        <r>
          <rPr>
            <sz val="9"/>
            <rFont val="宋体"/>
            <charset val="134"/>
          </rPr>
          <t>110级打造图纸库</t>
        </r>
      </text>
    </comment>
    <comment ref="AH622" authorId="0">
      <text>
        <r>
          <rPr>
            <sz val="9"/>
            <rFont val="宋体"/>
            <charset val="134"/>
          </rPr>
          <t>120级打造图纸库</t>
        </r>
      </text>
    </comment>
    <comment ref="O623" authorId="0">
      <text>
        <r>
          <rPr>
            <sz val="9"/>
            <rFont val="宋体"/>
            <charset val="134"/>
          </rPr>
          <t>120级•钨金</t>
        </r>
      </text>
    </comment>
    <comment ref="AE623" authorId="0">
      <text>
        <r>
          <rPr>
            <sz val="9"/>
            <rFont val="宋体"/>
            <charset val="134"/>
          </rPr>
          <t>12级宝石礼包</t>
        </r>
      </text>
    </comment>
    <comment ref="AF623" authorId="0">
      <text>
        <r>
          <rPr>
            <sz val="9"/>
            <rFont val="宋体"/>
            <charset val="134"/>
          </rPr>
          <t>5-6级宝珠</t>
        </r>
      </text>
    </comment>
    <comment ref="AG623" authorId="0">
      <text>
        <r>
          <rPr>
            <sz val="9"/>
            <rFont val="宋体"/>
            <charset val="134"/>
          </rPr>
          <t>110级打造图纸库</t>
        </r>
      </text>
    </comment>
    <comment ref="AH623" authorId="0">
      <text>
        <r>
          <rPr>
            <sz val="9"/>
            <rFont val="宋体"/>
            <charset val="134"/>
          </rPr>
          <t>120级打造图纸库</t>
        </r>
      </text>
    </comment>
    <comment ref="O624" authorId="0">
      <text>
        <r>
          <rPr>
            <sz val="9"/>
            <rFont val="宋体"/>
            <charset val="134"/>
          </rPr>
          <t>130级•钨金</t>
        </r>
      </text>
    </comment>
    <comment ref="AE624" authorId="0">
      <text>
        <r>
          <rPr>
            <sz val="9"/>
            <rFont val="宋体"/>
            <charset val="134"/>
          </rPr>
          <t>13级宝石</t>
        </r>
      </text>
    </comment>
    <comment ref="AF624" authorId="0">
      <text>
        <r>
          <rPr>
            <sz val="9"/>
            <rFont val="宋体"/>
            <charset val="134"/>
          </rPr>
          <t>6-7级宝珠</t>
        </r>
      </text>
    </comment>
    <comment ref="AG624" authorId="0">
      <text>
        <r>
          <rPr>
            <sz val="9"/>
            <rFont val="宋体"/>
            <charset val="134"/>
          </rPr>
          <t xml:space="preserve">130级打造图纸库
</t>
        </r>
      </text>
    </comment>
    <comment ref="AH624" authorId="0">
      <text>
        <r>
          <rPr>
            <sz val="9"/>
            <rFont val="宋体"/>
            <charset val="134"/>
          </rPr>
          <t xml:space="preserve">140级打造图纸库
</t>
        </r>
      </text>
    </comment>
    <comment ref="O625" authorId="0">
      <text>
        <r>
          <rPr>
            <sz val="9"/>
            <rFont val="宋体"/>
            <charset val="134"/>
          </rPr>
          <t>130级•钨金</t>
        </r>
      </text>
    </comment>
    <comment ref="AE625" authorId="0">
      <text>
        <r>
          <rPr>
            <sz val="9"/>
            <rFont val="宋体"/>
            <charset val="134"/>
          </rPr>
          <t>14级宝石</t>
        </r>
      </text>
    </comment>
    <comment ref="AF625" authorId="0">
      <text>
        <r>
          <rPr>
            <sz val="9"/>
            <rFont val="宋体"/>
            <charset val="134"/>
          </rPr>
          <t>6-7级宝珠</t>
        </r>
      </text>
    </comment>
    <comment ref="AG625" authorId="0">
      <text>
        <r>
          <rPr>
            <sz val="9"/>
            <rFont val="宋体"/>
            <charset val="134"/>
          </rPr>
          <t>130级打造图纸库</t>
        </r>
      </text>
    </comment>
    <comment ref="AH625" authorId="0">
      <text>
        <r>
          <rPr>
            <sz val="9"/>
            <rFont val="宋体"/>
            <charset val="134"/>
          </rPr>
          <t>140级打造图纸库</t>
        </r>
      </text>
    </comment>
    <comment ref="O626" authorId="0">
      <text>
        <r>
          <rPr>
            <sz val="9"/>
            <rFont val="宋体"/>
            <charset val="134"/>
          </rPr>
          <t>140级•钨金</t>
        </r>
      </text>
    </comment>
    <comment ref="AE626" authorId="0">
      <text>
        <r>
          <rPr>
            <sz val="9"/>
            <rFont val="宋体"/>
            <charset val="134"/>
          </rPr>
          <t>15级宝石</t>
        </r>
      </text>
    </comment>
    <comment ref="AF626" authorId="0">
      <text>
        <r>
          <rPr>
            <sz val="9"/>
            <rFont val="宋体"/>
            <charset val="134"/>
          </rPr>
          <t>7-8级宝珠</t>
        </r>
      </text>
    </comment>
    <comment ref="AG626" authorId="0">
      <text>
        <r>
          <rPr>
            <sz val="9"/>
            <rFont val="宋体"/>
            <charset val="134"/>
          </rPr>
          <t>140随机锻造礼包</t>
        </r>
      </text>
    </comment>
    <comment ref="AH626" authorId="0">
      <text>
        <r>
          <rPr>
            <sz val="9"/>
            <rFont val="宋体"/>
            <charset val="134"/>
          </rPr>
          <t>150级打造图纸库</t>
        </r>
      </text>
    </comment>
    <comment ref="O627" authorId="0">
      <text>
        <r>
          <rPr>
            <sz val="9"/>
            <rFont val="宋体"/>
            <charset val="134"/>
          </rPr>
          <t>140级•钨金</t>
        </r>
      </text>
    </comment>
    <comment ref="AE627" authorId="0">
      <text>
        <r>
          <rPr>
            <sz val="9"/>
            <rFont val="宋体"/>
            <charset val="134"/>
          </rPr>
          <t>16级宝石</t>
        </r>
      </text>
    </comment>
    <comment ref="AF627" authorId="0">
      <text>
        <r>
          <rPr>
            <sz val="9"/>
            <rFont val="宋体"/>
            <charset val="134"/>
          </rPr>
          <t>7-8级宝珠</t>
        </r>
      </text>
    </comment>
    <comment ref="AG627" authorId="0">
      <text>
        <r>
          <rPr>
            <sz val="9"/>
            <rFont val="宋体"/>
            <charset val="134"/>
          </rPr>
          <t>140随机锻造礼包</t>
        </r>
      </text>
    </comment>
    <comment ref="AH627" authorId="0">
      <text>
        <r>
          <rPr>
            <sz val="9"/>
            <rFont val="宋体"/>
            <charset val="134"/>
          </rPr>
          <t>150级打造图纸库</t>
        </r>
      </text>
    </comment>
    <comment ref="O628" authorId="0">
      <text>
        <r>
          <rPr>
            <sz val="9"/>
            <rFont val="宋体"/>
            <charset val="134"/>
          </rPr>
          <t>150级•钨金</t>
        </r>
      </text>
    </comment>
    <comment ref="AE628" authorId="0">
      <text>
        <r>
          <rPr>
            <sz val="9"/>
            <rFont val="宋体"/>
            <charset val="134"/>
          </rPr>
          <t>17级宝石</t>
        </r>
      </text>
    </comment>
    <comment ref="AF628" authorId="0">
      <text>
        <r>
          <rPr>
            <sz val="9"/>
            <rFont val="宋体"/>
            <charset val="134"/>
          </rPr>
          <t>8-9级宝珠</t>
        </r>
      </text>
    </comment>
    <comment ref="AG628" authorId="0">
      <text>
        <r>
          <rPr>
            <sz val="9"/>
            <rFont val="宋体"/>
            <charset val="134"/>
          </rPr>
          <t>150随机锻造礼包</t>
        </r>
      </text>
    </comment>
    <comment ref="AH628" authorId="0">
      <text>
        <r>
          <rPr>
            <sz val="9"/>
            <rFont val="宋体"/>
            <charset val="134"/>
          </rPr>
          <t>160级打造图纸库</t>
        </r>
      </text>
    </comment>
    <comment ref="AI628" authorId="0">
      <text>
        <r>
          <rPr>
            <sz val="9"/>
            <rFont val="宋体"/>
            <charset val="134"/>
          </rPr>
          <t>4%器灵随机礼包</t>
        </r>
      </text>
    </comment>
    <comment ref="O629" authorId="0">
      <text>
        <r>
          <rPr>
            <sz val="9"/>
            <rFont val="宋体"/>
            <charset val="134"/>
          </rPr>
          <t>150级•钨金</t>
        </r>
      </text>
    </comment>
    <comment ref="AE629" authorId="0">
      <text>
        <r>
          <rPr>
            <sz val="9"/>
            <rFont val="宋体"/>
            <charset val="134"/>
          </rPr>
          <t>18级宝石</t>
        </r>
      </text>
    </comment>
    <comment ref="AF629" authorId="0">
      <text>
        <r>
          <rPr>
            <sz val="9"/>
            <rFont val="宋体"/>
            <charset val="134"/>
          </rPr>
          <t>8-9级宝珠</t>
        </r>
      </text>
    </comment>
    <comment ref="AG629" authorId="0">
      <text>
        <r>
          <rPr>
            <sz val="9"/>
            <rFont val="宋体"/>
            <charset val="134"/>
          </rPr>
          <t>150随机锻造礼包</t>
        </r>
      </text>
    </comment>
    <comment ref="AH629" authorId="0">
      <text>
        <r>
          <rPr>
            <sz val="9"/>
            <rFont val="宋体"/>
            <charset val="134"/>
          </rPr>
          <t>160级打造图纸库</t>
        </r>
      </text>
    </comment>
    <comment ref="AI629" authorId="0">
      <text>
        <r>
          <rPr>
            <sz val="9"/>
            <rFont val="宋体"/>
            <charset val="134"/>
          </rPr>
          <t>4%器灵随机礼包</t>
        </r>
      </text>
    </comment>
    <comment ref="AJ629" authorId="0">
      <text>
        <r>
          <rPr>
            <sz val="9"/>
            <rFont val="宋体"/>
            <charset val="134"/>
          </rPr>
          <t>5%器灵随机礼包</t>
        </r>
      </text>
    </comment>
    <comment ref="O630" authorId="0">
      <text>
        <r>
          <rPr>
            <sz val="9"/>
            <rFont val="宋体"/>
            <charset val="134"/>
          </rPr>
          <t>160级•钨金</t>
        </r>
      </text>
    </comment>
    <comment ref="AE630" authorId="0">
      <text>
        <r>
          <rPr>
            <sz val="9"/>
            <rFont val="宋体"/>
            <charset val="134"/>
          </rPr>
          <t>19级宝石</t>
        </r>
      </text>
    </comment>
    <comment ref="AF630" authorId="0">
      <text>
        <r>
          <rPr>
            <sz val="9"/>
            <rFont val="宋体"/>
            <charset val="134"/>
          </rPr>
          <t>9-10级宝珠</t>
        </r>
      </text>
    </comment>
    <comment ref="AG630" authorId="0">
      <text>
        <r>
          <rPr>
            <sz val="9"/>
            <rFont val="宋体"/>
            <charset val="134"/>
          </rPr>
          <t>160级打造图纸库</t>
        </r>
      </text>
    </comment>
    <comment ref="AH630" authorId="0">
      <text>
        <r>
          <rPr>
            <sz val="9"/>
            <rFont val="宋体"/>
            <charset val="134"/>
          </rPr>
          <t>4%器灵随机礼包</t>
        </r>
      </text>
    </comment>
    <comment ref="AI630" authorId="0">
      <text>
        <r>
          <rPr>
            <sz val="9"/>
            <rFont val="宋体"/>
            <charset val="134"/>
          </rPr>
          <t>5%器灵随机礼包</t>
        </r>
      </text>
    </comment>
    <comment ref="AJ630" authorId="0">
      <text>
        <r>
          <rPr>
            <sz val="9"/>
            <rFont val="宋体"/>
            <charset val="134"/>
          </rPr>
          <t>6%器灵随机礼包</t>
        </r>
      </text>
    </comment>
    <comment ref="O631" authorId="0">
      <text>
        <r>
          <rPr>
            <sz val="9"/>
            <rFont val="宋体"/>
            <charset val="134"/>
          </rPr>
          <t>160级•钨金</t>
        </r>
      </text>
    </comment>
    <comment ref="AE631" authorId="0">
      <text>
        <r>
          <rPr>
            <sz val="9"/>
            <rFont val="宋体"/>
            <charset val="134"/>
          </rPr>
          <t>20级宝石</t>
        </r>
      </text>
    </comment>
    <comment ref="AF631" authorId="0">
      <text>
        <r>
          <rPr>
            <sz val="9"/>
            <rFont val="宋体"/>
            <charset val="134"/>
          </rPr>
          <t>9-10级宝珠</t>
        </r>
      </text>
    </comment>
    <comment ref="AG631" authorId="0">
      <text>
        <r>
          <rPr>
            <sz val="9"/>
            <rFont val="宋体"/>
            <charset val="134"/>
          </rPr>
          <t>160级打造图纸库</t>
        </r>
      </text>
    </comment>
    <comment ref="AH631" authorId="0">
      <text>
        <r>
          <rPr>
            <sz val="9"/>
            <rFont val="宋体"/>
            <charset val="134"/>
          </rPr>
          <t>5%器灵随机礼包</t>
        </r>
      </text>
    </comment>
    <comment ref="AI631" authorId="0">
      <text>
        <r>
          <rPr>
            <sz val="9"/>
            <rFont val="宋体"/>
            <charset val="134"/>
          </rPr>
          <t>6%器灵随机礼包</t>
        </r>
      </text>
    </comment>
    <comment ref="O6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超级主动</t>
        </r>
      </text>
    </comment>
    <comment ref="AM6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5万神兜兜</t>
        </r>
      </text>
    </comment>
    <comment ref="AN6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超级主动</t>
        </r>
      </text>
    </comment>
    <comment ref="AM6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5万神兜兜</t>
        </r>
      </text>
    </comment>
    <comment ref="AN6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超级主动</t>
        </r>
      </text>
    </comment>
    <comment ref="AM6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5万神兜兜</t>
        </r>
      </text>
    </comment>
    <comment ref="AN6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超级主动</t>
        </r>
      </text>
    </comment>
    <comment ref="AM6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5万神兜兜</t>
        </r>
      </text>
    </comment>
    <comment ref="AN6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超级主动</t>
        </r>
      </text>
    </comment>
    <comment ref="AM6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5万神兜兜</t>
        </r>
      </text>
    </comment>
    <comment ref="AN6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超级主动</t>
        </r>
      </text>
    </comment>
    <comment ref="AM6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5万神兜兜</t>
        </r>
      </text>
    </comment>
    <comment ref="AN6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超级主动</t>
        </r>
      </text>
    </comment>
    <comment ref="AM6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5万神兜兜</t>
        </r>
      </text>
    </comment>
    <comment ref="AN6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超级主动</t>
        </r>
      </text>
    </comment>
    <comment ref="AM6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5万神兜兜</t>
        </r>
      </text>
    </comment>
    <comment ref="AN6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超级主动</t>
        </r>
      </text>
    </comment>
    <comment ref="AM6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5万神兜兜</t>
        </r>
      </text>
    </comment>
    <comment ref="AN6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超级被动</t>
        </r>
      </text>
    </comment>
    <comment ref="AM6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超级被动</t>
        </r>
      </text>
    </comment>
    <comment ref="AM6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超级被动</t>
        </r>
      </text>
    </comment>
    <comment ref="AM6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超级被动</t>
        </r>
      </text>
    </comment>
    <comment ref="AM6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超级被动</t>
        </r>
      </text>
    </comment>
    <comment ref="AM6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超级被动</t>
        </r>
      </text>
    </comment>
    <comment ref="AM6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超级被动</t>
        </r>
      </text>
    </comment>
    <comment ref="AM6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超级被动</t>
        </r>
      </text>
    </comment>
    <comment ref="AM6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L6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超级被动</t>
        </r>
      </text>
    </comment>
    <comment ref="AM6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坐骑随机礼包</t>
        </r>
      </text>
    </comment>
    <comment ref="O656" authorId="0">
      <text>
        <r>
          <rPr>
            <sz val="9"/>
            <rFont val="宋体"/>
            <charset val="134"/>
          </rPr>
          <t>虎符战将经验包</t>
        </r>
      </text>
    </comment>
    <comment ref="AE656" authorId="0">
      <text>
        <r>
          <rPr>
            <sz val="9"/>
            <rFont val="宋体"/>
            <charset val="134"/>
          </rPr>
          <t>110级•钨金</t>
        </r>
      </text>
    </comment>
    <comment ref="AF656" authorId="0">
      <text>
        <r>
          <rPr>
            <sz val="9"/>
            <rFont val="宋体"/>
            <charset val="134"/>
          </rPr>
          <t>120级•钨金</t>
        </r>
      </text>
    </comment>
    <comment ref="AG656" authorId="0">
      <text>
        <r>
          <rPr>
            <sz val="9"/>
            <rFont val="宋体"/>
            <charset val="134"/>
          </rPr>
          <t>130级•钨金</t>
        </r>
      </text>
    </comment>
    <comment ref="AH656" authorId="0">
      <text>
        <r>
          <rPr>
            <sz val="9"/>
            <rFont val="宋体"/>
            <charset val="134"/>
          </rPr>
          <t>140级•钨金</t>
        </r>
      </text>
    </comment>
    <comment ref="AI656" authorId="0">
      <text>
        <r>
          <rPr>
            <sz val="9"/>
            <rFont val="宋体"/>
            <charset val="134"/>
          </rPr>
          <t>150级•钨金</t>
        </r>
      </text>
    </comment>
    <comment ref="AJ656" authorId="0">
      <text>
        <r>
          <rPr>
            <sz val="9"/>
            <rFont val="宋体"/>
            <charset val="134"/>
          </rPr>
          <t>160级•钨金</t>
        </r>
      </text>
    </comment>
    <comment ref="AK656" authorId="0">
      <text>
        <r>
          <rPr>
            <sz val="9"/>
            <rFont val="宋体"/>
            <charset val="134"/>
          </rPr>
          <t>星辰碎片</t>
        </r>
      </text>
    </comment>
    <comment ref="O657" authorId="0">
      <text>
        <r>
          <rPr>
            <sz val="9"/>
            <rFont val="宋体"/>
            <charset val="134"/>
          </rPr>
          <t>巨力神将金币箱</t>
        </r>
      </text>
    </comment>
    <comment ref="AE657" authorId="0">
      <text>
        <r>
          <rPr>
            <sz val="9"/>
            <rFont val="宋体"/>
            <charset val="134"/>
          </rPr>
          <t>110级•钨金</t>
        </r>
      </text>
    </comment>
    <comment ref="AF657" authorId="0">
      <text>
        <r>
          <rPr>
            <sz val="9"/>
            <rFont val="宋体"/>
            <charset val="134"/>
          </rPr>
          <t>120级•钨金</t>
        </r>
      </text>
    </comment>
    <comment ref="AG657" authorId="0">
      <text>
        <r>
          <rPr>
            <sz val="9"/>
            <rFont val="宋体"/>
            <charset val="134"/>
          </rPr>
          <t>130级•钨金</t>
        </r>
      </text>
    </comment>
    <comment ref="AH657" authorId="0">
      <text>
        <r>
          <rPr>
            <sz val="9"/>
            <rFont val="宋体"/>
            <charset val="134"/>
          </rPr>
          <t>140级•钨金</t>
        </r>
      </text>
    </comment>
    <comment ref="AI657" authorId="0">
      <text>
        <r>
          <rPr>
            <sz val="9"/>
            <rFont val="宋体"/>
            <charset val="134"/>
          </rPr>
          <t>150级•钨金</t>
        </r>
      </text>
    </comment>
    <comment ref="AJ657" authorId="0">
      <text>
        <r>
          <rPr>
            <sz val="9"/>
            <rFont val="宋体"/>
            <charset val="134"/>
          </rPr>
          <t>160级•钨金</t>
        </r>
      </text>
    </comment>
    <comment ref="AK657" authorId="0">
      <text>
        <r>
          <rPr>
            <sz val="9"/>
            <rFont val="宋体"/>
            <charset val="134"/>
          </rPr>
          <t>星辰碎片</t>
        </r>
      </text>
    </comment>
    <comment ref="O658" authorId="0">
      <text>
        <r>
          <rPr>
            <sz val="9"/>
            <rFont val="宋体"/>
            <charset val="134"/>
          </rPr>
          <t>降龙尊者的神兜兜</t>
        </r>
      </text>
    </comment>
    <comment ref="AE658" authorId="0">
      <text>
        <r>
          <rPr>
            <sz val="9"/>
            <rFont val="宋体"/>
            <charset val="134"/>
          </rPr>
          <t>110级•钨金</t>
        </r>
      </text>
    </comment>
    <comment ref="AF658" authorId="0">
      <text>
        <r>
          <rPr>
            <sz val="9"/>
            <rFont val="宋体"/>
            <charset val="134"/>
          </rPr>
          <t>120级•钨金</t>
        </r>
      </text>
    </comment>
    <comment ref="AG658" authorId="0">
      <text>
        <r>
          <rPr>
            <sz val="9"/>
            <rFont val="宋体"/>
            <charset val="134"/>
          </rPr>
          <t>130级•钨金</t>
        </r>
      </text>
    </comment>
    <comment ref="AH658" authorId="0">
      <text>
        <r>
          <rPr>
            <sz val="9"/>
            <rFont val="宋体"/>
            <charset val="134"/>
          </rPr>
          <t>140级•钨金</t>
        </r>
      </text>
    </comment>
    <comment ref="AI658" authorId="0">
      <text>
        <r>
          <rPr>
            <sz val="9"/>
            <rFont val="宋体"/>
            <charset val="134"/>
          </rPr>
          <t>150级•钨金</t>
        </r>
      </text>
    </comment>
    <comment ref="AJ658" authorId="0">
      <text>
        <r>
          <rPr>
            <sz val="9"/>
            <rFont val="宋体"/>
            <charset val="134"/>
          </rPr>
          <t>160级•钨金</t>
        </r>
      </text>
    </comment>
    <comment ref="AK658" authorId="0">
      <text>
        <r>
          <rPr>
            <sz val="9"/>
            <rFont val="宋体"/>
            <charset val="134"/>
          </rPr>
          <t>星辰碎片</t>
        </r>
      </text>
    </comment>
    <comment ref="O659" authorId="0">
      <text>
        <r>
          <rPr>
            <sz val="9"/>
            <rFont val="宋体"/>
            <charset val="134"/>
          </rPr>
          <t>精华礼包</t>
        </r>
      </text>
    </comment>
    <comment ref="S659" authorId="0">
      <text>
        <r>
          <rPr>
            <sz val="9"/>
            <rFont val="宋体"/>
            <charset val="134"/>
          </rPr>
          <t>精魄礼包</t>
        </r>
      </text>
    </comment>
    <comment ref="AE659" authorId="0">
      <text>
        <r>
          <rPr>
            <sz val="9"/>
            <rFont val="宋体"/>
            <charset val="134"/>
          </rPr>
          <t>110级•钨金</t>
        </r>
      </text>
    </comment>
    <comment ref="AF659" authorId="0">
      <text>
        <r>
          <rPr>
            <sz val="9"/>
            <rFont val="宋体"/>
            <charset val="134"/>
          </rPr>
          <t>120级•钨金</t>
        </r>
      </text>
    </comment>
    <comment ref="AG659" authorId="0">
      <text>
        <r>
          <rPr>
            <sz val="9"/>
            <rFont val="宋体"/>
            <charset val="134"/>
          </rPr>
          <t>130级•钨金</t>
        </r>
      </text>
    </comment>
    <comment ref="AH659" authorId="0">
      <text>
        <r>
          <rPr>
            <sz val="9"/>
            <rFont val="宋体"/>
            <charset val="134"/>
          </rPr>
          <t>140级•钨金</t>
        </r>
      </text>
    </comment>
    <comment ref="AI659" authorId="0">
      <text>
        <r>
          <rPr>
            <sz val="9"/>
            <rFont val="宋体"/>
            <charset val="134"/>
          </rPr>
          <t>150级•钨金</t>
        </r>
      </text>
    </comment>
    <comment ref="AJ659" authorId="0">
      <text>
        <r>
          <rPr>
            <sz val="9"/>
            <rFont val="宋体"/>
            <charset val="134"/>
          </rPr>
          <t>160级•钨金</t>
        </r>
      </text>
    </comment>
    <comment ref="AK659" authorId="0">
      <text>
        <r>
          <rPr>
            <sz val="9"/>
            <rFont val="宋体"/>
            <charset val="134"/>
          </rPr>
          <t>1级纹饰礼包</t>
        </r>
      </text>
    </comment>
    <comment ref="AL659" authorId="0">
      <text>
        <r>
          <rPr>
            <sz val="9"/>
            <rFont val="宋体"/>
            <charset val="134"/>
          </rPr>
          <t>高级兽决库</t>
        </r>
      </text>
    </comment>
    <comment ref="AM659" authorId="0">
      <text>
        <r>
          <rPr>
            <sz val="9"/>
            <rFont val="宋体"/>
            <charset val="134"/>
          </rPr>
          <t>特殊兽决随机礼包</t>
        </r>
      </text>
    </comment>
    <comment ref="O660" authorId="0">
      <text>
        <r>
          <rPr>
            <sz val="9"/>
            <rFont val="宋体"/>
            <charset val="134"/>
          </rPr>
          <t>金芒石</t>
        </r>
      </text>
    </comment>
    <comment ref="S660" authorId="0">
      <text>
        <r>
          <rPr>
            <sz val="9"/>
            <rFont val="宋体"/>
            <charset val="134"/>
          </rPr>
          <t>星魂石</t>
        </r>
      </text>
    </comment>
    <comment ref="W660" authorId="0">
      <text>
        <r>
          <rPr>
            <sz val="9"/>
            <rFont val="宋体"/>
            <charset val="134"/>
          </rPr>
          <t>灵髓玉</t>
        </r>
      </text>
    </comment>
    <comment ref="AE660" authorId="0">
      <text>
        <r>
          <rPr>
            <sz val="9"/>
            <rFont val="宋体"/>
            <charset val="134"/>
          </rPr>
          <t>110级•钨金</t>
        </r>
      </text>
    </comment>
    <comment ref="AF660" authorId="0">
      <text>
        <r>
          <rPr>
            <sz val="9"/>
            <rFont val="宋体"/>
            <charset val="134"/>
          </rPr>
          <t>120级•钨金</t>
        </r>
      </text>
    </comment>
    <comment ref="AG660" authorId="0">
      <text>
        <r>
          <rPr>
            <sz val="9"/>
            <rFont val="宋体"/>
            <charset val="134"/>
          </rPr>
          <t>130级•钨金</t>
        </r>
      </text>
    </comment>
    <comment ref="AH660" authorId="0">
      <text>
        <r>
          <rPr>
            <sz val="9"/>
            <rFont val="宋体"/>
            <charset val="134"/>
          </rPr>
          <t>140级•钨金</t>
        </r>
      </text>
    </comment>
    <comment ref="AI660" authorId="0">
      <text>
        <r>
          <rPr>
            <sz val="9"/>
            <rFont val="宋体"/>
            <charset val="134"/>
          </rPr>
          <t>150级•钨金</t>
        </r>
      </text>
    </comment>
    <comment ref="AJ660" authorId="0">
      <text>
        <r>
          <rPr>
            <sz val="9"/>
            <rFont val="宋体"/>
            <charset val="134"/>
          </rPr>
          <t>160级•钨金</t>
        </r>
      </text>
    </comment>
    <comment ref="AK660" authorId="0">
      <text>
        <r>
          <rPr>
            <sz val="9"/>
            <rFont val="宋体"/>
            <charset val="134"/>
          </rPr>
          <t>金芒石</t>
        </r>
      </text>
    </comment>
    <comment ref="AL660" authorId="0">
      <text>
        <r>
          <rPr>
            <sz val="9"/>
            <rFont val="宋体"/>
            <charset val="134"/>
          </rPr>
          <t>星魂石</t>
        </r>
      </text>
    </comment>
    <comment ref="AM660" authorId="0">
      <text>
        <r>
          <rPr>
            <sz val="9"/>
            <rFont val="宋体"/>
            <charset val="134"/>
          </rPr>
          <t>灵髓玉</t>
        </r>
      </text>
    </comment>
    <comment ref="AN660" authorId="0">
      <text>
        <r>
          <rPr>
            <sz val="9"/>
            <rFont val="宋体"/>
            <charset val="134"/>
          </rPr>
          <t>高级兽决库</t>
        </r>
      </text>
    </comment>
    <comment ref="AO660" authorId="0">
      <text>
        <r>
          <rPr>
            <sz val="9"/>
            <rFont val="宋体"/>
            <charset val="134"/>
          </rPr>
          <t>特殊兽决随机礼包</t>
        </r>
      </text>
    </comment>
    <comment ref="O661" authorId="0">
      <text>
        <r>
          <rPr>
            <sz val="9"/>
            <rFont val="宋体"/>
            <charset val="134"/>
          </rPr>
          <t>星辰碎片</t>
        </r>
      </text>
    </comment>
    <comment ref="AE661" authorId="0">
      <text>
        <r>
          <rPr>
            <sz val="9"/>
            <rFont val="宋体"/>
            <charset val="134"/>
          </rPr>
          <t>110级•钨金</t>
        </r>
      </text>
    </comment>
    <comment ref="AF661" authorId="0">
      <text>
        <r>
          <rPr>
            <sz val="9"/>
            <rFont val="宋体"/>
            <charset val="134"/>
          </rPr>
          <t>120级•钨金</t>
        </r>
      </text>
    </comment>
    <comment ref="AG661" authorId="0">
      <text>
        <r>
          <rPr>
            <sz val="9"/>
            <rFont val="宋体"/>
            <charset val="134"/>
          </rPr>
          <t>130级•钨金</t>
        </r>
      </text>
    </comment>
    <comment ref="AH661" authorId="0">
      <text>
        <r>
          <rPr>
            <sz val="9"/>
            <rFont val="宋体"/>
            <charset val="134"/>
          </rPr>
          <t>140级•钨金</t>
        </r>
      </text>
    </comment>
    <comment ref="AI661" authorId="0">
      <text>
        <r>
          <rPr>
            <sz val="9"/>
            <rFont val="宋体"/>
            <charset val="134"/>
          </rPr>
          <t>150级•钨金</t>
        </r>
      </text>
    </comment>
    <comment ref="AJ661" authorId="0">
      <text>
        <r>
          <rPr>
            <sz val="9"/>
            <rFont val="宋体"/>
            <charset val="134"/>
          </rPr>
          <t>160级•钨金</t>
        </r>
      </text>
    </comment>
    <comment ref="AK661" authorId="0">
      <text>
        <r>
          <rPr>
            <sz val="9"/>
            <rFont val="宋体"/>
            <charset val="134"/>
          </rPr>
          <t>星辰碎片</t>
        </r>
      </text>
    </comment>
    <comment ref="AL661" authorId="0">
      <text>
        <r>
          <rPr>
            <sz val="9"/>
            <rFont val="宋体"/>
            <charset val="134"/>
          </rPr>
          <t>星辰碎玉</t>
        </r>
      </text>
    </comment>
    <comment ref="AM661" authorId="0">
      <text>
        <r>
          <rPr>
            <sz val="9"/>
            <rFont val="宋体"/>
            <charset val="134"/>
          </rPr>
          <t>星辰晶石</t>
        </r>
      </text>
    </comment>
    <comment ref="O662" authorId="0">
      <text>
        <r>
          <rPr>
            <sz val="9"/>
            <rFont val="宋体"/>
            <charset val="134"/>
          </rPr>
          <t>器灵随机库</t>
        </r>
      </text>
    </comment>
    <comment ref="AE662" authorId="0">
      <text>
        <r>
          <rPr>
            <sz val="9"/>
            <rFont val="宋体"/>
            <charset val="134"/>
          </rPr>
          <t>110级•钨金</t>
        </r>
      </text>
    </comment>
    <comment ref="AF662" authorId="0">
      <text>
        <r>
          <rPr>
            <sz val="9"/>
            <rFont val="宋体"/>
            <charset val="134"/>
          </rPr>
          <t>120级•钨金</t>
        </r>
      </text>
    </comment>
    <comment ref="AG662" authorId="0">
      <text>
        <r>
          <rPr>
            <sz val="9"/>
            <rFont val="宋体"/>
            <charset val="134"/>
          </rPr>
          <t>130级•钨金</t>
        </r>
      </text>
    </comment>
    <comment ref="AH662" authorId="0">
      <text>
        <r>
          <rPr>
            <sz val="9"/>
            <rFont val="宋体"/>
            <charset val="134"/>
          </rPr>
          <t>140级•钨金</t>
        </r>
      </text>
    </comment>
    <comment ref="AI662" authorId="0">
      <text>
        <r>
          <rPr>
            <sz val="9"/>
            <rFont val="宋体"/>
            <charset val="134"/>
          </rPr>
          <t>150级•钨金</t>
        </r>
      </text>
    </comment>
    <comment ref="AJ662" authorId="0">
      <text>
        <r>
          <rPr>
            <sz val="9"/>
            <rFont val="宋体"/>
            <charset val="134"/>
          </rPr>
          <t>160级•钨金</t>
        </r>
      </text>
    </comment>
    <comment ref="AK662" authorId="0">
      <text>
        <r>
          <rPr>
            <sz val="9"/>
            <rFont val="宋体"/>
            <charset val="134"/>
          </rPr>
          <t>3%器灵随机礼包</t>
        </r>
      </text>
    </comment>
    <comment ref="AL662" authorId="0">
      <text>
        <r>
          <rPr>
            <sz val="9"/>
            <rFont val="宋体"/>
            <charset val="134"/>
          </rPr>
          <t>4%器灵随机礼包</t>
        </r>
      </text>
    </comment>
    <comment ref="AM662" authorId="0">
      <text>
        <r>
          <rPr>
            <sz val="9"/>
            <rFont val="宋体"/>
            <charset val="134"/>
          </rPr>
          <t>5%器灵随机礼包</t>
        </r>
      </text>
    </comment>
    <comment ref="AN662" authorId="0">
      <text>
        <r>
          <rPr>
            <sz val="9"/>
            <rFont val="宋体"/>
            <charset val="134"/>
          </rPr>
          <t>6%器灵随机礼包</t>
        </r>
      </text>
    </comment>
    <comment ref="O663" authorId="0">
      <text>
        <r>
          <rPr>
            <sz val="9"/>
            <rFont val="宋体"/>
            <charset val="134"/>
          </rPr>
          <t>9-10级宝石礼包</t>
        </r>
      </text>
    </comment>
    <comment ref="AE663" authorId="0">
      <text>
        <r>
          <rPr>
            <sz val="9"/>
            <rFont val="宋体"/>
            <charset val="134"/>
          </rPr>
          <t>110级•钨金</t>
        </r>
      </text>
    </comment>
    <comment ref="AF663" authorId="0">
      <text>
        <r>
          <rPr>
            <sz val="9"/>
            <rFont val="宋体"/>
            <charset val="134"/>
          </rPr>
          <t>120级•钨金</t>
        </r>
      </text>
    </comment>
    <comment ref="AG663" authorId="0">
      <text>
        <r>
          <rPr>
            <sz val="9"/>
            <rFont val="宋体"/>
            <charset val="134"/>
          </rPr>
          <t>130级•钨金</t>
        </r>
      </text>
    </comment>
    <comment ref="AH663" authorId="0">
      <text>
        <r>
          <rPr>
            <sz val="9"/>
            <rFont val="宋体"/>
            <charset val="134"/>
          </rPr>
          <t>140级•钨金</t>
        </r>
      </text>
    </comment>
    <comment ref="AI663" authorId="0">
      <text>
        <r>
          <rPr>
            <sz val="9"/>
            <rFont val="宋体"/>
            <charset val="134"/>
          </rPr>
          <t>150级•钨金</t>
        </r>
      </text>
    </comment>
    <comment ref="AJ663" authorId="0">
      <text>
        <r>
          <rPr>
            <sz val="9"/>
            <rFont val="宋体"/>
            <charset val="134"/>
          </rPr>
          <t>160级•钨金</t>
        </r>
      </text>
    </comment>
    <comment ref="AK663" authorId="0">
      <text>
        <r>
          <rPr>
            <sz val="9"/>
            <rFont val="宋体"/>
            <charset val="134"/>
          </rPr>
          <t>11级宝石</t>
        </r>
      </text>
    </comment>
    <comment ref="AL663" authorId="0">
      <text>
        <r>
          <rPr>
            <sz val="9"/>
            <rFont val="宋体"/>
            <charset val="134"/>
          </rPr>
          <t>12级宝石</t>
        </r>
      </text>
    </comment>
    <comment ref="O664" authorId="0">
      <text>
        <r>
          <rPr>
            <b/>
            <sz val="9"/>
            <rFont val="宋体"/>
            <charset val="134"/>
          </rPr>
          <t>3-5级宝珠礼包</t>
        </r>
        <r>
          <rPr>
            <sz val="9"/>
            <rFont val="宋体"/>
            <charset val="134"/>
          </rPr>
          <t xml:space="preserve">
</t>
        </r>
      </text>
    </comment>
    <comment ref="AE664" authorId="0">
      <text>
        <r>
          <rPr>
            <sz val="9"/>
            <rFont val="宋体"/>
            <charset val="134"/>
          </rPr>
          <t>110级•钨金</t>
        </r>
      </text>
    </comment>
    <comment ref="AF664" authorId="0">
      <text>
        <r>
          <rPr>
            <sz val="9"/>
            <rFont val="宋体"/>
            <charset val="134"/>
          </rPr>
          <t>120级•钨金</t>
        </r>
      </text>
    </comment>
    <comment ref="AG664" authorId="0">
      <text>
        <r>
          <rPr>
            <sz val="9"/>
            <rFont val="宋体"/>
            <charset val="134"/>
          </rPr>
          <t>130级•钨金</t>
        </r>
      </text>
    </comment>
    <comment ref="AH664" authorId="0">
      <text>
        <r>
          <rPr>
            <sz val="9"/>
            <rFont val="宋体"/>
            <charset val="134"/>
          </rPr>
          <t>140级•钨金</t>
        </r>
      </text>
    </comment>
    <comment ref="AI664" authorId="0">
      <text>
        <r>
          <rPr>
            <sz val="9"/>
            <rFont val="宋体"/>
            <charset val="134"/>
          </rPr>
          <t>150级•钨金</t>
        </r>
      </text>
    </comment>
    <comment ref="AJ664" authorId="0">
      <text>
        <r>
          <rPr>
            <sz val="9"/>
            <rFont val="宋体"/>
            <charset val="134"/>
          </rPr>
          <t>160级•钨金</t>
        </r>
      </text>
    </comment>
    <comment ref="AK664" authorId="0">
      <text>
        <r>
          <rPr>
            <sz val="9"/>
            <rFont val="宋体"/>
            <charset val="134"/>
          </rPr>
          <t>7-8级宝珠</t>
        </r>
      </text>
    </comment>
    <comment ref="AL664" authorId="0">
      <text>
        <r>
          <rPr>
            <sz val="9"/>
            <rFont val="宋体"/>
            <charset val="134"/>
          </rPr>
          <t>6-7级宝珠</t>
        </r>
      </text>
    </comment>
    <comment ref="O665" authorId="0">
      <text>
        <r>
          <rPr>
            <sz val="9"/>
            <rFont val="宋体"/>
            <charset val="134"/>
          </rPr>
          <t>140随机锻造礼包</t>
        </r>
      </text>
    </comment>
    <comment ref="AE665" authorId="0">
      <text>
        <r>
          <rPr>
            <sz val="9"/>
            <rFont val="宋体"/>
            <charset val="134"/>
          </rPr>
          <t>110级•钨金</t>
        </r>
      </text>
    </comment>
    <comment ref="AF665" authorId="0">
      <text>
        <r>
          <rPr>
            <sz val="9"/>
            <rFont val="宋体"/>
            <charset val="134"/>
          </rPr>
          <t>120级•钨金</t>
        </r>
      </text>
    </comment>
    <comment ref="AG665" authorId="0">
      <text>
        <r>
          <rPr>
            <sz val="9"/>
            <rFont val="宋体"/>
            <charset val="134"/>
          </rPr>
          <t>130级•钨金</t>
        </r>
      </text>
    </comment>
    <comment ref="AH665" authorId="0">
      <text>
        <r>
          <rPr>
            <sz val="9"/>
            <rFont val="宋体"/>
            <charset val="134"/>
          </rPr>
          <t>140级•钨金</t>
        </r>
      </text>
    </comment>
    <comment ref="AI665" authorId="0">
      <text>
        <r>
          <rPr>
            <sz val="9"/>
            <rFont val="宋体"/>
            <charset val="134"/>
          </rPr>
          <t>150级•钨金</t>
        </r>
      </text>
    </comment>
    <comment ref="AJ665" authorId="0">
      <text>
        <r>
          <rPr>
            <sz val="9"/>
            <rFont val="宋体"/>
            <charset val="134"/>
          </rPr>
          <t>160级•钨金</t>
        </r>
      </text>
    </comment>
    <comment ref="AK665" authorId="0">
      <text>
        <r>
          <rPr>
            <sz val="9"/>
            <rFont val="宋体"/>
            <charset val="134"/>
          </rPr>
          <t>120随机锻造礼包</t>
        </r>
      </text>
    </comment>
    <comment ref="AL665" authorId="0">
      <text>
        <r>
          <rPr>
            <sz val="9"/>
            <rFont val="宋体"/>
            <charset val="134"/>
          </rPr>
          <t>130随机锻造礼包</t>
        </r>
      </text>
    </comment>
    <comment ref="AM665" authorId="0">
      <text>
        <r>
          <rPr>
            <sz val="9"/>
            <rFont val="宋体"/>
            <charset val="134"/>
          </rPr>
          <t>140随机锻造礼包</t>
        </r>
      </text>
    </comment>
    <comment ref="AN665" authorId="0">
      <text>
        <r>
          <rPr>
            <sz val="9"/>
            <rFont val="宋体"/>
            <charset val="134"/>
          </rPr>
          <t>150随机锻造礼包</t>
        </r>
      </text>
    </comment>
    <comment ref="AO665" authorId="0">
      <text>
        <r>
          <rPr>
            <sz val="9"/>
            <rFont val="宋体"/>
            <charset val="134"/>
          </rPr>
          <t>160随机锻造礼包</t>
        </r>
      </text>
    </comment>
    <comment ref="AP665" authorId="0">
      <text>
        <r>
          <rPr>
            <sz val="9"/>
            <rFont val="宋体"/>
            <charset val="134"/>
          </rPr>
          <t>普通宠物专属内丹自选</t>
        </r>
      </text>
    </comment>
    <comment ref="AQ665" authorId="0">
      <text>
        <r>
          <rPr>
            <sz val="9"/>
            <rFont val="宋体"/>
            <charset val="134"/>
          </rPr>
          <t>稀有珍兽专属内丹自选</t>
        </r>
      </text>
    </comment>
    <comment ref="O666" authorId="0">
      <text>
        <r>
          <rPr>
            <sz val="9"/>
            <rFont val="宋体"/>
            <charset val="134"/>
          </rPr>
          <t>高兽决库</t>
        </r>
      </text>
    </comment>
    <comment ref="S666" authorId="0">
      <text>
        <r>
          <rPr>
            <sz val="9"/>
            <rFont val="宋体"/>
            <charset val="134"/>
          </rPr>
          <t>150级打造图纸库</t>
        </r>
      </text>
    </comment>
    <comment ref="AE666" authorId="0">
      <text>
        <r>
          <rPr>
            <sz val="9"/>
            <rFont val="宋体"/>
            <charset val="134"/>
          </rPr>
          <t>低兽决库</t>
        </r>
      </text>
    </comment>
    <comment ref="AF666" authorId="0">
      <text>
        <r>
          <rPr>
            <sz val="9"/>
            <rFont val="宋体"/>
            <charset val="134"/>
          </rPr>
          <t>高兽决库</t>
        </r>
      </text>
    </comment>
    <comment ref="AG666" authorId="0">
      <text>
        <r>
          <rPr>
            <sz val="9"/>
            <rFont val="宋体"/>
            <charset val="134"/>
          </rPr>
          <t>星辰碎片</t>
        </r>
      </text>
    </comment>
    <comment ref="AH666" authorId="0">
      <text>
        <r>
          <rPr>
            <sz val="9"/>
            <rFont val="宋体"/>
            <charset val="134"/>
          </rPr>
          <t>星辰碎玉</t>
        </r>
      </text>
    </comment>
    <comment ref="AI666" authorId="0">
      <text>
        <r>
          <rPr>
            <sz val="9"/>
            <rFont val="宋体"/>
            <charset val="134"/>
          </rPr>
          <t>星辰晶石</t>
        </r>
      </text>
    </comment>
    <comment ref="O667" authorId="0">
      <text>
        <r>
          <rPr>
            <sz val="9"/>
            <rFont val="宋体"/>
            <charset val="134"/>
          </rPr>
          <t>变身卡随机7-9级</t>
        </r>
      </text>
    </comment>
    <comment ref="S667" authorId="0">
      <text>
        <r>
          <rPr>
            <sz val="9"/>
            <rFont val="宋体"/>
            <charset val="134"/>
          </rPr>
          <t>150级打造图纸库</t>
        </r>
      </text>
    </comment>
    <comment ref="AE667" authorId="0">
      <text>
        <r>
          <rPr>
            <sz val="9"/>
            <rFont val="宋体"/>
            <charset val="134"/>
          </rPr>
          <t>变身卡随机7-9级</t>
        </r>
      </text>
    </comment>
    <comment ref="AF667" authorId="0">
      <text>
        <r>
          <rPr>
            <sz val="9"/>
            <rFont val="宋体"/>
            <charset val="134"/>
          </rPr>
          <t>变身卡随机1-5级</t>
        </r>
      </text>
    </comment>
    <comment ref="AG667" authorId="0">
      <text>
        <r>
          <rPr>
            <sz val="9"/>
            <rFont val="宋体"/>
            <charset val="134"/>
          </rPr>
          <t>星辰碎片</t>
        </r>
      </text>
    </comment>
    <comment ref="AH667" authorId="0">
      <text>
        <r>
          <rPr>
            <sz val="9"/>
            <rFont val="宋体"/>
            <charset val="134"/>
          </rPr>
          <t>星辰碎玉</t>
        </r>
      </text>
    </comment>
    <comment ref="AI667" authorId="0">
      <text>
        <r>
          <rPr>
            <sz val="9"/>
            <rFont val="宋体"/>
            <charset val="134"/>
          </rPr>
          <t>星辰晶石</t>
        </r>
      </text>
    </comment>
    <comment ref="O668" authorId="0">
      <text>
        <r>
          <rPr>
            <sz val="9"/>
            <rFont val="宋体"/>
            <charset val="134"/>
          </rPr>
          <t>高级内丹库</t>
        </r>
      </text>
    </comment>
    <comment ref="S668" authorId="0">
      <text>
        <r>
          <rPr>
            <sz val="9"/>
            <rFont val="宋体"/>
            <charset val="134"/>
          </rPr>
          <t>150级打造图纸库</t>
        </r>
      </text>
    </comment>
    <comment ref="AE668" authorId="0">
      <text>
        <r>
          <rPr>
            <sz val="9"/>
            <rFont val="宋体"/>
            <charset val="134"/>
          </rPr>
          <t>低内丹库</t>
        </r>
      </text>
    </comment>
    <comment ref="AF668" authorId="0">
      <text>
        <r>
          <rPr>
            <sz val="9"/>
            <rFont val="宋体"/>
            <charset val="134"/>
          </rPr>
          <t>高级内丹库</t>
        </r>
      </text>
    </comment>
    <comment ref="AG668" authorId="0">
      <text>
        <r>
          <rPr>
            <sz val="9"/>
            <rFont val="宋体"/>
            <charset val="134"/>
          </rPr>
          <t>星辰碎片</t>
        </r>
      </text>
    </comment>
    <comment ref="AH668" authorId="0">
      <text>
        <r>
          <rPr>
            <sz val="9"/>
            <rFont val="宋体"/>
            <charset val="134"/>
          </rPr>
          <t>星辰碎玉</t>
        </r>
      </text>
    </comment>
    <comment ref="AI668" authorId="0">
      <text>
        <r>
          <rPr>
            <sz val="9"/>
            <rFont val="宋体"/>
            <charset val="134"/>
          </rPr>
          <t>星辰晶石</t>
        </r>
      </text>
    </comment>
    <comment ref="O669" authorId="0">
      <text>
        <r>
          <rPr>
            <sz val="9"/>
            <rFont val="宋体"/>
            <charset val="134"/>
          </rPr>
          <t>神兜兜*5</t>
        </r>
      </text>
    </comment>
    <comment ref="S669" authorId="0">
      <text>
        <r>
          <rPr>
            <sz val="9"/>
            <rFont val="宋体"/>
            <charset val="134"/>
          </rPr>
          <t>150级打造图纸库</t>
        </r>
      </text>
    </comment>
    <comment ref="AE669" authorId="0">
      <text>
        <r>
          <rPr>
            <sz val="9"/>
            <rFont val="宋体"/>
            <charset val="134"/>
          </rPr>
          <t>普通宠物专属内丹自选</t>
        </r>
      </text>
    </comment>
    <comment ref="AF669" authorId="0">
      <text>
        <r>
          <rPr>
            <sz val="9"/>
            <rFont val="宋体"/>
            <charset val="134"/>
          </rPr>
          <t>稀有珍兽专属内丹自选</t>
        </r>
      </text>
    </comment>
    <comment ref="AG669" authorId="0">
      <text>
        <r>
          <rPr>
            <sz val="9"/>
            <rFont val="宋体"/>
            <charset val="134"/>
          </rPr>
          <t>星辰碎片</t>
        </r>
      </text>
    </comment>
    <comment ref="AH669" authorId="0">
      <text>
        <r>
          <rPr>
            <sz val="9"/>
            <rFont val="宋体"/>
            <charset val="134"/>
          </rPr>
          <t>星辰碎玉</t>
        </r>
      </text>
    </comment>
    <comment ref="AI669" authorId="0">
      <text>
        <r>
          <rPr>
            <sz val="9"/>
            <rFont val="宋体"/>
            <charset val="134"/>
          </rPr>
          <t>星辰晶石</t>
        </r>
      </text>
    </comment>
    <comment ref="O670" authorId="0">
      <text>
        <r>
          <rPr>
            <sz val="9"/>
            <rFont val="宋体"/>
            <charset val="134"/>
          </rPr>
          <t>神兜兜*5</t>
        </r>
      </text>
    </comment>
    <comment ref="AE670" authorId="0">
      <text>
        <r>
          <rPr>
            <sz val="9"/>
            <rFont val="宋体"/>
            <charset val="134"/>
          </rPr>
          <t>高级兽决库</t>
        </r>
      </text>
    </comment>
    <comment ref="AF670" authorId="0">
      <text>
        <r>
          <rPr>
            <sz val="9"/>
            <rFont val="宋体"/>
            <charset val="134"/>
          </rPr>
          <t>金芒石</t>
        </r>
      </text>
    </comment>
    <comment ref="AG670" authorId="0">
      <text>
        <r>
          <rPr>
            <sz val="9"/>
            <rFont val="宋体"/>
            <charset val="134"/>
          </rPr>
          <t>星魂石</t>
        </r>
      </text>
    </comment>
    <comment ref="AH670" authorId="0">
      <text>
        <r>
          <rPr>
            <sz val="9"/>
            <rFont val="宋体"/>
            <charset val="134"/>
          </rPr>
          <t>灵髓玉</t>
        </r>
      </text>
    </comment>
    <comment ref="AI670" authorId="0">
      <text>
        <r>
          <rPr>
            <sz val="9"/>
            <rFont val="宋体"/>
            <charset val="134"/>
          </rPr>
          <t>星辰碎片</t>
        </r>
      </text>
    </comment>
    <comment ref="O671" authorId="0">
      <text>
        <r>
          <rPr>
            <sz val="9"/>
            <rFont val="宋体"/>
            <charset val="134"/>
          </rPr>
          <t>神兜兜*5</t>
        </r>
      </text>
    </comment>
    <comment ref="AE671" authorId="0">
      <text>
        <r>
          <rPr>
            <sz val="9"/>
            <rFont val="宋体"/>
            <charset val="134"/>
          </rPr>
          <t>高级兽决库</t>
        </r>
      </text>
    </comment>
    <comment ref="AF671" authorId="0">
      <text>
        <r>
          <rPr>
            <sz val="9"/>
            <rFont val="宋体"/>
            <charset val="134"/>
          </rPr>
          <t>金芒石</t>
        </r>
      </text>
    </comment>
    <comment ref="AG671" authorId="0">
      <text>
        <r>
          <rPr>
            <sz val="9"/>
            <rFont val="宋体"/>
            <charset val="134"/>
          </rPr>
          <t>星魂石</t>
        </r>
      </text>
    </comment>
    <comment ref="AH671" authorId="0">
      <text>
        <r>
          <rPr>
            <sz val="9"/>
            <rFont val="宋体"/>
            <charset val="134"/>
          </rPr>
          <t>灵髓玉</t>
        </r>
      </text>
    </comment>
    <comment ref="AI671" authorId="0">
      <text>
        <r>
          <rPr>
            <sz val="9"/>
            <rFont val="宋体"/>
            <charset val="134"/>
          </rPr>
          <t>星辰碎片</t>
        </r>
      </text>
    </comment>
    <comment ref="O672" authorId="0">
      <text>
        <r>
          <rPr>
            <sz val="9"/>
            <rFont val="宋体"/>
            <charset val="134"/>
          </rPr>
          <t>神兜兜*5</t>
        </r>
      </text>
    </comment>
    <comment ref="AE672" authorId="0">
      <text>
        <r>
          <rPr>
            <sz val="9"/>
            <rFont val="宋体"/>
            <charset val="134"/>
          </rPr>
          <t>高级兽决库</t>
        </r>
      </text>
    </comment>
    <comment ref="AF672" authorId="0">
      <text>
        <r>
          <rPr>
            <sz val="9"/>
            <rFont val="宋体"/>
            <charset val="134"/>
          </rPr>
          <t>金芒石</t>
        </r>
      </text>
    </comment>
    <comment ref="AG672" authorId="0">
      <text>
        <r>
          <rPr>
            <sz val="9"/>
            <rFont val="宋体"/>
            <charset val="134"/>
          </rPr>
          <t>星魂石</t>
        </r>
      </text>
    </comment>
    <comment ref="AH672" authorId="0">
      <text>
        <r>
          <rPr>
            <sz val="9"/>
            <rFont val="宋体"/>
            <charset val="134"/>
          </rPr>
          <t>灵髓玉</t>
        </r>
      </text>
    </comment>
    <comment ref="AI672" authorId="0">
      <text>
        <r>
          <rPr>
            <sz val="9"/>
            <rFont val="宋体"/>
            <charset val="134"/>
          </rPr>
          <t>星辰碎片</t>
        </r>
      </text>
    </comment>
    <comment ref="O673" authorId="0">
      <text>
        <r>
          <rPr>
            <sz val="9"/>
            <rFont val="宋体"/>
            <charset val="134"/>
          </rPr>
          <t>神兜兜*5</t>
        </r>
      </text>
    </comment>
    <comment ref="AE673" authorId="0">
      <text>
        <r>
          <rPr>
            <sz val="9"/>
            <rFont val="宋体"/>
            <charset val="134"/>
          </rPr>
          <t>高级兽决库</t>
        </r>
      </text>
    </comment>
    <comment ref="AF673" authorId="0">
      <text>
        <r>
          <rPr>
            <sz val="9"/>
            <rFont val="宋体"/>
            <charset val="134"/>
          </rPr>
          <t>金芒石</t>
        </r>
      </text>
    </comment>
    <comment ref="AG673" authorId="0">
      <text>
        <r>
          <rPr>
            <sz val="9"/>
            <rFont val="宋体"/>
            <charset val="134"/>
          </rPr>
          <t>星魂石</t>
        </r>
      </text>
    </comment>
    <comment ref="AH673" authorId="0">
      <text>
        <r>
          <rPr>
            <sz val="9"/>
            <rFont val="宋体"/>
            <charset val="134"/>
          </rPr>
          <t>灵髓玉</t>
        </r>
      </text>
    </comment>
    <comment ref="AI673" authorId="0">
      <text>
        <r>
          <rPr>
            <sz val="9"/>
            <rFont val="宋体"/>
            <charset val="134"/>
          </rPr>
          <t>星辰碎片</t>
        </r>
      </text>
    </comment>
    <comment ref="O674" authorId="0">
      <text>
        <r>
          <rPr>
            <sz val="9"/>
            <rFont val="宋体"/>
            <charset val="134"/>
          </rPr>
          <t>神兜兜*5</t>
        </r>
      </text>
    </comment>
    <comment ref="AE674" authorId="0">
      <text>
        <r>
          <rPr>
            <sz val="9"/>
            <rFont val="宋体"/>
            <charset val="134"/>
          </rPr>
          <t>高级兽决库</t>
        </r>
      </text>
    </comment>
    <comment ref="AF674" authorId="0">
      <text>
        <r>
          <rPr>
            <sz val="9"/>
            <rFont val="宋体"/>
            <charset val="134"/>
          </rPr>
          <t>金芒石</t>
        </r>
      </text>
    </comment>
    <comment ref="AG674" authorId="0">
      <text>
        <r>
          <rPr>
            <sz val="9"/>
            <rFont val="宋体"/>
            <charset val="134"/>
          </rPr>
          <t>星魂石</t>
        </r>
      </text>
    </comment>
    <comment ref="AH674" authorId="0">
      <text>
        <r>
          <rPr>
            <sz val="9"/>
            <rFont val="宋体"/>
            <charset val="134"/>
          </rPr>
          <t>灵髓玉</t>
        </r>
      </text>
    </comment>
    <comment ref="AI674" authorId="0">
      <text>
        <r>
          <rPr>
            <sz val="9"/>
            <rFont val="宋体"/>
            <charset val="134"/>
          </rPr>
          <t>星辰碎片</t>
        </r>
      </text>
    </comment>
    <comment ref="O675" authorId="0">
      <text>
        <r>
          <rPr>
            <sz val="9"/>
            <rFont val="宋体"/>
            <charset val="134"/>
          </rPr>
          <t>神兜兜*5</t>
        </r>
      </text>
    </comment>
    <comment ref="AE675" authorId="0">
      <text>
        <r>
          <rPr>
            <sz val="9"/>
            <rFont val="宋体"/>
            <charset val="134"/>
          </rPr>
          <t>高级兽决库</t>
        </r>
      </text>
    </comment>
    <comment ref="AF675" authorId="0">
      <text>
        <r>
          <rPr>
            <sz val="9"/>
            <rFont val="宋体"/>
            <charset val="134"/>
          </rPr>
          <t>金芒石</t>
        </r>
      </text>
    </comment>
    <comment ref="AG675" authorId="0">
      <text>
        <r>
          <rPr>
            <sz val="9"/>
            <rFont val="宋体"/>
            <charset val="134"/>
          </rPr>
          <t>星魂石</t>
        </r>
      </text>
    </comment>
    <comment ref="AH675" authorId="0">
      <text>
        <r>
          <rPr>
            <sz val="9"/>
            <rFont val="宋体"/>
            <charset val="134"/>
          </rPr>
          <t>灵髓玉</t>
        </r>
      </text>
    </comment>
    <comment ref="AI675" authorId="0">
      <text>
        <r>
          <rPr>
            <sz val="9"/>
            <rFont val="宋体"/>
            <charset val="134"/>
          </rPr>
          <t>星辰碎片</t>
        </r>
      </text>
    </comment>
    <comment ref="O676" authorId="0">
      <text>
        <r>
          <rPr>
            <sz val="9"/>
            <rFont val="宋体"/>
            <charset val="134"/>
          </rPr>
          <t>神兜兜*5</t>
        </r>
      </text>
    </comment>
    <comment ref="AE676" authorId="0">
      <text>
        <r>
          <rPr>
            <sz val="9"/>
            <rFont val="宋体"/>
            <charset val="134"/>
          </rPr>
          <t>高级兽决库</t>
        </r>
      </text>
    </comment>
    <comment ref="AF676" authorId="0">
      <text>
        <r>
          <rPr>
            <sz val="9"/>
            <rFont val="宋体"/>
            <charset val="134"/>
          </rPr>
          <t>金芒石</t>
        </r>
      </text>
    </comment>
    <comment ref="AG676" authorId="0">
      <text>
        <r>
          <rPr>
            <sz val="9"/>
            <rFont val="宋体"/>
            <charset val="134"/>
          </rPr>
          <t>星魂石</t>
        </r>
      </text>
    </comment>
    <comment ref="AH676" authorId="0">
      <text>
        <r>
          <rPr>
            <sz val="9"/>
            <rFont val="宋体"/>
            <charset val="134"/>
          </rPr>
          <t>灵髓玉</t>
        </r>
      </text>
    </comment>
    <comment ref="AI676" authorId="0">
      <text>
        <r>
          <rPr>
            <sz val="9"/>
            <rFont val="宋体"/>
            <charset val="134"/>
          </rPr>
          <t>星辰碎片</t>
        </r>
      </text>
    </comment>
    <comment ref="O677" authorId="0">
      <text>
        <r>
          <rPr>
            <sz val="9"/>
            <rFont val="宋体"/>
            <charset val="134"/>
          </rPr>
          <t>神兜兜*5</t>
        </r>
      </text>
    </comment>
    <comment ref="AE677" authorId="0">
      <text>
        <r>
          <rPr>
            <sz val="9"/>
            <rFont val="宋体"/>
            <charset val="134"/>
          </rPr>
          <t>高级兽决库</t>
        </r>
      </text>
    </comment>
    <comment ref="AF677" authorId="0">
      <text>
        <r>
          <rPr>
            <sz val="9"/>
            <rFont val="宋体"/>
            <charset val="134"/>
          </rPr>
          <t>金芒石</t>
        </r>
      </text>
    </comment>
    <comment ref="AG677" authorId="0">
      <text>
        <r>
          <rPr>
            <sz val="9"/>
            <rFont val="宋体"/>
            <charset val="134"/>
          </rPr>
          <t>星魂石</t>
        </r>
      </text>
    </comment>
    <comment ref="AH677" authorId="0">
      <text>
        <r>
          <rPr>
            <sz val="9"/>
            <rFont val="宋体"/>
            <charset val="134"/>
          </rPr>
          <t>灵髓玉</t>
        </r>
      </text>
    </comment>
    <comment ref="AI677" authorId="0">
      <text>
        <r>
          <rPr>
            <sz val="9"/>
            <rFont val="宋体"/>
            <charset val="134"/>
          </rPr>
          <t>星辰碎片</t>
        </r>
      </text>
    </comment>
    <comment ref="O678" authorId="0">
      <text>
        <r>
          <rPr>
            <sz val="9"/>
            <rFont val="宋体"/>
            <charset val="134"/>
          </rPr>
          <t>神兜兜*5</t>
        </r>
      </text>
    </comment>
    <comment ref="AE678" authorId="0">
      <text>
        <r>
          <rPr>
            <sz val="9"/>
            <rFont val="宋体"/>
            <charset val="134"/>
          </rPr>
          <t>高级兽决库</t>
        </r>
      </text>
    </comment>
    <comment ref="AF678" authorId="0">
      <text>
        <r>
          <rPr>
            <sz val="9"/>
            <rFont val="宋体"/>
            <charset val="134"/>
          </rPr>
          <t>金芒石</t>
        </r>
      </text>
    </comment>
    <comment ref="AG678" authorId="0">
      <text>
        <r>
          <rPr>
            <sz val="9"/>
            <rFont val="宋体"/>
            <charset val="134"/>
          </rPr>
          <t>星魂石</t>
        </r>
      </text>
    </comment>
    <comment ref="AH678" authorId="0">
      <text>
        <r>
          <rPr>
            <sz val="9"/>
            <rFont val="宋体"/>
            <charset val="134"/>
          </rPr>
          <t>灵髓玉</t>
        </r>
      </text>
    </comment>
    <comment ref="AI678" authorId="0">
      <text>
        <r>
          <rPr>
            <sz val="9"/>
            <rFont val="宋体"/>
            <charset val="134"/>
          </rPr>
          <t>星辰碎片</t>
        </r>
      </text>
    </comment>
    <comment ref="O679" authorId="0">
      <text>
        <r>
          <rPr>
            <sz val="9"/>
            <rFont val="宋体"/>
            <charset val="134"/>
          </rPr>
          <t>神兜兜*5</t>
        </r>
      </text>
    </comment>
    <comment ref="AE679" authorId="0">
      <text>
        <r>
          <rPr>
            <sz val="9"/>
            <rFont val="宋体"/>
            <charset val="134"/>
          </rPr>
          <t>高级兽决库</t>
        </r>
      </text>
    </comment>
    <comment ref="AF679" authorId="0">
      <text>
        <r>
          <rPr>
            <sz val="9"/>
            <rFont val="宋体"/>
            <charset val="134"/>
          </rPr>
          <t>金芒石</t>
        </r>
      </text>
    </comment>
    <comment ref="AG679" authorId="0">
      <text>
        <r>
          <rPr>
            <sz val="9"/>
            <rFont val="宋体"/>
            <charset val="134"/>
          </rPr>
          <t>星魂石</t>
        </r>
      </text>
    </comment>
    <comment ref="AH679" authorId="0">
      <text>
        <r>
          <rPr>
            <sz val="9"/>
            <rFont val="宋体"/>
            <charset val="134"/>
          </rPr>
          <t>灵髓玉</t>
        </r>
      </text>
    </comment>
    <comment ref="AI679" authorId="0">
      <text>
        <r>
          <rPr>
            <sz val="9"/>
            <rFont val="宋体"/>
            <charset val="134"/>
          </rPr>
          <t>星辰碎片</t>
        </r>
      </text>
    </comment>
    <comment ref="O680" authorId="0">
      <text>
        <r>
          <rPr>
            <sz val="9"/>
            <rFont val="宋体"/>
            <charset val="134"/>
          </rPr>
          <t>神兜兜*5</t>
        </r>
      </text>
    </comment>
    <comment ref="AE680" authorId="0">
      <text>
        <r>
          <rPr>
            <sz val="9"/>
            <rFont val="宋体"/>
            <charset val="134"/>
          </rPr>
          <t>高级兽决库</t>
        </r>
      </text>
    </comment>
    <comment ref="AF680" authorId="0">
      <text>
        <r>
          <rPr>
            <sz val="9"/>
            <rFont val="宋体"/>
            <charset val="134"/>
          </rPr>
          <t>金芒石</t>
        </r>
      </text>
    </comment>
    <comment ref="AG680" authorId="0">
      <text>
        <r>
          <rPr>
            <sz val="9"/>
            <rFont val="宋体"/>
            <charset val="134"/>
          </rPr>
          <t>星魂石</t>
        </r>
      </text>
    </comment>
    <comment ref="AH680" authorId="0">
      <text>
        <r>
          <rPr>
            <sz val="9"/>
            <rFont val="宋体"/>
            <charset val="134"/>
          </rPr>
          <t>灵髓玉</t>
        </r>
      </text>
    </comment>
    <comment ref="AI680" authorId="0">
      <text>
        <r>
          <rPr>
            <sz val="9"/>
            <rFont val="宋体"/>
            <charset val="134"/>
          </rPr>
          <t>星辰碎片</t>
        </r>
      </text>
    </comment>
    <comment ref="O681" authorId="0">
      <text>
        <r>
          <rPr>
            <sz val="9"/>
            <rFont val="宋体"/>
            <charset val="134"/>
          </rPr>
          <t>神兜兜*5</t>
        </r>
      </text>
    </comment>
    <comment ref="AE681" authorId="0">
      <text>
        <r>
          <rPr>
            <sz val="9"/>
            <rFont val="宋体"/>
            <charset val="134"/>
          </rPr>
          <t>高级兽决库</t>
        </r>
      </text>
    </comment>
    <comment ref="AF681" authorId="0">
      <text>
        <r>
          <rPr>
            <sz val="9"/>
            <rFont val="宋体"/>
            <charset val="134"/>
          </rPr>
          <t>金芒石</t>
        </r>
      </text>
    </comment>
    <comment ref="AG681" authorId="0">
      <text>
        <r>
          <rPr>
            <sz val="9"/>
            <rFont val="宋体"/>
            <charset val="134"/>
          </rPr>
          <t>星魂石</t>
        </r>
      </text>
    </comment>
    <comment ref="AH681" authorId="0">
      <text>
        <r>
          <rPr>
            <sz val="9"/>
            <rFont val="宋体"/>
            <charset val="134"/>
          </rPr>
          <t>灵髓玉</t>
        </r>
      </text>
    </comment>
    <comment ref="AI681" authorId="0">
      <text>
        <r>
          <rPr>
            <sz val="9"/>
            <rFont val="宋体"/>
            <charset val="134"/>
          </rPr>
          <t>星辰碎片</t>
        </r>
      </text>
    </comment>
    <comment ref="O682" authorId="0">
      <text>
        <r>
          <rPr>
            <sz val="9"/>
            <rFont val="宋体"/>
            <charset val="134"/>
          </rPr>
          <t>神兜兜*5</t>
        </r>
      </text>
    </comment>
    <comment ref="AE682" authorId="0">
      <text>
        <r>
          <rPr>
            <sz val="9"/>
            <rFont val="宋体"/>
            <charset val="134"/>
          </rPr>
          <t>高级兽决库</t>
        </r>
      </text>
    </comment>
    <comment ref="AF682" authorId="0">
      <text>
        <r>
          <rPr>
            <sz val="9"/>
            <rFont val="宋体"/>
            <charset val="134"/>
          </rPr>
          <t>金芒石</t>
        </r>
      </text>
    </comment>
    <comment ref="AG682" authorId="0">
      <text>
        <r>
          <rPr>
            <sz val="9"/>
            <rFont val="宋体"/>
            <charset val="134"/>
          </rPr>
          <t>星魂石</t>
        </r>
      </text>
    </comment>
    <comment ref="AH682" authorId="0">
      <text>
        <r>
          <rPr>
            <sz val="9"/>
            <rFont val="宋体"/>
            <charset val="134"/>
          </rPr>
          <t>灵髓玉</t>
        </r>
      </text>
    </comment>
    <comment ref="AI682" authorId="0">
      <text>
        <r>
          <rPr>
            <sz val="9"/>
            <rFont val="宋体"/>
            <charset val="134"/>
          </rPr>
          <t>星辰碎片</t>
        </r>
      </text>
    </comment>
    <comment ref="O683" authorId="0">
      <text>
        <r>
          <rPr>
            <sz val="9"/>
            <rFont val="宋体"/>
            <charset val="134"/>
          </rPr>
          <t>神兜兜*5</t>
        </r>
      </text>
    </comment>
    <comment ref="AE683" authorId="0">
      <text>
        <r>
          <rPr>
            <sz val="9"/>
            <rFont val="宋体"/>
            <charset val="134"/>
          </rPr>
          <t>高级兽决库</t>
        </r>
      </text>
    </comment>
    <comment ref="AF683" authorId="0">
      <text>
        <r>
          <rPr>
            <sz val="9"/>
            <rFont val="宋体"/>
            <charset val="134"/>
          </rPr>
          <t>金芒石</t>
        </r>
      </text>
    </comment>
    <comment ref="AG683" authorId="0">
      <text>
        <r>
          <rPr>
            <sz val="9"/>
            <rFont val="宋体"/>
            <charset val="134"/>
          </rPr>
          <t>星魂石</t>
        </r>
      </text>
    </comment>
    <comment ref="AH683" authorId="0">
      <text>
        <r>
          <rPr>
            <sz val="9"/>
            <rFont val="宋体"/>
            <charset val="134"/>
          </rPr>
          <t>灵髓玉</t>
        </r>
      </text>
    </comment>
    <comment ref="AI683" authorId="0">
      <text>
        <r>
          <rPr>
            <sz val="9"/>
            <rFont val="宋体"/>
            <charset val="134"/>
          </rPr>
          <t>星辰碎片</t>
        </r>
      </text>
    </comment>
    <comment ref="O684" authorId="0">
      <text>
        <r>
          <rPr>
            <sz val="9"/>
            <rFont val="宋体"/>
            <charset val="134"/>
          </rPr>
          <t>神兜兜*5</t>
        </r>
      </text>
    </comment>
    <comment ref="AE684" authorId="0">
      <text>
        <r>
          <rPr>
            <sz val="9"/>
            <rFont val="宋体"/>
            <charset val="134"/>
          </rPr>
          <t>高级兽决库</t>
        </r>
      </text>
    </comment>
    <comment ref="AF684" authorId="0">
      <text>
        <r>
          <rPr>
            <sz val="9"/>
            <rFont val="宋体"/>
            <charset val="134"/>
          </rPr>
          <t>金芒石</t>
        </r>
      </text>
    </comment>
    <comment ref="AG684" authorId="0">
      <text>
        <r>
          <rPr>
            <sz val="9"/>
            <rFont val="宋体"/>
            <charset val="134"/>
          </rPr>
          <t>星魂石</t>
        </r>
      </text>
    </comment>
    <comment ref="AH684" authorId="0">
      <text>
        <r>
          <rPr>
            <sz val="9"/>
            <rFont val="宋体"/>
            <charset val="134"/>
          </rPr>
          <t>灵髓玉</t>
        </r>
      </text>
    </comment>
    <comment ref="AI684" authorId="0">
      <text>
        <r>
          <rPr>
            <sz val="9"/>
            <rFont val="宋体"/>
            <charset val="134"/>
          </rPr>
          <t>星辰碎片</t>
        </r>
      </text>
    </comment>
    <comment ref="O685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S685" authorId="0">
      <text>
        <r>
          <rPr>
            <sz val="9"/>
            <rFont val="宋体"/>
            <charset val="134"/>
          </rPr>
          <t xml:space="preserve">140级打造图纸库
</t>
        </r>
      </text>
    </comment>
    <comment ref="W685" authorId="0">
      <text>
        <r>
          <rPr>
            <sz val="9"/>
            <rFont val="宋体"/>
            <charset val="134"/>
          </rPr>
          <t>150级打造图纸库</t>
        </r>
      </text>
    </comment>
    <comment ref="AE685" authorId="0">
      <text>
        <r>
          <rPr>
            <sz val="9"/>
            <rFont val="宋体"/>
            <charset val="134"/>
          </rPr>
          <t xml:space="preserve">140级打造图纸库
</t>
        </r>
      </text>
    </comment>
    <comment ref="AF685" authorId="0">
      <text>
        <r>
          <rPr>
            <sz val="9"/>
            <rFont val="宋体"/>
            <charset val="134"/>
          </rPr>
          <t>150级打造图纸库</t>
        </r>
      </text>
    </comment>
    <comment ref="AG685" authorId="0">
      <text>
        <r>
          <rPr>
            <sz val="9"/>
            <rFont val="宋体"/>
            <charset val="134"/>
          </rPr>
          <t xml:space="preserve">160级打造图纸库
</t>
        </r>
      </text>
    </comment>
    <comment ref="AH685" authorId="0">
      <text>
        <r>
          <rPr>
            <sz val="9"/>
            <rFont val="宋体"/>
            <charset val="134"/>
          </rPr>
          <t>星辰碎片</t>
        </r>
      </text>
    </comment>
    <comment ref="AI685" authorId="0">
      <text>
        <r>
          <rPr>
            <sz val="9"/>
            <rFont val="宋体"/>
            <charset val="134"/>
          </rPr>
          <t>星辰碎玉</t>
        </r>
      </text>
    </comment>
    <comment ref="AJ685" authorId="0">
      <text>
        <r>
          <rPr>
            <sz val="9"/>
            <rFont val="宋体"/>
            <charset val="134"/>
          </rPr>
          <t>星辰晶石</t>
        </r>
      </text>
    </comment>
    <comment ref="O686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S686" authorId="0">
      <text>
        <r>
          <rPr>
            <sz val="9"/>
            <rFont val="宋体"/>
            <charset val="134"/>
          </rPr>
          <t>140级打造图纸库</t>
        </r>
      </text>
    </comment>
    <comment ref="W686" authorId="0">
      <text>
        <r>
          <rPr>
            <sz val="9"/>
            <rFont val="宋体"/>
            <charset val="134"/>
          </rPr>
          <t xml:space="preserve">150级打造图纸库
</t>
        </r>
      </text>
    </comment>
    <comment ref="AE686" authorId="0">
      <text>
        <r>
          <rPr>
            <sz val="9"/>
            <rFont val="宋体"/>
            <charset val="134"/>
          </rPr>
          <t xml:space="preserve">140级打造图纸库
</t>
        </r>
      </text>
    </comment>
    <comment ref="AF686" authorId="0">
      <text>
        <r>
          <rPr>
            <sz val="9"/>
            <rFont val="宋体"/>
            <charset val="134"/>
          </rPr>
          <t xml:space="preserve">150级打造图纸库
</t>
        </r>
      </text>
    </comment>
    <comment ref="AG686" authorId="0">
      <text>
        <r>
          <rPr>
            <sz val="9"/>
            <rFont val="宋体"/>
            <charset val="134"/>
          </rPr>
          <t>160级打造图纸库</t>
        </r>
      </text>
    </comment>
    <comment ref="AH686" authorId="0">
      <text>
        <r>
          <rPr>
            <sz val="9"/>
            <rFont val="宋体"/>
            <charset val="134"/>
          </rPr>
          <t>星辰碎片</t>
        </r>
      </text>
    </comment>
    <comment ref="AI686" authorId="0">
      <text>
        <r>
          <rPr>
            <sz val="9"/>
            <rFont val="宋体"/>
            <charset val="134"/>
          </rPr>
          <t>星辰碎玉</t>
        </r>
      </text>
    </comment>
    <comment ref="AJ686" authorId="0">
      <text>
        <r>
          <rPr>
            <sz val="9"/>
            <rFont val="宋体"/>
            <charset val="134"/>
          </rPr>
          <t>星辰晶石</t>
        </r>
      </text>
    </comment>
    <comment ref="O687" authorId="0">
      <text>
        <r>
          <rPr>
            <sz val="9"/>
            <rFont val="宋体"/>
            <charset val="134"/>
          </rPr>
          <t>神兜兜*5</t>
        </r>
      </text>
    </comment>
    <comment ref="AE687" authorId="0">
      <text>
        <r>
          <rPr>
            <sz val="9"/>
            <rFont val="宋体"/>
            <charset val="134"/>
          </rPr>
          <t>特技符随机礼包</t>
        </r>
      </text>
    </comment>
    <comment ref="AF687" authorId="0">
      <text>
        <r>
          <rPr>
            <sz val="9"/>
            <rFont val="宋体"/>
            <charset val="134"/>
          </rPr>
          <t>坐骑礼包1</t>
        </r>
      </text>
    </comment>
    <comment ref="AG687" authorId="0">
      <text>
        <r>
          <rPr>
            <sz val="9"/>
            <rFont val="宋体"/>
            <charset val="134"/>
          </rPr>
          <t xml:space="preserve">坐骑礼包2
</t>
        </r>
      </text>
    </comment>
    <comment ref="AH687" authorId="0">
      <text>
        <r>
          <rPr>
            <sz val="9"/>
            <rFont val="宋体"/>
            <charset val="134"/>
          </rPr>
          <t xml:space="preserve">坐骑礼包3
</t>
        </r>
      </text>
    </comment>
    <comment ref="AI687" authorId="0">
      <text>
        <r>
          <rPr>
            <sz val="9"/>
            <rFont val="宋体"/>
            <charset val="134"/>
          </rPr>
          <t>坐骑礼包4</t>
        </r>
      </text>
    </comment>
    <comment ref="O688" authorId="0">
      <text>
        <r>
          <rPr>
            <sz val="9"/>
            <rFont val="宋体"/>
            <charset val="134"/>
          </rPr>
          <t>神兜兜*5</t>
        </r>
      </text>
    </comment>
    <comment ref="AE688" authorId="0">
      <text>
        <r>
          <rPr>
            <sz val="9"/>
            <rFont val="宋体"/>
            <charset val="134"/>
          </rPr>
          <t>特技符随机礼包</t>
        </r>
      </text>
    </comment>
    <comment ref="AF688" authorId="0">
      <text>
        <r>
          <rPr>
            <sz val="9"/>
            <rFont val="宋体"/>
            <charset val="134"/>
          </rPr>
          <t>坐骑礼包1</t>
        </r>
      </text>
    </comment>
    <comment ref="AG688" authorId="0">
      <text>
        <r>
          <rPr>
            <sz val="9"/>
            <rFont val="宋体"/>
            <charset val="134"/>
          </rPr>
          <t xml:space="preserve">坐骑礼包2
</t>
        </r>
      </text>
    </comment>
    <comment ref="AH688" authorId="0">
      <text>
        <r>
          <rPr>
            <sz val="9"/>
            <rFont val="宋体"/>
            <charset val="134"/>
          </rPr>
          <t xml:space="preserve">坐骑礼包3
</t>
        </r>
      </text>
    </comment>
    <comment ref="AI688" authorId="0">
      <text>
        <r>
          <rPr>
            <sz val="9"/>
            <rFont val="宋体"/>
            <charset val="134"/>
          </rPr>
          <t>坐骑礼包4</t>
        </r>
      </text>
    </comment>
    <comment ref="O689" authorId="0">
      <text>
        <r>
          <rPr>
            <sz val="9"/>
            <rFont val="宋体"/>
            <charset val="134"/>
          </rPr>
          <t>神兜兜*5</t>
        </r>
      </text>
    </comment>
    <comment ref="AE689" authorId="0">
      <text>
        <r>
          <rPr>
            <sz val="9"/>
            <rFont val="宋体"/>
            <charset val="134"/>
          </rPr>
          <t>特技符随机礼包</t>
        </r>
      </text>
    </comment>
    <comment ref="O690" authorId="0">
      <text>
        <r>
          <rPr>
            <sz val="9"/>
            <rFont val="宋体"/>
            <charset val="134"/>
          </rPr>
          <t>神兜兜*5</t>
        </r>
      </text>
    </comment>
    <comment ref="AE690" authorId="0">
      <text>
        <r>
          <rPr>
            <sz val="9"/>
            <rFont val="宋体"/>
            <charset val="134"/>
          </rPr>
          <t>特技符随机礼包</t>
        </r>
      </text>
    </comment>
    <comment ref="O691" authorId="0">
      <text>
        <r>
          <rPr>
            <sz val="9"/>
            <rFont val="宋体"/>
            <charset val="134"/>
          </rPr>
          <t>神兜兜*5</t>
        </r>
      </text>
    </comment>
    <comment ref="AE691" authorId="0">
      <text>
        <r>
          <rPr>
            <sz val="9"/>
            <rFont val="宋体"/>
            <charset val="134"/>
          </rPr>
          <t>特技符随机礼包</t>
        </r>
      </text>
    </comment>
    <comment ref="O692" authorId="0">
      <text>
        <r>
          <rPr>
            <sz val="9"/>
            <rFont val="宋体"/>
            <charset val="134"/>
          </rPr>
          <t>神兜兜*5</t>
        </r>
      </text>
    </comment>
    <comment ref="AE692" authorId="0">
      <text>
        <r>
          <rPr>
            <sz val="9"/>
            <rFont val="宋体"/>
            <charset val="134"/>
          </rPr>
          <t>特技符随机礼包</t>
        </r>
      </text>
    </comment>
    <comment ref="O693" authorId="0">
      <text>
        <r>
          <rPr>
            <sz val="9"/>
            <rFont val="宋体"/>
            <charset val="134"/>
          </rPr>
          <t>神兜兜*5</t>
        </r>
      </text>
    </comment>
    <comment ref="AE693" authorId="0">
      <text>
        <r>
          <rPr>
            <sz val="9"/>
            <rFont val="宋体"/>
            <charset val="134"/>
          </rPr>
          <t>特技符随机礼包</t>
        </r>
      </text>
    </comment>
    <comment ref="O694" authorId="0">
      <text>
        <r>
          <rPr>
            <sz val="9"/>
            <rFont val="宋体"/>
            <charset val="134"/>
          </rPr>
          <t>神兜兜*5</t>
        </r>
      </text>
    </comment>
    <comment ref="AE694" authorId="0">
      <text>
        <r>
          <rPr>
            <sz val="9"/>
            <rFont val="宋体"/>
            <charset val="134"/>
          </rPr>
          <t>特技符随机礼包</t>
        </r>
      </text>
    </comment>
    <comment ref="O695" authorId="0">
      <text>
        <r>
          <rPr>
            <sz val="9"/>
            <rFont val="宋体"/>
            <charset val="134"/>
          </rPr>
          <t>神兜兜*5</t>
        </r>
      </text>
    </comment>
    <comment ref="AE695" authorId="0">
      <text>
        <r>
          <rPr>
            <sz val="9"/>
            <rFont val="宋体"/>
            <charset val="134"/>
          </rPr>
          <t>特技符随机礼包</t>
        </r>
      </text>
    </comment>
    <comment ref="O696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S696" authorId="0">
      <text>
        <r>
          <rPr>
            <sz val="9"/>
            <rFont val="宋体"/>
            <charset val="134"/>
          </rPr>
          <t>140级打造图纸库</t>
        </r>
      </text>
    </comment>
    <comment ref="W696" authorId="0">
      <text>
        <r>
          <rPr>
            <sz val="9"/>
            <rFont val="宋体"/>
            <charset val="134"/>
          </rPr>
          <t xml:space="preserve">150级打造图纸库
</t>
        </r>
      </text>
    </comment>
    <comment ref="AE696" authorId="0">
      <text>
        <r>
          <rPr>
            <sz val="9"/>
            <rFont val="宋体"/>
            <charset val="134"/>
          </rPr>
          <t>20级宝石礼包</t>
        </r>
      </text>
    </comment>
    <comment ref="AF696" authorId="0">
      <text>
        <r>
          <rPr>
            <sz val="9"/>
            <rFont val="宋体"/>
            <charset val="134"/>
          </rPr>
          <t>13级宝珠礼包</t>
        </r>
      </text>
    </comment>
    <comment ref="AG696" authorId="0">
      <text>
        <r>
          <rPr>
            <sz val="9"/>
            <rFont val="宋体"/>
            <charset val="134"/>
          </rPr>
          <t>2级纹饰礼包</t>
        </r>
      </text>
    </comment>
    <comment ref="AH696" authorId="0">
      <text>
        <r>
          <rPr>
            <sz val="9"/>
            <rFont val="宋体"/>
            <charset val="134"/>
          </rPr>
          <t>160随机锻造礼包</t>
        </r>
      </text>
    </comment>
    <comment ref="AI696" authorId="0">
      <text>
        <r>
          <rPr>
            <sz val="9"/>
            <rFont val="宋体"/>
            <charset val="134"/>
          </rPr>
          <t>5%器灵随机礼包</t>
        </r>
      </text>
    </comment>
    <comment ref="AJ696" authorId="0">
      <text>
        <r>
          <rPr>
            <sz val="9"/>
            <rFont val="宋体"/>
            <charset val="134"/>
          </rPr>
          <t>6%器灵随机礼包</t>
        </r>
      </text>
    </comment>
    <comment ref="O697" authorId="0">
      <text>
        <r>
          <rPr>
            <sz val="9"/>
            <rFont val="宋体"/>
            <charset val="134"/>
          </rPr>
          <t xml:space="preserve">神兜兜*100
</t>
        </r>
      </text>
    </comment>
    <comment ref="S697" authorId="0">
      <text>
        <r>
          <rPr>
            <sz val="9"/>
            <rFont val="宋体"/>
            <charset val="134"/>
          </rPr>
          <t>140级打造图纸库</t>
        </r>
      </text>
    </comment>
    <comment ref="W697" authorId="0">
      <text>
        <r>
          <rPr>
            <sz val="9"/>
            <rFont val="宋体"/>
            <charset val="134"/>
          </rPr>
          <t xml:space="preserve">150级打造图纸库
</t>
        </r>
      </text>
    </comment>
    <comment ref="AE697" authorId="0">
      <text>
        <r>
          <rPr>
            <sz val="9"/>
            <rFont val="宋体"/>
            <charset val="134"/>
          </rPr>
          <t>20级宝石礼包</t>
        </r>
      </text>
    </comment>
    <comment ref="AF697" authorId="0">
      <text>
        <r>
          <rPr>
            <sz val="9"/>
            <rFont val="宋体"/>
            <charset val="134"/>
          </rPr>
          <t>13级宝珠礼包</t>
        </r>
      </text>
    </comment>
    <comment ref="AG697" authorId="0">
      <text>
        <r>
          <rPr>
            <sz val="9"/>
            <rFont val="宋体"/>
            <charset val="134"/>
          </rPr>
          <t>2级纹饰礼包</t>
        </r>
      </text>
    </comment>
    <comment ref="AH697" authorId="0">
      <text>
        <r>
          <rPr>
            <sz val="9"/>
            <rFont val="宋体"/>
            <charset val="134"/>
          </rPr>
          <t>160随机锻造礼包</t>
        </r>
      </text>
    </comment>
    <comment ref="AI697" authorId="0">
      <text>
        <r>
          <rPr>
            <sz val="9"/>
            <rFont val="宋体"/>
            <charset val="134"/>
          </rPr>
          <t>5%器灵随机礼包</t>
        </r>
      </text>
    </comment>
    <comment ref="AJ697" authorId="0">
      <text>
        <r>
          <rPr>
            <sz val="9"/>
            <rFont val="宋体"/>
            <charset val="134"/>
          </rPr>
          <t>6%器灵随机礼包</t>
        </r>
      </text>
    </comment>
  </commentList>
</comments>
</file>

<file path=xl/sharedStrings.xml><?xml version="1.0" encoding="utf-8"?>
<sst xmlns="http://schemas.openxmlformats.org/spreadsheetml/2006/main" count="4362" uniqueCount="1175">
  <si>
    <t>id</t>
  </si>
  <si>
    <t>备注</t>
  </si>
  <si>
    <t>职业贡献奖励</t>
  </si>
  <si>
    <t>节日积分奖励</t>
  </si>
  <si>
    <t>公会贡献奖励</t>
  </si>
  <si>
    <t>公会任务贡献资金</t>
  </si>
  <si>
    <t>公会任务个人分红</t>
  </si>
  <si>
    <t>经验奖励</t>
  </si>
  <si>
    <t>宠物经验奖励</t>
  </si>
  <si>
    <t>游戏币奖励</t>
  </si>
  <si>
    <t>金币奖励</t>
  </si>
  <si>
    <t>信用值比例</t>
  </si>
  <si>
    <t>信用值额外</t>
  </si>
  <si>
    <t>声望</t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</si>
  <si>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类</t>
    </r>
    <r>
      <rPr>
        <b/>
        <sz val="10"/>
        <color theme="1"/>
        <rFont val="Arial"/>
        <charset val="134"/>
      </rPr>
      <t>ID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</si>
  <si>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</si>
  <si>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类属性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</si>
  <si>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类属性值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</si>
  <si>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类</t>
    </r>
    <r>
      <rPr>
        <b/>
        <sz val="10"/>
        <color theme="1"/>
        <rFont val="Arial"/>
        <charset val="134"/>
      </rPr>
      <t>ID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</si>
  <si>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</si>
  <si>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类属性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</si>
  <si>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类属性值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</si>
  <si>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类</t>
    </r>
    <r>
      <rPr>
        <b/>
        <sz val="10"/>
        <color theme="1"/>
        <rFont val="Arial"/>
        <charset val="134"/>
      </rPr>
      <t>ID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</si>
  <si>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</si>
  <si>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类属性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</si>
  <si>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类属性值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</si>
  <si>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类</t>
    </r>
    <r>
      <rPr>
        <b/>
        <sz val="10"/>
        <color theme="1"/>
        <rFont val="Arial"/>
        <charset val="134"/>
      </rPr>
      <t>ID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</si>
  <si>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</si>
  <si>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类属性</t>
    </r>
  </si>
  <si>
    <r>
      <rPr>
        <b/>
        <sz val="10"/>
        <color theme="1"/>
        <rFont val="微软雅黑"/>
        <charset val="134"/>
      </rPr>
      <t>必给物品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类属性值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</si>
  <si>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</si>
  <si>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</si>
  <si>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</si>
  <si>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</si>
  <si>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</si>
  <si>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</si>
  <si>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</si>
  <si>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</si>
  <si>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</si>
  <si>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</si>
  <si>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11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</si>
  <si>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12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</si>
  <si>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13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</si>
  <si>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14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</si>
  <si>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15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</si>
  <si>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16</t>
    </r>
    <r>
      <rPr>
        <b/>
        <sz val="10"/>
        <color theme="1"/>
        <rFont val="微软雅黑"/>
        <charset val="134"/>
      </rPr>
      <t>类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</si>
  <si>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</si>
  <si>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</si>
  <si>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</si>
  <si>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</si>
  <si>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</si>
  <si>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</si>
  <si>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</si>
  <si>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</si>
  <si>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</si>
  <si>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</si>
  <si>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11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</si>
  <si>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12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</si>
  <si>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13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</si>
  <si>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14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</si>
  <si>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15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</si>
  <si>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16</t>
    </r>
    <r>
      <rPr>
        <b/>
        <sz val="10"/>
        <color theme="1"/>
        <rFont val="微软雅黑"/>
        <charset val="134"/>
      </rPr>
      <t>类数量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</si>
  <si>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</si>
  <si>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</si>
  <si>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</si>
  <si>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</si>
  <si>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</si>
  <si>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</si>
  <si>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</si>
  <si>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</si>
  <si>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</si>
  <si>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</si>
  <si>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11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</si>
  <si>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12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</si>
  <si>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13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</si>
  <si>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14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</si>
  <si>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15</t>
    </r>
    <r>
      <rPr>
        <b/>
        <sz val="10"/>
        <color theme="1"/>
        <rFont val="微软雅黑"/>
        <charset val="134"/>
      </rPr>
      <t>类掉率</t>
    </r>
  </si>
  <si>
    <r>
      <rPr>
        <b/>
        <sz val="10"/>
        <color theme="1"/>
        <rFont val="微软雅黑"/>
        <charset val="134"/>
      </rPr>
      <t>物品</t>
    </r>
    <r>
      <rPr>
        <b/>
        <sz val="10"/>
        <color theme="1"/>
        <rFont val="Arial"/>
        <charset val="134"/>
      </rPr>
      <t>16</t>
    </r>
    <r>
      <rPr>
        <b/>
        <sz val="10"/>
        <color theme="1"/>
        <rFont val="微软雅黑"/>
        <charset val="134"/>
      </rPr>
      <t>类掉率</t>
    </r>
  </si>
  <si>
    <t>获得概率</t>
  </si>
  <si>
    <t>总概率</t>
  </si>
  <si>
    <t>随机方式</t>
  </si>
  <si>
    <t>是否绑定</t>
  </si>
  <si>
    <r>
      <rPr>
        <b/>
        <sz val="10"/>
        <color theme="1"/>
        <rFont val="微软雅黑"/>
        <charset val="134"/>
      </rPr>
      <t>公告物品</t>
    </r>
    <r>
      <rPr>
        <b/>
        <sz val="10"/>
        <color theme="1"/>
        <rFont val="Arial"/>
        <charset val="134"/>
      </rPr>
      <t>id</t>
    </r>
  </si>
  <si>
    <t>公告编号</t>
  </si>
  <si>
    <t>是否发队伍提示</t>
  </si>
  <si>
    <t>是否触发盈福经验</t>
  </si>
  <si>
    <t>是否放入临时包裹</t>
  </si>
  <si>
    <t>是否共享掉落</t>
  </si>
  <si>
    <t>产出装备途径</t>
  </si>
  <si>
    <r>
      <rPr>
        <b/>
        <sz val="10"/>
        <color theme="1"/>
        <rFont val="微软雅黑"/>
        <charset val="134"/>
      </rPr>
      <t>定时活动</t>
    </r>
    <r>
      <rPr>
        <b/>
        <sz val="10"/>
        <color theme="1"/>
        <rFont val="Arial"/>
        <charset val="134"/>
      </rPr>
      <t>id</t>
    </r>
  </si>
  <si>
    <t>服务器获得上限</t>
  </si>
  <si>
    <t>上限清除方式</t>
  </si>
  <si>
    <r>
      <rPr>
        <b/>
        <sz val="10"/>
        <color theme="1"/>
        <rFont val="微软雅黑"/>
        <charset val="134"/>
      </rPr>
      <t>提示物品</t>
    </r>
    <r>
      <rPr>
        <b/>
        <sz val="10"/>
        <color theme="1"/>
        <rFont val="Arial"/>
        <charset val="134"/>
      </rPr>
      <t>id</t>
    </r>
  </si>
  <si>
    <t>提示编号</t>
  </si>
  <si>
    <t>提示类型</t>
  </si>
  <si>
    <t>MergeServer</t>
  </si>
  <si>
    <r>
      <rPr>
        <b/>
        <sz val="10"/>
        <color theme="1"/>
        <rFont val="微软雅黑"/>
        <charset val="134"/>
      </rPr>
      <t>掉落随机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次几率</t>
    </r>
  </si>
  <si>
    <r>
      <rPr>
        <b/>
        <sz val="10"/>
        <color theme="1"/>
        <rFont val="微软雅黑"/>
        <charset val="134"/>
      </rPr>
      <t>掉落随机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次几率</t>
    </r>
  </si>
  <si>
    <r>
      <rPr>
        <b/>
        <sz val="10"/>
        <color theme="1"/>
        <rFont val="微软雅黑"/>
        <charset val="134"/>
      </rPr>
      <t>掉落随机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次几率</t>
    </r>
  </si>
  <si>
    <t>是否受服务器等级衰减</t>
  </si>
  <si>
    <t>是否受服务器等级加成</t>
  </si>
  <si>
    <t>获得声望提示</t>
  </si>
  <si>
    <r>
      <rPr>
        <b/>
        <sz val="10"/>
        <color theme="1"/>
        <rFont val="微软雅黑"/>
        <charset val="134"/>
      </rPr>
      <t>职业日常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每轮高奖</t>
    </r>
  </si>
  <si>
    <t>RoleLv*5</t>
  </si>
  <si>
    <r>
      <rPr>
        <b/>
        <sz val="10"/>
        <color theme="1"/>
        <rFont val="微软雅黑"/>
        <charset val="134"/>
      </rPr>
      <t>职业日常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高奖奖励</t>
    </r>
  </si>
  <si>
    <t>(1+IsSerMul)*(StdExp*13.333/28.867*((Ring-1)*0.08+1)+RoleLv*50-1000)</t>
  </si>
  <si>
    <t>(1+IsSerMul)*(5000*RoleLv*0.5/20)</t>
  </si>
  <si>
    <r>
      <rPr>
        <b/>
        <sz val="10"/>
        <color theme="1"/>
        <rFont val="微软雅黑"/>
        <charset val="134"/>
      </rPr>
      <t>职业日常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额外奖励</t>
    </r>
  </si>
  <si>
    <r>
      <rPr>
        <b/>
        <sz val="10"/>
        <color theme="1"/>
        <rFont val="微软雅黑"/>
        <charset val="134"/>
      </rPr>
      <t>职业日常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高品奖励</t>
    </r>
  </si>
  <si>
    <t>(StdExp*13.333/28.867*((Ring-1)*0.08+1)+RoleLv*50-1000)</t>
  </si>
  <si>
    <t>超级大礼包</t>
  </si>
  <si>
    <t>(5000*RoleLv*0.075)*(random()*(1.02-0.98)+0.98)*(1-min(5-TeamNum,2)*0.15)</t>
  </si>
  <si>
    <t>职业任务</t>
  </si>
  <si>
    <t>纵横驰骋</t>
  </si>
  <si>
    <t>Duang</t>
  </si>
  <si>
    <t>宝箱高兽决</t>
  </si>
  <si>
    <t/>
  </si>
  <si>
    <t>宝箱低兽决</t>
  </si>
  <si>
    <t>宝箱龙骸</t>
  </si>
  <si>
    <t>宝箱龙骸（转盘专用）</t>
  </si>
  <si>
    <t>野外挂机经验</t>
  </si>
  <si>
    <t>(400*MonsterLv*0.011*(MonsterNum*0.083+MasterNum*0.1245)*min(max(1-0.2*floor(abs(MonsterLv-RoleLv)/5),0.1),1)*(1-IsDbPoint)+400*MonsterLv*0.13*(MonsterNum*0.083+MasterNum*0.1245)*min(max(1-0.2*floor(abs(MonsterLv-RoleLv)/5),0.1),1)*IsDbPoint)*(random()*(1.02-0.98)+0.98)</t>
  </si>
  <si>
    <t>(5000*MonsterLv*0.011*(MonsterNum*0.083+MasterNum*0.1245)*min(max(1-0.2*floor(abs(MonsterLv-RoleLv)/5),0.1),1)*(1-IsDbPoint)+5000*MonsterLv*0.02*(MonsterNum*0.083+MasterNum*0.1245)*min(max(1-0.2*floor(abs(MonsterLv-RoleLv)/5),0.1),1)*IsDbPoint)*(random()*(1.02-0.98)+0.98)</t>
  </si>
  <si>
    <t>暗雷区掉落测试用</t>
  </si>
  <si>
    <t>火鸡大餐</t>
  </si>
  <si>
    <t>StdExp*5/10*(random()*(1.2-0.8)+0.8)</t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</si>
  <si>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级宝石专用包</t>
    </r>
  </si>
  <si>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级宝石专用包</t>
    </r>
  </si>
  <si>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级宝石专用包</t>
    </r>
  </si>
  <si>
    <t>队长宝箱</t>
  </si>
  <si>
    <t>光环箱子</t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</si>
  <si>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级普通副本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怪物掉落</t>
    </r>
  </si>
  <si>
    <t>(1+0.05*IsTL)*(1+IsSerMul)*(StdExp*6.6667/8*((Ring-1)*0.3+1))</t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</si>
  <si>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级精英副本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怪物掉落</t>
    </r>
  </si>
  <si>
    <t>(1+0.05*IsTL)*(1+IsSerMul)*(StdExp*2.14*7/8*((Ring-1)*0.3+1))</t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</si>
  <si>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级普通副本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怪物掉落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</si>
  <si>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级精英副本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怪物掉落</t>
    </r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</si>
  <si>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级普通副本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关奖励</t>
    </r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</si>
  <si>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级精英副本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关奖励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</si>
  <si>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级普通副本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关奖励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</si>
  <si>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级精英副本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关奖励</t>
    </r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</si>
  <si>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级普通副本</t>
    </r>
    <r>
      <rPr>
        <b/>
        <sz val="10"/>
        <color theme="1"/>
        <rFont val="Arial"/>
        <charset val="134"/>
      </rPr>
      <t>-ROLL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(40-45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</si>
  <si>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级普通副本</t>
    </r>
    <r>
      <rPr>
        <b/>
        <sz val="10"/>
        <color theme="1"/>
        <rFont val="Arial"/>
        <charset val="134"/>
      </rPr>
      <t>-ROLL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(46-55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</si>
  <si>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级普通副本</t>
    </r>
    <r>
      <rPr>
        <b/>
        <sz val="10"/>
        <color theme="1"/>
        <rFont val="Arial"/>
        <charset val="134"/>
      </rPr>
      <t>-ROLL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(56-155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</si>
  <si>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级精英副本</t>
    </r>
    <r>
      <rPr>
        <b/>
        <sz val="10"/>
        <color theme="1"/>
        <rFont val="Arial"/>
        <charset val="134"/>
      </rPr>
      <t>-ROLL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(40-45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</si>
  <si>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级精英副本</t>
    </r>
    <r>
      <rPr>
        <b/>
        <sz val="10"/>
        <color theme="1"/>
        <rFont val="Arial"/>
        <charset val="134"/>
      </rPr>
      <t>-ROLL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(46-55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</si>
  <si>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级精英副本</t>
    </r>
    <r>
      <rPr>
        <b/>
        <sz val="10"/>
        <color theme="1"/>
        <rFont val="Arial"/>
        <charset val="134"/>
      </rPr>
      <t>-ROLL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(46-155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</si>
  <si>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级普通副本</t>
    </r>
    <r>
      <rPr>
        <b/>
        <sz val="10"/>
        <color theme="1"/>
        <rFont val="Arial"/>
        <charset val="134"/>
      </rPr>
      <t>-ROLL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(60-155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</si>
  <si>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级精英副本</t>
    </r>
    <r>
      <rPr>
        <b/>
        <sz val="10"/>
        <color theme="1"/>
        <rFont val="Arial"/>
        <charset val="134"/>
      </rPr>
      <t>-ROLL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(60-155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</si>
  <si>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级普通副本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通关宝箱奖励</t>
    </r>
  </si>
  <si>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级精英副本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通关宝箱奖励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</si>
  <si>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级普通副本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通关宝箱奖励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</si>
  <si>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级精英副本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通关宝箱奖励</t>
    </r>
  </si>
  <si>
    <t>精英副本声望奖励</t>
  </si>
  <si>
    <t>RoleLv*200</t>
  </si>
  <si>
    <t>普通副本声望奖励</t>
  </si>
  <si>
    <r>
      <rPr>
        <b/>
        <sz val="10"/>
        <color theme="1"/>
        <rFont val="微软雅黑"/>
        <charset val="134"/>
      </rPr>
      <t>公会任务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常规奖励</t>
    </r>
  </si>
  <si>
    <t>(1+IsSerMul)*(StdExp*0.83/14.5*((Ring-1)*0.1+1))</t>
  </si>
  <si>
    <r>
      <rPr>
        <b/>
        <sz val="10"/>
        <color theme="1"/>
        <rFont val="微软雅黑"/>
        <charset val="134"/>
      </rPr>
      <t>公会任务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品质奖励</t>
    </r>
  </si>
  <si>
    <r>
      <rPr>
        <b/>
        <sz val="10"/>
        <color theme="1"/>
        <rFont val="微软雅黑"/>
        <charset val="134"/>
      </rPr>
      <t>公会任务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高品奖励</t>
    </r>
  </si>
  <si>
    <t>StdExp*0.83/14.5*((Ring-1)*0.1+1)</t>
  </si>
  <si>
    <t>公会副本宝箱</t>
  </si>
  <si>
    <t>311001;311002;311003;311004;311005;311006;311007;311008;311009;311010;311011;311012;311013;311014;311015;311016;311017;311018;311019;311020;311021;311022;311023;311024;311025;311026;311027;311028;311029;311030;311031;311032;311033;311034;311035;311036;311037;311075;311076;311077;311078</t>
  </si>
  <si>
    <t>公会副本怪物奖励</t>
  </si>
  <si>
    <t>StdExp*7*2.86/168*8</t>
  </si>
  <si>
    <r>
      <rPr>
        <b/>
        <sz val="10"/>
        <color theme="1"/>
        <rFont val="微软雅黑"/>
        <charset val="134"/>
      </rPr>
      <t>通缉天灾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共享奖励</t>
    </r>
    <r>
      <rPr>
        <b/>
        <sz val="10"/>
        <color theme="1"/>
        <rFont val="Arial"/>
        <charset val="134"/>
      </rPr>
      <t>(R</t>
    </r>
    <r>
      <rPr>
        <b/>
        <sz val="10"/>
        <color theme="1"/>
        <rFont val="微软雅黑"/>
        <charset val="134"/>
      </rPr>
      <t>点</t>
    </r>
    <r>
      <rPr>
        <b/>
        <sz val="10"/>
        <color theme="1"/>
        <rFont val="Arial"/>
        <charset val="134"/>
      </rPr>
      <t>)</t>
    </r>
  </si>
  <si>
    <r>
      <rPr>
        <b/>
        <sz val="10"/>
        <color theme="1"/>
        <rFont val="微软雅黑"/>
        <charset val="134"/>
      </rPr>
      <t>通缉天灾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每轮双倍附加</t>
    </r>
  </si>
  <si>
    <r>
      <rPr>
        <b/>
        <sz val="10"/>
        <color theme="1"/>
        <rFont val="微软雅黑"/>
        <charset val="134"/>
      </rPr>
      <t>通缉天灾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队长宝箱掉落</t>
    </r>
  </si>
  <si>
    <r>
      <rPr>
        <b/>
        <sz val="10"/>
        <color theme="1"/>
        <rFont val="微软雅黑"/>
        <charset val="134"/>
      </rPr>
      <t>通缉天灾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常规奖励</t>
    </r>
  </si>
  <si>
    <t>(1+0.05*IsTL)*(1+7*IsDbPoint+IsSerMul)*(StdExp*10/63*((Ring-1)*0.05+1))</t>
  </si>
  <si>
    <t>(1+0.05*IsTL)*(1+1.5*IsDbPoint+IsSerMul)*(5000*RoleLv*1.25/50)</t>
  </si>
  <si>
    <t>(IsDbPoint*(Ring-1)*1+6)</t>
  </si>
  <si>
    <r>
      <rPr>
        <b/>
        <sz val="10"/>
        <color theme="1"/>
        <rFont val="微软雅黑"/>
        <charset val="134"/>
      </rPr>
      <t>通缉天灾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魔王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(40-45)</t>
    </r>
  </si>
  <si>
    <r>
      <rPr>
        <b/>
        <sz val="10"/>
        <color theme="1"/>
        <rFont val="微软雅黑"/>
        <charset val="134"/>
      </rPr>
      <t>通缉天灾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魔王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(46-55)</t>
    </r>
  </si>
  <si>
    <r>
      <rPr>
        <b/>
        <sz val="10"/>
        <color theme="1"/>
        <rFont val="微软雅黑"/>
        <charset val="134"/>
      </rPr>
      <t>通缉天灾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魔王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(56-65)</t>
    </r>
  </si>
  <si>
    <r>
      <rPr>
        <b/>
        <sz val="10"/>
        <color theme="1"/>
        <rFont val="微软雅黑"/>
        <charset val="134"/>
      </rPr>
      <t>通缉天灾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魔王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(66-155)</t>
    </r>
  </si>
  <si>
    <r>
      <rPr>
        <b/>
        <sz val="10"/>
        <color theme="1"/>
        <rFont val="微软雅黑"/>
        <charset val="134"/>
      </rPr>
      <t>通缉天灾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魔王常规奖励</t>
    </r>
  </si>
  <si>
    <t>(1+0.05*IsTL)*(1+7*IsDbPoint+IsSerMul)*(StdExp*10/63*(14*0.05+1))</t>
  </si>
  <si>
    <t>古神爪牙</t>
  </si>
  <si>
    <t>(1+0.05*IsTL)*(1+IsSerMul)*(StdExp*6.7/10)*((TeamNum-1)*0.05+1)</t>
  </si>
  <si>
    <t>RoleLv*100</t>
  </si>
  <si>
    <t>(MonsterLv-30)*0.2+4</t>
  </si>
  <si>
    <r>
      <rPr>
        <b/>
        <sz val="10"/>
        <color theme="1"/>
        <rFont val="微软雅黑"/>
        <charset val="134"/>
      </rPr>
      <t>古神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上古之神常规奖励</t>
    </r>
  </si>
  <si>
    <t>(1+0.05*IsTL)*(1+IsSerMul)*(StdExp*6)</t>
  </si>
  <si>
    <t>RoleLv*100*30/5</t>
  </si>
  <si>
    <t>MonsterLv+20</t>
  </si>
  <si>
    <r>
      <rPr>
        <b/>
        <sz val="10"/>
        <color theme="1"/>
        <rFont val="微软雅黑"/>
        <charset val="134"/>
      </rPr>
      <t>古神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上古之神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(40-45)</t>
    </r>
  </si>
  <si>
    <r>
      <rPr>
        <b/>
        <sz val="10"/>
        <color theme="1"/>
        <rFont val="微软雅黑"/>
        <charset val="134"/>
      </rPr>
      <t>古神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上古之神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(46-55)</t>
    </r>
  </si>
  <si>
    <r>
      <rPr>
        <b/>
        <sz val="10"/>
        <color theme="1"/>
        <rFont val="微软雅黑"/>
        <charset val="134"/>
      </rPr>
      <t>古神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上古之神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(56-65)</t>
    </r>
  </si>
  <si>
    <r>
      <rPr>
        <b/>
        <sz val="10"/>
        <color theme="1"/>
        <rFont val="微软雅黑"/>
        <charset val="134"/>
      </rPr>
      <t>古神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上古之神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  <r>
      <rPr>
        <b/>
        <sz val="10"/>
        <color theme="1"/>
        <rFont val="Arial"/>
        <charset val="134"/>
      </rPr>
      <t>(66-155)</t>
    </r>
  </si>
  <si>
    <t>古神声望奖励</t>
  </si>
  <si>
    <t>寻找宝藏常规宝宝被打死奖励</t>
  </si>
  <si>
    <t>寻找宝藏银币奖励</t>
  </si>
  <si>
    <t>寻找宝藏打怪奖励</t>
  </si>
  <si>
    <t>(1+IsSerMul)*(StdExp*0.2)</t>
  </si>
  <si>
    <r>
      <rPr>
        <b/>
        <sz val="10"/>
        <color theme="1"/>
        <rFont val="微软雅黑"/>
        <charset val="134"/>
      </rPr>
      <t>寻找宝藏宝物奖励</t>
    </r>
    <r>
      <rPr>
        <b/>
        <sz val="10"/>
        <color theme="1"/>
        <rFont val="Arial"/>
        <charset val="134"/>
      </rPr>
      <t>(30</t>
    </r>
    <r>
      <rPr>
        <b/>
        <sz val="10"/>
        <color theme="1"/>
        <rFont val="微软雅黑"/>
        <charset val="134"/>
      </rPr>
      <t>以下）</t>
    </r>
  </si>
  <si>
    <r>
      <rPr>
        <b/>
        <sz val="10"/>
        <color theme="1"/>
        <rFont val="微软雅黑"/>
        <charset val="134"/>
      </rPr>
      <t>寻找宝藏宝物奖励</t>
    </r>
    <r>
      <rPr>
        <b/>
        <sz val="10"/>
        <color theme="1"/>
        <rFont val="Arial"/>
        <charset val="134"/>
      </rPr>
      <t>(30-39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</si>
  <si>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微软雅黑"/>
        <charset val="134"/>
      </rPr>
      <t>寻找宝藏宝物奖励</t>
    </r>
    <r>
      <rPr>
        <b/>
        <sz val="10"/>
        <color theme="1"/>
        <rFont val="Arial"/>
        <charset val="134"/>
      </rPr>
      <t>(40-49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</si>
  <si>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微软雅黑"/>
        <charset val="134"/>
      </rPr>
      <t>寻找宝藏宝物奖励</t>
    </r>
    <r>
      <rPr>
        <b/>
        <sz val="10"/>
        <color theme="1"/>
        <rFont val="Arial"/>
        <charset val="134"/>
      </rPr>
      <t>(50-59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</si>
  <si>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微软雅黑"/>
        <charset val="134"/>
      </rPr>
      <t>寻找宝藏宝物奖励</t>
    </r>
    <r>
      <rPr>
        <b/>
        <sz val="10"/>
        <color theme="1"/>
        <rFont val="Arial"/>
        <charset val="134"/>
      </rPr>
      <t>(60</t>
    </r>
    <r>
      <rPr>
        <b/>
        <sz val="10"/>
        <color theme="1"/>
        <rFont val="微软雅黑"/>
        <charset val="134"/>
      </rPr>
      <t>以上）</t>
    </r>
  </si>
  <si>
    <r>
      <rPr>
        <b/>
        <sz val="10"/>
        <color theme="1"/>
        <rFont val="微软雅黑"/>
        <charset val="134"/>
      </rPr>
      <t>艾泽拉斯地理问答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正确</t>
    </r>
  </si>
  <si>
    <t>(175+random()*50)*RoleLv</t>
  </si>
  <si>
    <r>
      <rPr>
        <b/>
        <sz val="10"/>
        <color theme="1"/>
        <rFont val="微软雅黑"/>
        <charset val="134"/>
      </rPr>
      <t>艾泽拉斯地理问答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错误</t>
    </r>
  </si>
  <si>
    <t>(105+random()*30)*RoleLv</t>
  </si>
  <si>
    <r>
      <rPr>
        <b/>
        <sz val="10"/>
        <color theme="1"/>
        <rFont val="微软雅黑"/>
        <charset val="134"/>
      </rPr>
      <t>艾泽拉斯地理问答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宝箱</t>
    </r>
  </si>
  <si>
    <t>好友试炼</t>
  </si>
  <si>
    <t>(400*RoleLv*2.5)*(random()*(1.02-0.98)+0.98)</t>
  </si>
  <si>
    <t>(1000*RoleLv*0.5)*(random()*(1.02-0.98)+0.98)</t>
  </si>
  <si>
    <t>考古任务</t>
  </si>
  <si>
    <r>
      <rPr>
        <b/>
        <sz val="10"/>
        <color theme="1"/>
        <rFont val="微软雅黑"/>
        <charset val="134"/>
      </rPr>
      <t>屠龙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龙族守卫（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以下）</t>
    </r>
  </si>
  <si>
    <t>(1+0.05*IsTL)*(1+IsSerMul)*(StdExp*6.7/15)</t>
  </si>
  <si>
    <r>
      <rPr>
        <b/>
        <sz val="10"/>
        <color theme="1"/>
        <rFont val="微软雅黑"/>
        <charset val="134"/>
      </rPr>
      <t>屠龙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龙族军团（</t>
    </r>
    <r>
      <rPr>
        <b/>
        <sz val="10"/>
        <color theme="1"/>
        <rFont val="Arial"/>
        <charset val="134"/>
      </rPr>
      <t>40-59</t>
    </r>
    <r>
      <rPr>
        <b/>
        <sz val="10"/>
        <color theme="1"/>
        <rFont val="微软雅黑"/>
        <charset val="134"/>
      </rPr>
      <t>）</t>
    </r>
  </si>
  <si>
    <t>(1+0.05*IsTL)*(1+IsSerMul)*(StdExp*6.7/5)</t>
  </si>
  <si>
    <r>
      <rPr>
        <b/>
        <sz val="10"/>
        <color theme="1"/>
        <rFont val="微软雅黑"/>
        <charset val="134"/>
      </rPr>
      <t>屠龙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龙族精锐（</t>
    </r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以上）</t>
    </r>
  </si>
  <si>
    <r>
      <rPr>
        <b/>
        <sz val="10"/>
        <color theme="1"/>
        <rFont val="微软雅黑"/>
        <charset val="134"/>
      </rPr>
      <t>屠龙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龙族</t>
    </r>
    <r>
      <rPr>
        <b/>
        <sz val="10"/>
        <color theme="1"/>
        <rFont val="Arial"/>
        <charset val="134"/>
      </rPr>
      <t>BOSS</t>
    </r>
    <r>
      <rPr>
        <b/>
        <sz val="10"/>
        <color theme="1"/>
        <rFont val="微软雅黑"/>
        <charset val="134"/>
      </rPr>
      <t>（</t>
    </r>
    <r>
      <rPr>
        <b/>
        <sz val="10"/>
        <color theme="1"/>
        <rFont val="Arial"/>
        <charset val="134"/>
      </rPr>
      <t>70</t>
    </r>
    <r>
      <rPr>
        <b/>
        <sz val="10"/>
        <color theme="1"/>
        <rFont val="微软雅黑"/>
        <charset val="134"/>
      </rPr>
      <t>以上）</t>
    </r>
  </si>
  <si>
    <t>(1+0.05*IsTL)*(1+IsSerMul)*(StdExp*6.7)</t>
  </si>
  <si>
    <r>
      <rPr>
        <b/>
        <sz val="10"/>
        <color theme="1"/>
        <rFont val="微软雅黑"/>
        <charset val="134"/>
      </rPr>
      <t>屠龙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龙族</t>
    </r>
    <r>
      <rPr>
        <b/>
        <sz val="10"/>
        <color theme="1"/>
        <rFont val="Arial"/>
        <charset val="134"/>
      </rPr>
      <t>BOSS</t>
    </r>
    <r>
      <rPr>
        <b/>
        <sz val="10"/>
        <color theme="1"/>
        <rFont val="微软雅黑"/>
        <charset val="134"/>
      </rPr>
      <t>（共享掉落）</t>
    </r>
  </si>
  <si>
    <t>冰封王座（怪物掉落）</t>
  </si>
  <si>
    <t>100*1</t>
  </si>
  <si>
    <t>冰封王座（宝箱奖励）</t>
  </si>
  <si>
    <t>冰封王座前十名奖励</t>
  </si>
  <si>
    <t>331350;331351;331352;331353;331354;311002;311012;311001;311038;311039;311040;311041;311042;311043;311044;311045;311046;311047;311048;311049;311050</t>
  </si>
  <si>
    <r>
      <rPr>
        <b/>
        <sz val="10"/>
        <color theme="1"/>
        <rFont val="微软雅黑"/>
        <charset val="134"/>
      </rPr>
      <t>测试奖励</t>
    </r>
    <r>
      <rPr>
        <b/>
        <sz val="10"/>
        <color theme="1"/>
        <rFont val="Arial"/>
        <charset val="134"/>
      </rPr>
      <t>1</t>
    </r>
  </si>
  <si>
    <t>100*RoleLv</t>
  </si>
  <si>
    <r>
      <rPr>
        <b/>
        <sz val="10"/>
        <color theme="1"/>
        <rFont val="微软雅黑"/>
        <charset val="134"/>
      </rPr>
      <t>测试奖励</t>
    </r>
    <r>
      <rPr>
        <b/>
        <sz val="10"/>
        <color theme="1"/>
        <rFont val="Arial"/>
        <charset val="134"/>
      </rPr>
      <t>2</t>
    </r>
  </si>
  <si>
    <t>200*RoleLv</t>
  </si>
  <si>
    <r>
      <rPr>
        <b/>
        <sz val="10"/>
        <color theme="1"/>
        <rFont val="微软雅黑"/>
        <charset val="134"/>
      </rPr>
      <t>测试奖励</t>
    </r>
    <r>
      <rPr>
        <b/>
        <sz val="10"/>
        <color theme="1"/>
        <rFont val="Arial"/>
        <charset val="134"/>
      </rPr>
      <t>3</t>
    </r>
  </si>
  <si>
    <t>500*RoleLv</t>
  </si>
  <si>
    <t>亚龙奖励</t>
  </si>
  <si>
    <t>巨龙奖励</t>
  </si>
  <si>
    <t>巨龙精英奖励</t>
  </si>
  <si>
    <t>世界宝箱测试奖励</t>
  </si>
  <si>
    <t>宠物相伴</t>
  </si>
  <si>
    <t>呼朋唤友</t>
  </si>
  <si>
    <t>新兵报到</t>
  </si>
  <si>
    <t>创物梦境</t>
  </si>
  <si>
    <t>王冠</t>
  </si>
  <si>
    <t>帮派玩法</t>
  </si>
  <si>
    <t>职业技能</t>
  </si>
  <si>
    <t>大陆声音</t>
  </si>
  <si>
    <t>英雄试炼</t>
  </si>
  <si>
    <t>燃烧的远征</t>
  </si>
  <si>
    <t>大囧龟</t>
  </si>
  <si>
    <t>封印古神</t>
  </si>
  <si>
    <t>寻宝秘闻</t>
  </si>
  <si>
    <t>主宰之剑</t>
  </si>
  <si>
    <t>打造装备</t>
  </si>
  <si>
    <t>镶嵌宝石</t>
  </si>
  <si>
    <t>排行榜</t>
  </si>
  <si>
    <t>玫瑰与王权</t>
  </si>
  <si>
    <t>任务修炼</t>
  </si>
  <si>
    <t>药品使用</t>
  </si>
  <si>
    <t>黑石之锅</t>
  </si>
  <si>
    <t>两个国王</t>
  </si>
  <si>
    <t>暴风的权杖</t>
  </si>
  <si>
    <t>巨龙入侵</t>
  </si>
  <si>
    <t>职业特技</t>
  </si>
  <si>
    <r>
      <rPr>
        <b/>
        <sz val="10"/>
        <color theme="1"/>
        <rFont val="Arial"/>
        <charset val="134"/>
      </rPr>
      <t>55</t>
    </r>
    <r>
      <rPr>
        <b/>
        <sz val="10"/>
        <color theme="1"/>
        <rFont val="微软雅黑"/>
        <charset val="134"/>
      </rPr>
      <t>级宠物</t>
    </r>
  </si>
  <si>
    <t>血色之殇</t>
  </si>
  <si>
    <r>
      <rPr>
        <b/>
        <sz val="10"/>
        <color theme="1"/>
        <rFont val="Arial"/>
        <charset val="134"/>
      </rPr>
      <t>65</t>
    </r>
    <r>
      <rPr>
        <b/>
        <sz val="10"/>
        <color theme="1"/>
        <rFont val="微软雅黑"/>
        <charset val="134"/>
      </rPr>
      <t>级宠物</t>
    </r>
  </si>
  <si>
    <t>第二个装备孔</t>
  </si>
  <si>
    <t>更强的宠物</t>
  </si>
  <si>
    <t>七级宝石</t>
  </si>
  <si>
    <t>稀有宠物</t>
  </si>
  <si>
    <t>九级宝石</t>
  </si>
  <si>
    <t>义结金兰</t>
  </si>
  <si>
    <t>眼疾手快</t>
  </si>
  <si>
    <t>礼尚往来</t>
  </si>
  <si>
    <t>白手起家</t>
  </si>
  <si>
    <t>情比金坚</t>
  </si>
  <si>
    <t>小试身手</t>
  </si>
  <si>
    <t>珍品神宠</t>
  </si>
  <si>
    <t>高分神宠</t>
  </si>
  <si>
    <t>能工巧匠</t>
  </si>
  <si>
    <t>珍稀灵兽</t>
  </si>
  <si>
    <t>紫装贵族</t>
  </si>
  <si>
    <t>好好学习</t>
  </si>
  <si>
    <t>权威认证</t>
  </si>
  <si>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级宝石</t>
    </r>
  </si>
  <si>
    <t>珠光宝气</t>
  </si>
  <si>
    <t>公会副本</t>
  </si>
  <si>
    <t>雪中送炭</t>
  </si>
  <si>
    <t>变异神宠</t>
  </si>
  <si>
    <t>聪明绝顶</t>
  </si>
  <si>
    <t>强强联合</t>
  </si>
  <si>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级宝石</t>
    </r>
  </si>
  <si>
    <t>享受生活</t>
  </si>
  <si>
    <t>大逃杀</t>
  </si>
  <si>
    <t>乐善好施</t>
  </si>
  <si>
    <t>特殊技能</t>
  </si>
  <si>
    <t>合宠大师</t>
  </si>
  <si>
    <t>王公贵胄</t>
  </si>
  <si>
    <t>门庭若市</t>
  </si>
  <si>
    <t>高朋满座</t>
  </si>
  <si>
    <r>
      <rPr>
        <b/>
        <sz val="10"/>
        <color theme="1"/>
        <rFont val="Arial"/>
        <charset val="134"/>
      </rPr>
      <t>12000-12200</t>
    </r>
    <r>
      <rPr>
        <b/>
        <sz val="10"/>
        <color theme="1"/>
        <rFont val="微软雅黑"/>
        <charset val="134"/>
      </rPr>
      <t>成就占用</t>
    </r>
  </si>
  <si>
    <r>
      <rPr>
        <b/>
        <sz val="10"/>
        <color theme="1"/>
        <rFont val="微软雅黑"/>
        <charset val="134"/>
      </rPr>
      <t>师门日常每环奖励</t>
    </r>
    <r>
      <rPr>
        <b/>
        <sz val="10"/>
        <color theme="1"/>
        <rFont val="Arial"/>
        <charset val="134"/>
      </rPr>
      <t>0</t>
    </r>
  </si>
  <si>
    <t>(5000*RoleLv*0.05*(0.78+0.04*Ring))*(random()*(1.02-0.98)+0.98)</t>
  </si>
  <si>
    <t>(1000*RoleLv*0.2*(0.78+0.04*Ring))*(random()*(1.02-0.98)+0.98)</t>
  </si>
  <si>
    <r>
      <rPr>
        <b/>
        <sz val="10"/>
        <color theme="1"/>
        <rFont val="微软雅黑"/>
        <charset val="134"/>
      </rPr>
      <t>师门日常特殊奖励</t>
    </r>
    <r>
      <rPr>
        <b/>
        <sz val="10"/>
        <color theme="1"/>
        <rFont val="Arial"/>
        <charset val="134"/>
      </rPr>
      <t>1~59</t>
    </r>
    <r>
      <rPr>
        <b/>
        <sz val="10"/>
        <color theme="1"/>
        <rFont val="微软雅黑"/>
        <charset val="134"/>
      </rPr>
      <t>级</t>
    </r>
  </si>
  <si>
    <t>(1*RoleLv*11)*(random()*(1.02-0.98)+0.98)</t>
  </si>
  <si>
    <t>师门日常每轮奖励附加</t>
  </si>
  <si>
    <t>师门日常高品和额外</t>
  </si>
  <si>
    <t>(1*RoleLv*4)*(random()*(1.02-0.98)+0.98)</t>
  </si>
  <si>
    <r>
      <rPr>
        <b/>
        <sz val="10"/>
        <color theme="1"/>
        <rFont val="微软雅黑"/>
        <charset val="134"/>
      </rPr>
      <t>师门日常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级环装</t>
    </r>
  </si>
  <si>
    <t>(1*RoleLv*0.94)*(random()*(1.02-0.98)+0.98)</t>
  </si>
  <si>
    <r>
      <rPr>
        <b/>
        <sz val="10"/>
        <color theme="1"/>
        <rFont val="微软雅黑"/>
        <charset val="134"/>
      </rPr>
      <t>师门日常</t>
    </r>
    <r>
      <rPr>
        <b/>
        <sz val="10"/>
        <color theme="1"/>
        <rFont val="Arial"/>
        <charset val="134"/>
      </rPr>
      <t>50</t>
    </r>
    <r>
      <rPr>
        <b/>
        <sz val="10"/>
        <color theme="1"/>
        <rFont val="微软雅黑"/>
        <charset val="134"/>
      </rPr>
      <t>级环装</t>
    </r>
  </si>
  <si>
    <r>
      <rPr>
        <b/>
        <sz val="10"/>
        <color theme="1"/>
        <rFont val="微软雅黑"/>
        <charset val="134"/>
      </rPr>
      <t>师门日常收集宠物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奖励</t>
    </r>
  </si>
  <si>
    <r>
      <rPr>
        <b/>
        <sz val="10"/>
        <color theme="1"/>
        <rFont val="微软雅黑"/>
        <charset val="134"/>
      </rPr>
      <t>师门药品烹饪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奖励</t>
    </r>
  </si>
  <si>
    <t>(1*RoleLv*1.3)*(random()*(1.02-0.98)+0.98)</t>
  </si>
  <si>
    <r>
      <rPr>
        <b/>
        <sz val="10"/>
        <color theme="1"/>
        <rFont val="微软雅黑"/>
        <charset val="134"/>
      </rPr>
      <t>师门日常采集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奖励一级药品</t>
    </r>
  </si>
  <si>
    <r>
      <rPr>
        <b/>
        <sz val="10"/>
        <color theme="1"/>
        <rFont val="微软雅黑"/>
        <charset val="134"/>
      </rPr>
      <t>师门日常特殊奖励</t>
    </r>
    <r>
      <rPr>
        <b/>
        <sz val="10"/>
        <color theme="1"/>
        <rFont val="Arial"/>
        <charset val="134"/>
      </rPr>
      <t>60~155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</si>
  <si>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抓鬼</t>
    </r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级奖励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双倍</t>
    </r>
  </si>
  <si>
    <r>
      <rPr>
        <b/>
        <sz val="10"/>
        <color theme="1"/>
        <rFont val="微软雅黑"/>
        <charset val="134"/>
      </rPr>
      <t>抓鬼</t>
    </r>
    <r>
      <rPr>
        <b/>
        <sz val="10"/>
        <color theme="1"/>
        <rFont val="Arial"/>
        <charset val="134"/>
      </rPr>
      <t>70</t>
    </r>
    <r>
      <rPr>
        <b/>
        <sz val="10"/>
        <color theme="1"/>
        <rFont val="微软雅黑"/>
        <charset val="134"/>
      </rPr>
      <t>级奖励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双倍</t>
    </r>
  </si>
  <si>
    <r>
      <rPr>
        <b/>
        <sz val="10"/>
        <color theme="1"/>
        <rFont val="微软雅黑"/>
        <charset val="134"/>
      </rPr>
      <t>抓鬼</t>
    </r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级奖励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双倍</t>
    </r>
  </si>
  <si>
    <r>
      <rPr>
        <b/>
        <sz val="10"/>
        <color theme="1"/>
        <rFont val="微软雅黑"/>
        <charset val="134"/>
      </rPr>
      <t>抓鬼</t>
    </r>
    <r>
      <rPr>
        <b/>
        <sz val="10"/>
        <color theme="1"/>
        <rFont val="Arial"/>
        <charset val="134"/>
      </rPr>
      <t>90</t>
    </r>
    <r>
      <rPr>
        <b/>
        <sz val="10"/>
        <color theme="1"/>
        <rFont val="微软雅黑"/>
        <charset val="134"/>
      </rPr>
      <t>级奖励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双倍</t>
    </r>
  </si>
  <si>
    <t>抓鬼队长礼盒</t>
  </si>
  <si>
    <r>
      <rPr>
        <b/>
        <sz val="10"/>
        <color theme="1"/>
        <rFont val="微软雅黑"/>
        <charset val="134"/>
      </rPr>
      <t>日常副本开双附加道具</t>
    </r>
    <r>
      <rPr>
        <b/>
        <sz val="10"/>
        <color theme="1"/>
        <rFont val="Arial"/>
        <charset val="134"/>
      </rPr>
      <t>70</t>
    </r>
    <r>
      <rPr>
        <b/>
        <sz val="10"/>
        <color theme="1"/>
        <rFont val="微软雅黑"/>
        <charset val="134"/>
      </rPr>
      <t>级以上</t>
    </r>
  </si>
  <si>
    <t>抓鬼经验</t>
  </si>
  <si>
    <t>60000</t>
  </si>
  <si>
    <t>1</t>
  </si>
  <si>
    <t>100</t>
  </si>
  <si>
    <t>80</t>
  </si>
  <si>
    <t>50</t>
  </si>
  <si>
    <t>230</t>
  </si>
  <si>
    <t>2000</t>
  </si>
  <si>
    <t>鬼王经验</t>
  </si>
  <si>
    <t>2000*RoleLv</t>
  </si>
  <si>
    <t>(1*TeamLv*0.196*(0.78+0.04*Ring)*IsDbPoint)*(random()*(1.02-0.98)+0.98)*(1-min(5-TeamNum,2)*0.15)*(1+0.05*IsTL)</t>
  </si>
  <si>
    <r>
      <rPr>
        <b/>
        <sz val="10"/>
        <color theme="1"/>
        <rFont val="微软雅黑"/>
        <charset val="134"/>
      </rPr>
      <t>每</t>
    </r>
    <r>
      <rPr>
        <b/>
        <sz val="10"/>
        <color theme="1"/>
        <rFont val="Arial"/>
        <charset val="134"/>
      </rPr>
      <t>20</t>
    </r>
    <r>
      <rPr>
        <b/>
        <sz val="10"/>
        <color theme="1"/>
        <rFont val="微软雅黑"/>
        <charset val="134"/>
      </rPr>
      <t>环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给予特殊奖励</t>
    </r>
  </si>
  <si>
    <t>0</t>
  </si>
  <si>
    <r>
      <rPr>
        <b/>
        <sz val="10"/>
        <color theme="1"/>
        <rFont val="微软雅黑"/>
        <charset val="134"/>
      </rPr>
      <t>日常副本基础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0</t>
    </r>
  </si>
  <si>
    <r>
      <rPr>
        <b/>
        <sz val="10"/>
        <color theme="1"/>
        <rFont val="微软雅黑"/>
        <charset val="134"/>
      </rPr>
      <t>日常副本基础</t>
    </r>
    <r>
      <rPr>
        <b/>
        <sz val="10"/>
        <color theme="1"/>
        <rFont val="Arial"/>
        <charset val="134"/>
      </rPr>
      <t>50</t>
    </r>
    <r>
      <rPr>
        <b/>
        <sz val="10"/>
        <color theme="1"/>
        <rFont val="微软雅黑"/>
        <charset val="134"/>
      </rPr>
      <t>级以上</t>
    </r>
    <r>
      <rPr>
        <b/>
        <sz val="10"/>
        <color theme="1"/>
        <rFont val="Arial"/>
        <charset val="134"/>
      </rPr>
      <t>0</t>
    </r>
  </si>
  <si>
    <t>日常副本获得声望</t>
  </si>
  <si>
    <r>
      <rPr>
        <b/>
        <sz val="10"/>
        <color theme="1"/>
        <rFont val="微软雅黑"/>
        <charset val="134"/>
      </rPr>
      <t>日常副本</t>
    </r>
    <r>
      <rPr>
        <b/>
        <sz val="10"/>
        <color theme="1"/>
        <rFont val="Arial"/>
        <charset val="134"/>
      </rPr>
      <t>20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roll</t>
    </r>
  </si>
  <si>
    <r>
      <rPr>
        <b/>
        <sz val="10"/>
        <color theme="1"/>
        <rFont val="微软雅黑"/>
        <charset val="134"/>
      </rPr>
      <t>日常副本</t>
    </r>
    <r>
      <rPr>
        <b/>
        <sz val="10"/>
        <color theme="1"/>
        <rFont val="Arial"/>
        <charset val="134"/>
      </rPr>
      <t>30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roll</t>
    </r>
  </si>
  <si>
    <r>
      <rPr>
        <b/>
        <sz val="10"/>
        <color theme="1"/>
        <rFont val="微软雅黑"/>
        <charset val="134"/>
      </rPr>
      <t>日常副本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roll</t>
    </r>
  </si>
  <si>
    <r>
      <rPr>
        <b/>
        <sz val="10"/>
        <color theme="1"/>
        <rFont val="微软雅黑"/>
        <charset val="134"/>
      </rPr>
      <t>日常副本</t>
    </r>
    <r>
      <rPr>
        <b/>
        <sz val="10"/>
        <color theme="1"/>
        <rFont val="Arial"/>
        <charset val="134"/>
      </rPr>
      <t>50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roll</t>
    </r>
  </si>
  <si>
    <r>
      <rPr>
        <b/>
        <sz val="10"/>
        <color theme="1"/>
        <rFont val="微软雅黑"/>
        <charset val="134"/>
      </rPr>
      <t>阿尔萨斯基础</t>
    </r>
    <r>
      <rPr>
        <b/>
        <sz val="10"/>
        <color theme="1"/>
        <rFont val="Arial"/>
        <charset val="134"/>
      </rPr>
      <t>+roll20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0</t>
    </r>
  </si>
  <si>
    <r>
      <rPr>
        <b/>
        <sz val="10"/>
        <color theme="1"/>
        <rFont val="微软雅黑"/>
        <charset val="134"/>
      </rPr>
      <t>阿尔萨斯基础</t>
    </r>
    <r>
      <rPr>
        <b/>
        <sz val="10"/>
        <color theme="1"/>
        <rFont val="Arial"/>
        <charset val="134"/>
      </rPr>
      <t>+roll30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0</t>
    </r>
  </si>
  <si>
    <r>
      <rPr>
        <b/>
        <sz val="10"/>
        <color theme="1"/>
        <rFont val="微软雅黑"/>
        <charset val="134"/>
      </rPr>
      <t>阿尔萨斯基础</t>
    </r>
    <r>
      <rPr>
        <b/>
        <sz val="10"/>
        <color theme="1"/>
        <rFont val="Arial"/>
        <charset val="134"/>
      </rPr>
      <t>+roll40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0</t>
    </r>
  </si>
  <si>
    <r>
      <rPr>
        <b/>
        <sz val="10"/>
        <color theme="1"/>
        <rFont val="微软雅黑"/>
        <charset val="134"/>
      </rPr>
      <t>阿尔萨斯基础</t>
    </r>
    <r>
      <rPr>
        <b/>
        <sz val="10"/>
        <color theme="1"/>
        <rFont val="Arial"/>
        <charset val="134"/>
      </rPr>
      <t>+roll50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0</t>
    </r>
  </si>
  <si>
    <r>
      <rPr>
        <b/>
        <sz val="10"/>
        <color theme="1"/>
        <rFont val="微软雅黑"/>
        <charset val="134"/>
      </rPr>
      <t>阿尔萨斯基础</t>
    </r>
    <r>
      <rPr>
        <b/>
        <sz val="10"/>
        <color theme="1"/>
        <rFont val="Arial"/>
        <charset val="134"/>
      </rPr>
      <t>+roll60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0</t>
    </r>
  </si>
  <si>
    <r>
      <rPr>
        <b/>
        <sz val="10"/>
        <color theme="1"/>
        <rFont val="微软雅黑"/>
        <charset val="134"/>
      </rPr>
      <t>阿尔萨斯基础</t>
    </r>
    <r>
      <rPr>
        <b/>
        <sz val="10"/>
        <color theme="1"/>
        <rFont val="Arial"/>
        <charset val="134"/>
      </rPr>
      <t>+roll70</t>
    </r>
    <r>
      <rPr>
        <b/>
        <sz val="10"/>
        <color theme="1"/>
        <rFont val="微软雅黑"/>
        <charset val="134"/>
      </rPr>
      <t>级以上</t>
    </r>
    <r>
      <rPr>
        <b/>
        <sz val="10"/>
        <color theme="1"/>
        <rFont val="Arial"/>
        <charset val="134"/>
      </rPr>
      <t>0</t>
    </r>
  </si>
  <si>
    <t>阿尔萨斯宝箱</t>
  </si>
  <si>
    <t>队长礼盒奖励物品</t>
  </si>
  <si>
    <t>队长礼盒</t>
  </si>
  <si>
    <r>
      <rPr>
        <b/>
        <sz val="10"/>
        <color theme="1"/>
        <rFont val="微软雅黑"/>
        <charset val="134"/>
      </rPr>
      <t>平定安邦奖励</t>
    </r>
    <r>
      <rPr>
        <b/>
        <sz val="10"/>
        <color theme="1"/>
        <rFont val="Arial"/>
        <charset val="134"/>
      </rPr>
      <t xml:space="preserve"> 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</si>
  <si>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普通奖励</t>
    </r>
  </si>
  <si>
    <t>5000*RoleLv*0.1*(0.74+0.02*Time)*(random()*(1.02-0.98)+0.98)</t>
  </si>
  <si>
    <t>1000*RoleLv*0.067*(0.74+0.02*Time)*(random()*(1.02-0.98)+0.98)</t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</si>
  <si>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第五关奖励</t>
    </r>
  </si>
  <si>
    <t>1600*RoleLv*0.067*(0.74+0.02*Time)*(random()*(1.02-0.98)+0.98)</t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</si>
  <si>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-S</t>
    </r>
    <r>
      <rPr>
        <b/>
        <sz val="10"/>
        <color theme="1"/>
        <rFont val="微软雅黑"/>
        <charset val="134"/>
      </rPr>
      <t>级宝箱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</si>
  <si>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-A</t>
    </r>
    <r>
      <rPr>
        <b/>
        <sz val="10"/>
        <color theme="1"/>
        <rFont val="微软雅黑"/>
        <charset val="134"/>
      </rPr>
      <t>级宝箱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</si>
  <si>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-B</t>
    </r>
    <r>
      <rPr>
        <b/>
        <sz val="10"/>
        <color theme="1"/>
        <rFont val="微软雅黑"/>
        <charset val="134"/>
      </rPr>
      <t>级宝箱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</si>
  <si>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-C</t>
    </r>
    <r>
      <rPr>
        <b/>
        <sz val="10"/>
        <color theme="1"/>
        <rFont val="微软雅黑"/>
        <charset val="134"/>
      </rPr>
      <t>级宝箱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</si>
  <si>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名奖励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</si>
  <si>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名奖励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</si>
  <si>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名奖励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</si>
  <si>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名奖励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</si>
  <si>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名奖励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</si>
  <si>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微软雅黑"/>
        <charset val="134"/>
      </rPr>
      <t>名奖励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</si>
  <si>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微软雅黑"/>
        <charset val="134"/>
      </rPr>
      <t>名奖励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</si>
  <si>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微软雅黑"/>
        <charset val="134"/>
      </rPr>
      <t>名奖励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</si>
  <si>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微软雅黑"/>
        <charset val="134"/>
      </rPr>
      <t>名奖励</t>
    </r>
  </si>
  <si>
    <r>
      <rPr>
        <b/>
        <sz val="10"/>
        <color theme="1"/>
        <rFont val="微软雅黑"/>
        <charset val="134"/>
      </rPr>
      <t>秘境降妖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名奖励</t>
    </r>
  </si>
  <si>
    <r>
      <rPr>
        <b/>
        <sz val="10"/>
        <color theme="1"/>
        <rFont val="Arial"/>
        <charset val="134"/>
      </rPr>
      <t>25</t>
    </r>
    <r>
      <rPr>
        <b/>
        <sz val="10"/>
        <color theme="1"/>
        <rFont val="微软雅黑"/>
        <charset val="134"/>
      </rPr>
      <t>级低级藏宝图</t>
    </r>
  </si>
  <si>
    <r>
      <rPr>
        <b/>
        <sz val="10"/>
        <color theme="1"/>
        <rFont val="Arial"/>
        <charset val="134"/>
      </rPr>
      <t>35</t>
    </r>
    <r>
      <rPr>
        <b/>
        <sz val="10"/>
        <color theme="1"/>
        <rFont val="微软雅黑"/>
        <charset val="134"/>
      </rPr>
      <t>级低级藏宝图</t>
    </r>
  </si>
  <si>
    <r>
      <rPr>
        <b/>
        <sz val="10"/>
        <color theme="1"/>
        <rFont val="Arial"/>
        <charset val="134"/>
      </rPr>
      <t>45</t>
    </r>
    <r>
      <rPr>
        <b/>
        <sz val="10"/>
        <color theme="1"/>
        <rFont val="微软雅黑"/>
        <charset val="134"/>
      </rPr>
      <t>级低级藏宝图</t>
    </r>
  </si>
  <si>
    <r>
      <rPr>
        <b/>
        <sz val="10"/>
        <color theme="1"/>
        <rFont val="Arial"/>
        <charset val="134"/>
      </rPr>
      <t>55</t>
    </r>
    <r>
      <rPr>
        <b/>
        <sz val="10"/>
        <color theme="1"/>
        <rFont val="微软雅黑"/>
        <charset val="134"/>
      </rPr>
      <t>级低级藏宝图</t>
    </r>
  </si>
  <si>
    <r>
      <rPr>
        <b/>
        <sz val="10"/>
        <color theme="1"/>
        <rFont val="Arial"/>
        <charset val="134"/>
      </rPr>
      <t>65</t>
    </r>
    <r>
      <rPr>
        <b/>
        <sz val="10"/>
        <color theme="1"/>
        <rFont val="微软雅黑"/>
        <charset val="134"/>
      </rPr>
      <t>级以上低级藏宝图</t>
    </r>
  </si>
  <si>
    <t>低级藏宝图直接得银币</t>
  </si>
  <si>
    <t>RoleLv*1.7+20</t>
  </si>
  <si>
    <t>高级藏宝图</t>
  </si>
  <si>
    <t>考古</t>
  </si>
  <si>
    <t>藏宝图打怪奖励</t>
  </si>
  <si>
    <t>(400*RoleLv*0.667)*(random()*(1.02-0.98)+0.98)*0.5</t>
  </si>
  <si>
    <t>(500*RoleLv*0.05)*(random()*(1.02-0.98)+0.98)*0.5</t>
  </si>
  <si>
    <t>宝图任务</t>
  </si>
  <si>
    <r>
      <rPr>
        <b/>
        <sz val="10"/>
        <color theme="1"/>
        <rFont val="微软雅黑"/>
        <charset val="134"/>
      </rPr>
      <t>蚩尤挑战卷</t>
    </r>
    <r>
      <rPr>
        <b/>
        <sz val="10"/>
        <color theme="1"/>
        <rFont val="Arial"/>
        <charset val="134"/>
      </rPr>
      <t>1-5</t>
    </r>
  </si>
  <si>
    <r>
      <rPr>
        <b/>
        <sz val="10"/>
        <color theme="1"/>
        <rFont val="微软雅黑"/>
        <charset val="134"/>
      </rPr>
      <t>天魔战令</t>
    </r>
    <r>
      <rPr>
        <b/>
        <sz val="10"/>
        <color theme="1"/>
        <rFont val="Arial"/>
        <charset val="134"/>
      </rPr>
      <t>1-5</t>
    </r>
  </si>
  <si>
    <t>圣诞活动</t>
  </si>
  <si>
    <r>
      <rPr>
        <b/>
        <sz val="10"/>
        <color theme="1"/>
        <rFont val="微软雅黑"/>
        <charset val="134"/>
      </rPr>
      <t>白龙闹海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最后一关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</si>
  <si>
    <t>(1*min(max(RoleLv,FuBenLv),FuBenLv+9)*5)*(random()*(1.02-0.98)+0.98)</t>
  </si>
  <si>
    <r>
      <rPr>
        <b/>
        <sz val="10"/>
        <color theme="1"/>
        <rFont val="微软雅黑"/>
        <charset val="134"/>
      </rPr>
      <t>精英副本最后一关</t>
    </r>
    <r>
      <rPr>
        <b/>
        <sz val="10"/>
        <color theme="1"/>
        <rFont val="Arial"/>
        <charset val="134"/>
      </rPr>
      <t>roll40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</si>
  <si>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精英副本最后一关</t>
    </r>
    <r>
      <rPr>
        <b/>
        <sz val="10"/>
        <color theme="1"/>
        <rFont val="Arial"/>
        <charset val="134"/>
      </rPr>
      <t>roll50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</si>
  <si>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精英副本最后一关</t>
    </r>
    <r>
      <rPr>
        <b/>
        <sz val="10"/>
        <color theme="1"/>
        <rFont val="Arial"/>
        <charset val="134"/>
      </rPr>
      <t>roll60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</si>
  <si>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精英副本最后一关</t>
    </r>
    <r>
      <rPr>
        <b/>
        <sz val="10"/>
        <color theme="1"/>
        <rFont val="Arial"/>
        <charset val="134"/>
      </rPr>
      <t>roll70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</si>
  <si>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精英副本最后一关</t>
    </r>
    <r>
      <rPr>
        <b/>
        <sz val="10"/>
        <color theme="1"/>
        <rFont val="Arial"/>
        <charset val="134"/>
      </rPr>
      <t>roll80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</si>
  <si>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精英副本最后一关</t>
    </r>
    <r>
      <rPr>
        <b/>
        <sz val="10"/>
        <color theme="1"/>
        <rFont val="Arial"/>
        <charset val="134"/>
      </rPr>
      <t>roll90</t>
    </r>
    <r>
      <rPr>
        <b/>
        <sz val="10"/>
        <color theme="1"/>
        <rFont val="微软雅黑"/>
        <charset val="134"/>
      </rPr>
      <t>级以上</t>
    </r>
  </si>
  <si>
    <t>副本每关单人奖励</t>
  </si>
  <si>
    <t>(5000*min(max(RoleLv,FuBenLv),FuBenLv+9)*0.1*(0.7+0.1*Ring))*(random()*(1.02-0.98)+0.98)*(1-min(5-TeamNum,2)*0.15)</t>
  </si>
  <si>
    <t>(1000*min(max(RoleLv,FuBenLv),FuBenLv+9)*0.1*(0.7+0.1*Ring))*(random()*(1.02-0.98)+0.98)*(1-min(5-TeamNum,2)*0.15)</t>
  </si>
  <si>
    <r>
      <rPr>
        <b/>
        <sz val="10"/>
        <color theme="1"/>
        <rFont val="微软雅黑"/>
        <charset val="134"/>
      </rPr>
      <t>副本特殊战斗单人</t>
    </r>
    <r>
      <rPr>
        <b/>
        <sz val="10"/>
        <color theme="1"/>
        <rFont val="Arial"/>
        <charset val="134"/>
      </rPr>
      <t>0</t>
    </r>
  </si>
  <si>
    <t>(5000*min(max(RoleLv,FuBenLv),FuBenLv+9)*0.2*(0.7+0.1*Ring))*(random()*(1.02-0.98)+0.98)*(1-min(5-TeamNum,2)*0.15)</t>
  </si>
  <si>
    <t>(1000*min(max(RoleLv,FuBenLv),FuBenLv+9)*0.2*(0.7+0.1*Ring))*(random()*(1.02-0.98)+0.98)*(1-min(5-TeamNum,2)*0.15)</t>
  </si>
  <si>
    <r>
      <rPr>
        <b/>
        <sz val="10"/>
        <color theme="1"/>
        <rFont val="微软雅黑"/>
        <charset val="134"/>
      </rPr>
      <t>白龙闹海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前四关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</si>
  <si>
    <r>
      <rPr>
        <b/>
        <sz val="10"/>
        <color theme="1"/>
        <rFont val="微软雅黑"/>
        <charset val="134"/>
      </rPr>
      <t>精英副本前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关</t>
    </r>
    <r>
      <rPr>
        <b/>
        <sz val="10"/>
        <color theme="1"/>
        <rFont val="Arial"/>
        <charset val="134"/>
      </rPr>
      <t>roll40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</si>
  <si>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精英副本前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关</t>
    </r>
    <r>
      <rPr>
        <b/>
        <sz val="10"/>
        <color theme="1"/>
        <rFont val="Arial"/>
        <charset val="134"/>
      </rPr>
      <t>roll50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</si>
  <si>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精英副本前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关</t>
    </r>
    <r>
      <rPr>
        <b/>
        <sz val="10"/>
        <color theme="1"/>
        <rFont val="Arial"/>
        <charset val="134"/>
      </rPr>
      <t>roll60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</si>
  <si>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精英副本前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关</t>
    </r>
    <r>
      <rPr>
        <b/>
        <sz val="10"/>
        <color theme="1"/>
        <rFont val="Arial"/>
        <charset val="134"/>
      </rPr>
      <t>roll70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</si>
  <si>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精英副本前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关</t>
    </r>
    <r>
      <rPr>
        <b/>
        <sz val="10"/>
        <color theme="1"/>
        <rFont val="Arial"/>
        <charset val="134"/>
      </rPr>
      <t>roll80</t>
    </r>
    <r>
      <rPr>
        <b/>
        <sz val="10"/>
        <color theme="1"/>
        <rFont val="微软雅黑"/>
        <charset val="134"/>
      </rPr>
      <t>级</t>
    </r>
  </si>
  <si>
    <r>
      <rPr>
        <b/>
        <sz val="10"/>
        <color theme="1"/>
        <rFont val="微软雅黑"/>
        <charset val="134"/>
      </rPr>
      <t>精英副本前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关</t>
    </r>
    <r>
      <rPr>
        <b/>
        <sz val="10"/>
        <color theme="1"/>
        <rFont val="Arial"/>
        <charset val="134"/>
      </rPr>
      <t>roll90</t>
    </r>
    <r>
      <rPr>
        <b/>
        <sz val="10"/>
        <color theme="1"/>
        <rFont val="微软雅黑"/>
        <charset val="134"/>
      </rPr>
      <t>级以上</t>
    </r>
  </si>
  <si>
    <r>
      <rPr>
        <b/>
        <sz val="10"/>
        <color theme="1"/>
        <rFont val="微软雅黑"/>
        <charset val="134"/>
      </rPr>
      <t>精英副本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附带</t>
    </r>
  </si>
  <si>
    <r>
      <rPr>
        <b/>
        <sz val="10"/>
        <color theme="1"/>
        <rFont val="微软雅黑"/>
        <charset val="134"/>
      </rPr>
      <t>帮派任务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基础奖励</t>
    </r>
  </si>
  <si>
    <t>105800+floor(RoleLv/10)*440+(200+floor(RoleLv/10)*40*(Ring-1))</t>
  </si>
  <si>
    <t>(1000*RoleLv*0.1*(0.78+0.04*Ring))*(random()*(1.02-0.98)+0.98)</t>
  </si>
  <si>
    <r>
      <rPr>
        <b/>
        <sz val="10"/>
        <color theme="1"/>
        <rFont val="微软雅黑"/>
        <charset val="134"/>
      </rPr>
      <t>帮派任务</t>
    </r>
    <r>
      <rPr>
        <b/>
        <sz val="10"/>
        <color theme="1"/>
        <rFont val="Arial"/>
        <charset val="134"/>
      </rPr>
      <t>-1</t>
    </r>
    <r>
      <rPr>
        <b/>
        <sz val="10"/>
        <color theme="1"/>
        <rFont val="微软雅黑"/>
        <charset val="134"/>
      </rPr>
      <t>级宝石</t>
    </r>
  </si>
  <si>
    <r>
      <rPr>
        <b/>
        <sz val="10"/>
        <color theme="1"/>
        <rFont val="微软雅黑"/>
        <charset val="134"/>
      </rPr>
      <t>帮派任务</t>
    </r>
    <r>
      <rPr>
        <b/>
        <sz val="10"/>
        <color theme="1"/>
        <rFont val="Arial"/>
        <charset val="134"/>
      </rPr>
      <t>-40</t>
    </r>
    <r>
      <rPr>
        <b/>
        <sz val="10"/>
        <color theme="1"/>
        <rFont val="微软雅黑"/>
        <charset val="134"/>
      </rPr>
      <t>级精铁</t>
    </r>
  </si>
  <si>
    <r>
      <rPr>
        <b/>
        <sz val="10"/>
        <color theme="1"/>
        <rFont val="微软雅黑"/>
        <charset val="134"/>
      </rPr>
      <t>帮派任务</t>
    </r>
    <r>
      <rPr>
        <b/>
        <sz val="10"/>
        <color theme="1"/>
        <rFont val="Arial"/>
        <charset val="134"/>
      </rPr>
      <t>-50</t>
    </r>
    <r>
      <rPr>
        <b/>
        <sz val="10"/>
        <color theme="1"/>
        <rFont val="微软雅黑"/>
        <charset val="134"/>
      </rPr>
      <t>级精铁</t>
    </r>
  </si>
  <si>
    <r>
      <rPr>
        <b/>
        <sz val="10"/>
        <color theme="1"/>
        <rFont val="微软雅黑"/>
        <charset val="134"/>
      </rPr>
      <t>帮派任务</t>
    </r>
    <r>
      <rPr>
        <b/>
        <sz val="10"/>
        <color theme="1"/>
        <rFont val="Arial"/>
        <charset val="134"/>
      </rPr>
      <t>-40</t>
    </r>
    <r>
      <rPr>
        <b/>
        <sz val="10"/>
        <color theme="1"/>
        <rFont val="微软雅黑"/>
        <charset val="134"/>
      </rPr>
      <t>级环装</t>
    </r>
  </si>
  <si>
    <r>
      <rPr>
        <b/>
        <sz val="10"/>
        <color theme="1"/>
        <rFont val="微软雅黑"/>
        <charset val="134"/>
      </rPr>
      <t>帮派任务</t>
    </r>
    <r>
      <rPr>
        <b/>
        <sz val="10"/>
        <color theme="1"/>
        <rFont val="Arial"/>
        <charset val="134"/>
      </rPr>
      <t>-50</t>
    </r>
    <r>
      <rPr>
        <b/>
        <sz val="10"/>
        <color theme="1"/>
        <rFont val="微软雅黑"/>
        <charset val="134"/>
      </rPr>
      <t>级环装</t>
    </r>
  </si>
  <si>
    <r>
      <rPr>
        <b/>
        <sz val="10"/>
        <color theme="1"/>
        <rFont val="微软雅黑"/>
        <charset val="134"/>
      </rPr>
      <t>帮派任务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烹饪药物</t>
    </r>
  </si>
  <si>
    <t>Ring+3</t>
  </si>
  <si>
    <r>
      <rPr>
        <b/>
        <sz val="10"/>
        <color theme="1"/>
        <rFont val="Arial"/>
        <charset val="134"/>
      </rPr>
      <t>50</t>
    </r>
    <r>
      <rPr>
        <b/>
        <sz val="10"/>
        <color theme="1"/>
        <rFont val="微软雅黑"/>
        <charset val="134"/>
      </rPr>
      <t>级暗夜马戏团每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环奖励（废弃）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</si>
  <si>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级暗夜马戏团每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环奖励（废弃）</t>
    </r>
  </si>
  <si>
    <r>
      <rPr>
        <b/>
        <sz val="10"/>
        <color theme="1"/>
        <rFont val="Arial"/>
        <charset val="134"/>
      </rPr>
      <t>70</t>
    </r>
    <r>
      <rPr>
        <b/>
        <sz val="10"/>
        <color theme="1"/>
        <rFont val="微软雅黑"/>
        <charset val="134"/>
      </rPr>
      <t>级暗夜马戏团每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环奖励（废弃）</t>
    </r>
  </si>
  <si>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级暗夜马戏团每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环奖励（废弃）</t>
    </r>
  </si>
  <si>
    <r>
      <rPr>
        <b/>
        <sz val="10"/>
        <color theme="1"/>
        <rFont val="Arial"/>
        <charset val="134"/>
      </rPr>
      <t>90</t>
    </r>
    <r>
      <rPr>
        <b/>
        <sz val="10"/>
        <color theme="1"/>
        <rFont val="微软雅黑"/>
        <charset val="134"/>
      </rPr>
      <t>级以上暗夜马戏团每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环奖励（废弃）</t>
    </r>
  </si>
  <si>
    <r>
      <rPr>
        <b/>
        <sz val="10"/>
        <color theme="1"/>
        <rFont val="微软雅黑"/>
        <charset val="134"/>
      </rPr>
      <t>暗夜马戏团每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环奖励附加（废弃）</t>
    </r>
  </si>
  <si>
    <r>
      <rPr>
        <b/>
        <sz val="10"/>
        <color theme="1"/>
        <rFont val="微软雅黑"/>
        <charset val="134"/>
      </rPr>
      <t>暗夜马戏团每环经验奖励</t>
    </r>
    <r>
      <rPr>
        <b/>
        <sz val="10"/>
        <color theme="1"/>
        <rFont val="Arial"/>
        <charset val="134"/>
      </rPr>
      <t>0</t>
    </r>
    <r>
      <rPr>
        <b/>
        <sz val="10"/>
        <color theme="1"/>
        <rFont val="微软雅黑"/>
        <charset val="134"/>
      </rPr>
      <t>（废弃）</t>
    </r>
  </si>
  <si>
    <r>
      <rPr>
        <b/>
        <sz val="10"/>
        <color theme="1"/>
        <rFont val="微软雅黑"/>
        <charset val="134"/>
      </rPr>
      <t>野外挂机</t>
    </r>
    <r>
      <rPr>
        <b/>
        <sz val="10"/>
        <color theme="1"/>
        <rFont val="Arial"/>
        <charset val="134"/>
      </rPr>
      <t>0</t>
    </r>
  </si>
  <si>
    <t>(400*MonsterLv*0.017*(MonsterNum*0.083+MasterNum*0.1245)*min(max(1-0.2*floor(abs(MonsterLv-RoleLv)/5),0.1),1)*(1-IsDbPoint)+400*MonsterLv*0.13*(MonsterNum*0.083+MasterNum*0.1245)*min(max(1-0.2*floor(abs(MonsterLv-RoleLv)/5),0.1),1)*IsDbPoint)*(random()*(1.02-0.98)+0.98)</t>
  </si>
  <si>
    <t>(5000*MonsterLv*0.017*(MonsterNum*0.083+MasterNum*0.1245)*min(max(1-0.2*floor(abs(MonsterLv-RoleLv)/5),0.1),1)*(1-IsDbPoint)+5000*MonsterLv*0.02*(MonsterNum*0.083+MasterNum*0.1245)*min(max(1-0.2*floor(abs(MonsterLv-RoleLv)/5),0.1),1)*IsDbPoint)*(random()*(1.02-0.98)+0.98)</t>
  </si>
  <si>
    <r>
      <rPr>
        <b/>
        <sz val="10"/>
        <color theme="1"/>
        <rFont val="微软雅黑"/>
        <charset val="134"/>
      </rPr>
      <t>离线经验每分钟</t>
    </r>
    <r>
      <rPr>
        <b/>
        <sz val="10"/>
        <color theme="1"/>
        <rFont val="Arial"/>
        <charset val="134"/>
      </rPr>
      <t>0</t>
    </r>
  </si>
  <si>
    <t>(400*RoleLv*0.017)*(random()*(1.02-0.98)+0.98)</t>
  </si>
  <si>
    <r>
      <rPr>
        <b/>
        <sz val="10"/>
        <color theme="1"/>
        <rFont val="微软雅黑"/>
        <charset val="134"/>
      </rPr>
      <t>心魔宝珠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经验奖励</t>
    </r>
  </si>
  <si>
    <t>(400*RoleLv*1.25)*(random()*(1.02-0.98)+0.98)</t>
  </si>
  <si>
    <r>
      <rPr>
        <b/>
        <sz val="10"/>
        <color theme="1"/>
        <rFont val="微软雅黑"/>
        <charset val="134"/>
      </rPr>
      <t>队长礼盒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经验奖励</t>
    </r>
  </si>
  <si>
    <r>
      <rPr>
        <b/>
        <sz val="10"/>
        <color theme="1"/>
        <rFont val="微软雅黑"/>
        <charset val="134"/>
      </rPr>
      <t>分享</t>
    </r>
    <r>
      <rPr>
        <b/>
        <sz val="10"/>
        <color theme="1"/>
        <rFont val="Arial"/>
        <charset val="134"/>
      </rPr>
      <t>1</t>
    </r>
  </si>
  <si>
    <t>(400*RoleLv*0.833)*(random()*(1.02-0.98)+0.98)</t>
  </si>
  <si>
    <r>
      <rPr>
        <b/>
        <sz val="10"/>
        <color theme="1"/>
        <rFont val="微软雅黑"/>
        <charset val="134"/>
      </rPr>
      <t>分享</t>
    </r>
    <r>
      <rPr>
        <b/>
        <sz val="10"/>
        <color theme="1"/>
        <rFont val="Arial"/>
        <charset val="134"/>
      </rPr>
      <t>2</t>
    </r>
  </si>
  <si>
    <r>
      <rPr>
        <b/>
        <sz val="10"/>
        <color theme="1"/>
        <rFont val="微软雅黑"/>
        <charset val="134"/>
      </rPr>
      <t>援助战斗</t>
    </r>
    <r>
      <rPr>
        <b/>
        <sz val="10"/>
        <color theme="1"/>
        <rFont val="Arial"/>
        <charset val="134"/>
      </rPr>
      <t>0</t>
    </r>
  </si>
  <si>
    <t>(400*RoleLv*0.7)*(random()*(1.02-0.98)+0.98)</t>
  </si>
  <si>
    <r>
      <rPr>
        <b/>
        <sz val="10"/>
        <color theme="1"/>
        <rFont val="微软雅黑"/>
        <charset val="134"/>
      </rPr>
      <t>援助道具</t>
    </r>
    <r>
      <rPr>
        <b/>
        <sz val="10"/>
        <color theme="1"/>
        <rFont val="Arial"/>
        <charset val="134"/>
      </rPr>
      <t>0</t>
    </r>
  </si>
  <si>
    <t>(400*RoleLv*0.5)*(random()*(1.02-0.98)+0.98)</t>
  </si>
  <si>
    <r>
      <rPr>
        <b/>
        <sz val="10"/>
        <color theme="1"/>
        <rFont val="微软雅黑"/>
        <charset val="134"/>
      </rPr>
      <t>古神</t>
    </r>
    <r>
      <rPr>
        <b/>
        <sz val="10"/>
        <color theme="1"/>
        <rFont val="Arial"/>
        <charset val="134"/>
      </rPr>
      <t>0</t>
    </r>
  </si>
  <si>
    <t>(400*RoleLv*2.222)*(random()*(1.02-0.98)+0.98)*(1-min(5-TeamNum,2)*0.15)</t>
  </si>
  <si>
    <t>(5000*RoleLv*0.111)*(random()*(1.02-0.98)+0.98)*(1-min(5-TeamNum,2)*0.15)</t>
  </si>
  <si>
    <t>(1*RoleLv*1.333)*(random()*(1.02-0.98)+0.98)*(1-min(5-TeamNum,2)*0.15)</t>
  </si>
  <si>
    <r>
      <rPr>
        <b/>
        <sz val="10"/>
        <color theme="1"/>
        <rFont val="微软雅黑"/>
        <charset val="134"/>
      </rPr>
      <t>古神</t>
    </r>
    <r>
      <rPr>
        <b/>
        <sz val="10"/>
        <color theme="1"/>
        <rFont val="Arial"/>
        <charset val="134"/>
      </rPr>
      <t>roll</t>
    </r>
  </si>
  <si>
    <r>
      <rPr>
        <b/>
        <sz val="10"/>
        <color theme="1"/>
        <rFont val="微软雅黑"/>
        <charset val="134"/>
      </rPr>
      <t>古神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附带</t>
    </r>
  </si>
  <si>
    <r>
      <rPr>
        <b/>
        <sz val="10"/>
        <color theme="1"/>
        <rFont val="微软雅黑"/>
        <charset val="134"/>
      </rPr>
      <t>三界奇缘答题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正确</t>
    </r>
  </si>
  <si>
    <t>(400*RoleLv*0.25*(0.89+0.02*AnswerCnt))*(random()*(1.02-0.98)+0.98)</t>
  </si>
  <si>
    <t>RoleLv*50</t>
  </si>
  <si>
    <r>
      <rPr>
        <b/>
        <sz val="10"/>
        <color theme="1"/>
        <rFont val="微软雅黑"/>
        <charset val="134"/>
      </rPr>
      <t>三界奇缘答题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错误</t>
    </r>
  </si>
  <si>
    <t>(400*RoleLv*0.25*(0.89+0.02*AnswerCnt))*0.5*(random()*(1.02-0.98)+0.98)</t>
  </si>
  <si>
    <t>RoleLv*10</t>
  </si>
  <si>
    <r>
      <rPr>
        <b/>
        <sz val="10"/>
        <color theme="1"/>
        <rFont val="微软雅黑"/>
        <charset val="134"/>
      </rPr>
      <t>三界奇缘答题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宝箱</t>
    </r>
  </si>
  <si>
    <r>
      <rPr>
        <b/>
        <sz val="10"/>
        <color theme="1"/>
        <rFont val="微软雅黑"/>
        <charset val="134"/>
      </rPr>
      <t>科举问答答题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正确</t>
    </r>
  </si>
  <si>
    <t>(400*RoleLv*0.25*(0.79+0.02*AnswerCnt))*(random()*(1.02-0.98)+0.98)</t>
  </si>
  <si>
    <r>
      <rPr>
        <b/>
        <sz val="10"/>
        <color theme="1"/>
        <rFont val="微软雅黑"/>
        <charset val="134"/>
      </rPr>
      <t>科举问答答题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错误</t>
    </r>
  </si>
  <si>
    <t>(400*RoleLv*0.25*(0.79+0.02*AnswerCnt))*0.5*(random()*(1.02-0.98)+0.98)</t>
  </si>
  <si>
    <r>
      <rPr>
        <b/>
        <sz val="10"/>
        <color theme="1"/>
        <rFont val="微软雅黑"/>
        <charset val="134"/>
      </rPr>
      <t>科举问答答题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宝箱奖励</t>
    </r>
  </si>
  <si>
    <r>
      <rPr>
        <b/>
        <sz val="10"/>
        <color theme="1"/>
        <rFont val="微软雅黑"/>
        <charset val="134"/>
      </rPr>
      <t>智慧试炼决赛</t>
    </r>
    <r>
      <rPr>
        <b/>
        <sz val="10"/>
        <color theme="1"/>
        <rFont val="Arial"/>
        <charset val="134"/>
      </rPr>
      <t>0</t>
    </r>
  </si>
  <si>
    <t>(400*RoleLv*0.5*(0.79+0.02*AnswerCnt))*(random()*(1.02-0.98)+0.98)</t>
  </si>
  <si>
    <r>
      <rPr>
        <b/>
        <sz val="10"/>
        <color theme="1"/>
        <rFont val="微软雅黑"/>
        <charset val="134"/>
      </rPr>
      <t>智慧试炼决赛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错误</t>
    </r>
  </si>
  <si>
    <t>(400*RoleLv*0.5*(0.79+0.02*AnswerCnt))*0.5*(random()*(1.02-0.98)+0.98)</t>
  </si>
  <si>
    <r>
      <rPr>
        <b/>
        <sz val="10"/>
        <color theme="1"/>
        <rFont val="微软雅黑"/>
        <charset val="134"/>
      </rPr>
      <t>智慧试炼决赛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宝箱</t>
    </r>
  </si>
  <si>
    <r>
      <rPr>
        <b/>
        <sz val="10"/>
        <color theme="1"/>
        <rFont val="微软雅黑"/>
        <charset val="134"/>
      </rPr>
      <t>智慧试炼决赛第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名</t>
    </r>
  </si>
  <si>
    <r>
      <rPr>
        <b/>
        <sz val="10"/>
        <color theme="1"/>
        <rFont val="微软雅黑"/>
        <charset val="134"/>
      </rPr>
      <t>智慧试炼决赛第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名</t>
    </r>
  </si>
  <si>
    <r>
      <rPr>
        <b/>
        <sz val="10"/>
        <color theme="1"/>
        <rFont val="微软雅黑"/>
        <charset val="134"/>
      </rPr>
      <t>智慧试炼决赛第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名</t>
    </r>
  </si>
  <si>
    <t>职业闯关</t>
  </si>
  <si>
    <t>职业闯关（额外奖励）</t>
  </si>
  <si>
    <t>门派闯关奖励</t>
  </si>
  <si>
    <t>5000*RoleLv*0.049*(0.85+0.03*((Time-1)%9+1))*(0.9+0.1*(floor((Time-1)/9)+1))*(random()*(1.02-0.98)+0.98)*(1-min(5-TeamNum,2)*0.15)</t>
  </si>
  <si>
    <t>1000</t>
  </si>
  <si>
    <t>职业闯关盈福经验</t>
  </si>
  <si>
    <t>500*RoleLv*1.215*(0.88+0.03)</t>
  </si>
  <si>
    <r>
      <rPr>
        <b/>
        <sz val="10"/>
        <color theme="1"/>
        <rFont val="微软雅黑"/>
        <charset val="134"/>
      </rPr>
      <t>门派闯关第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名</t>
    </r>
  </si>
  <si>
    <t>100000</t>
  </si>
  <si>
    <r>
      <rPr>
        <b/>
        <sz val="10"/>
        <color theme="1"/>
        <rFont val="微软雅黑"/>
        <charset val="134"/>
      </rPr>
      <t>门派闯关第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名</t>
    </r>
  </si>
  <si>
    <t>50000</t>
  </si>
  <si>
    <r>
      <rPr>
        <b/>
        <sz val="10"/>
        <color theme="1"/>
        <rFont val="微软雅黑"/>
        <charset val="134"/>
      </rPr>
      <t>门派闯关第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名</t>
    </r>
  </si>
  <si>
    <t>30000</t>
  </si>
  <si>
    <r>
      <rPr>
        <b/>
        <sz val="10"/>
        <color theme="1"/>
        <rFont val="微软雅黑"/>
        <charset val="134"/>
      </rPr>
      <t>竞技场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精锐组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胜利奖励</t>
    </r>
  </si>
  <si>
    <t>(1000*RoleLv*0.215*(0.95+0.05*(PVPCnt+1))*(0.95+0.05*(PVPTargetCnt+1)))*(random()*(1.02-0.98)+0.98)</t>
  </si>
  <si>
    <r>
      <rPr>
        <b/>
        <sz val="10"/>
        <color theme="1"/>
        <rFont val="微软雅黑"/>
        <charset val="134"/>
      </rPr>
      <t>竞技场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勇武组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胜利奖励</t>
    </r>
  </si>
  <si>
    <r>
      <rPr>
        <b/>
        <sz val="10"/>
        <color theme="1"/>
        <rFont val="微软雅黑"/>
        <charset val="134"/>
      </rPr>
      <t>竞技场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神威组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胜利奖励</t>
    </r>
  </si>
  <si>
    <r>
      <rPr>
        <b/>
        <sz val="10"/>
        <color theme="1"/>
        <rFont val="微软雅黑"/>
        <charset val="134"/>
      </rPr>
      <t>竞技场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精锐组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败方奖励</t>
    </r>
  </si>
  <si>
    <t>(1000*RoleLv*0.215*(0.95+0.05*(PVPCnt+1))*(0.95+0.05*(PVPTargetCnt+1))*0.5)*(random()*(1.02-0.98)+0.98)</t>
  </si>
  <si>
    <r>
      <rPr>
        <b/>
        <sz val="10"/>
        <color theme="1"/>
        <rFont val="微软雅黑"/>
        <charset val="134"/>
      </rPr>
      <t>竞技场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勇武组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败方奖励</t>
    </r>
  </si>
  <si>
    <r>
      <rPr>
        <b/>
        <sz val="10"/>
        <color theme="1"/>
        <rFont val="微软雅黑"/>
        <charset val="134"/>
      </rPr>
      <t>竞技场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神威组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败方奖励</t>
    </r>
  </si>
  <si>
    <r>
      <rPr>
        <b/>
        <sz val="10"/>
        <color theme="1"/>
        <rFont val="微软雅黑"/>
        <charset val="134"/>
      </rPr>
      <t>竞技场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首胜礼包</t>
    </r>
  </si>
  <si>
    <t>(1000*RoleLv*0.215*2)*(random()*(1.02-0.98)+0.98)</t>
  </si>
  <si>
    <r>
      <rPr>
        <b/>
        <sz val="10"/>
        <color theme="1"/>
        <rFont val="微软雅黑"/>
        <charset val="134"/>
      </rPr>
      <t>竞技场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五战礼包</t>
    </r>
  </si>
  <si>
    <r>
      <rPr>
        <b/>
        <sz val="10"/>
        <color theme="1"/>
        <rFont val="微软雅黑"/>
        <charset val="134"/>
      </rPr>
      <t>竞技场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盈福经验</t>
    </r>
  </si>
  <si>
    <t>400*RoleLv*1.215*(0.88+0.03)</t>
  </si>
  <si>
    <r>
      <rPr>
        <b/>
        <sz val="10"/>
        <color theme="1"/>
        <rFont val="微软雅黑"/>
        <charset val="134"/>
      </rPr>
      <t>华山论剑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精锐组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胜利奖励</t>
    </r>
  </si>
  <si>
    <t>(1000*RoleLv*0.232*(0.95+0.05*(PVPCnt+1))*(0.95+0.05*(PVPTargetCnt+1)))*(random()*(1.02-0.98)+0.98)</t>
  </si>
  <si>
    <r>
      <rPr>
        <b/>
        <sz val="10"/>
        <color theme="1"/>
        <rFont val="微软雅黑"/>
        <charset val="134"/>
      </rPr>
      <t>华山论剑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勇武组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胜利奖励</t>
    </r>
  </si>
  <si>
    <r>
      <rPr>
        <b/>
        <sz val="10"/>
        <color theme="1"/>
        <rFont val="微软雅黑"/>
        <charset val="134"/>
      </rPr>
      <t>华山论剑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神威组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胜利奖励</t>
    </r>
  </si>
  <si>
    <r>
      <rPr>
        <b/>
        <sz val="10"/>
        <color theme="1"/>
        <rFont val="微软雅黑"/>
        <charset val="134"/>
      </rPr>
      <t>华山论剑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精锐组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败方奖励</t>
    </r>
  </si>
  <si>
    <t>(1000*RoleLv*0.232*(0.95+0.05*(PVPCnt+1))*(0.95+0.05*(PVPTargetCnt+1))*0.5)*(random()*(1.02-0.98)+0.98)</t>
  </si>
  <si>
    <r>
      <rPr>
        <b/>
        <sz val="10"/>
        <color theme="1"/>
        <rFont val="微软雅黑"/>
        <charset val="134"/>
      </rPr>
      <t>华山论剑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勇武组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败方奖励</t>
    </r>
  </si>
  <si>
    <r>
      <rPr>
        <b/>
        <sz val="10"/>
        <color theme="1"/>
        <rFont val="微软雅黑"/>
        <charset val="134"/>
      </rPr>
      <t>华山论剑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神威组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败方奖励</t>
    </r>
  </si>
  <si>
    <r>
      <rPr>
        <b/>
        <sz val="10"/>
        <color theme="1"/>
        <rFont val="微软雅黑"/>
        <charset val="134"/>
      </rPr>
      <t>华山论剑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首胜礼包</t>
    </r>
  </si>
  <si>
    <t>(1000*RoleLv*0.232*2)*(random()*(1.02-0.98)+0.98)</t>
  </si>
  <si>
    <r>
      <rPr>
        <b/>
        <sz val="10"/>
        <color theme="1"/>
        <rFont val="微软雅黑"/>
        <charset val="134"/>
      </rPr>
      <t>华山论剑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十战礼包</t>
    </r>
  </si>
  <si>
    <r>
      <rPr>
        <b/>
        <sz val="10"/>
        <color theme="1"/>
        <rFont val="微软雅黑"/>
        <charset val="134"/>
      </rPr>
      <t>华山论剑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五胜礼包</t>
    </r>
  </si>
  <si>
    <r>
      <rPr>
        <b/>
        <sz val="10"/>
        <color theme="1"/>
        <rFont val="微软雅黑"/>
        <charset val="134"/>
      </rPr>
      <t>华山论剑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盈福经验</t>
    </r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</si>
  <si>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精锐组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胜利奖励</t>
    </r>
  </si>
  <si>
    <t>(1000*RoleLv*0.377*(0.95+0.05*(PVPCnt+1))*(0.95+0.05*(PVPTargetCnt+1)))*(random()*(1.02-0.98)+0.98)</t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</si>
  <si>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勇武组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胜利奖励</t>
    </r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</si>
  <si>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神威组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胜利奖励</t>
    </r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</si>
  <si>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精锐组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败方奖励</t>
    </r>
  </si>
  <si>
    <t>(1000*RoleLv*0.377*(0.95+0.05*(PVPCnt+1))*(0.95+0.05*(PVPTargetCnt+1))*0.5)*(random()*(1.02-0.98)+0.98)</t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</si>
  <si>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勇武组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败方奖励</t>
    </r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</si>
  <si>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神威组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败方奖励</t>
    </r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</si>
  <si>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首胜礼包</t>
    </r>
  </si>
  <si>
    <t>(1000*RoleLv*0.377*3)*(random()*(1.02-0.98)+0.98)</t>
  </si>
  <si>
    <t>10000</t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</si>
  <si>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五战礼包</t>
    </r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</si>
  <si>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1-5</t>
    </r>
    <r>
      <rPr>
        <b/>
        <sz val="10"/>
        <color theme="1"/>
        <rFont val="微软雅黑"/>
        <charset val="134"/>
      </rPr>
      <t>名宝箱</t>
    </r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</si>
  <si>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6-10</t>
    </r>
    <r>
      <rPr>
        <b/>
        <sz val="10"/>
        <color theme="1"/>
        <rFont val="微软雅黑"/>
        <charset val="134"/>
      </rPr>
      <t>名宝箱</t>
    </r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</si>
  <si>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11-15</t>
    </r>
    <r>
      <rPr>
        <b/>
        <sz val="10"/>
        <color theme="1"/>
        <rFont val="微软雅黑"/>
        <charset val="134"/>
      </rPr>
      <t>名宝箱</t>
    </r>
  </si>
  <si>
    <t>40000</t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</si>
  <si>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第</t>
    </r>
    <r>
      <rPr>
        <b/>
        <sz val="10"/>
        <color theme="1"/>
        <rFont val="Arial"/>
        <charset val="134"/>
      </rPr>
      <t>1-5</t>
    </r>
    <r>
      <rPr>
        <b/>
        <sz val="10"/>
        <color theme="1"/>
        <rFont val="微软雅黑"/>
        <charset val="134"/>
      </rPr>
      <t>名宝箱（凤凰）</t>
    </r>
  </si>
  <si>
    <r>
      <rPr>
        <b/>
        <sz val="10"/>
        <color theme="1"/>
        <rFont val="微软雅黑"/>
        <charset val="134"/>
      </rPr>
      <t>比武大会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盈福经验</t>
    </r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</si>
  <si>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0</t>
    </r>
  </si>
  <si>
    <t>2200+floor(min(RoleLv,FuBenId*10-1051-floor(FuBenId/113)*5)/10)*440+(200+floor(min(RoleLv,FuBenId*10-1051-floor(FuBenId/113)*5)/10)*40*Saveid)</t>
  </si>
  <si>
    <t>5000*min(RoleLv,FuBenId*10-1051-floor(FuBenId/113)*5)*0.058*(0.75+0.05*Saveid)*(random()*(1.02-0.98)+0.98)*(1-min(5-TeamNum,2)*0.15)</t>
  </si>
  <si>
    <r>
      <rPr>
        <b/>
        <sz val="10"/>
        <color theme="1"/>
        <rFont val="微软雅黑"/>
        <charset val="134"/>
      </rPr>
      <t>公会副本精英</t>
    </r>
    <r>
      <rPr>
        <b/>
        <sz val="10"/>
        <color theme="1"/>
        <rFont val="Arial"/>
        <charset val="134"/>
      </rPr>
      <t>0</t>
    </r>
  </si>
  <si>
    <t>5000*min(RoleLv,FuBenId*10-1051-floor(FuBenId/113)*5)*0.058*(0.5+0.1*Saveid)*(random()*(1.02-0.98)+0.98)*(1-min(5-TeamNum,2)*0.15)</t>
  </si>
  <si>
    <r>
      <rPr>
        <b/>
        <sz val="10"/>
        <color theme="1"/>
        <rFont val="微软雅黑"/>
        <charset val="134"/>
      </rPr>
      <t>公会副本泡温泉每</t>
    </r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秒</t>
    </r>
    <r>
      <rPr>
        <b/>
        <sz val="10"/>
        <color theme="1"/>
        <rFont val="Arial"/>
        <charset val="134"/>
      </rPr>
      <t>0</t>
    </r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</si>
  <si>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boss</t>
    </r>
    <r>
      <rPr>
        <b/>
        <sz val="10"/>
        <color theme="1"/>
        <rFont val="微软雅黑"/>
        <charset val="134"/>
      </rPr>
      <t>奖励</t>
    </r>
  </si>
  <si>
    <t>(2200+floor(min(RoleLv,FuBenId*10-1051-floor(FuBenId/113)*5)/10)*440+(200+floor(min(RoleLv,FuBenId*10-1051-floor(FuBenId/113)*5)/10)*40*Saveid))*2</t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</si>
  <si>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通关宝箱</t>
    </r>
  </si>
  <si>
    <t>(2200+floor(min(RoleLv,49)/10)*440+(200+floor(min(RoleLv,49)/10)*40*10))*2</t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</si>
  <si>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通关宝箱</t>
    </r>
  </si>
  <si>
    <t>(2200+floor(min(RoleLv,59)/10)*440+(200+floor(min(RoleLv,59)/10)*40*10))*2</t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</si>
  <si>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通关宝箱</t>
    </r>
  </si>
  <si>
    <t>(2200+floor(min(RoleLv,69)/10)*440+(200+floor(min(RoleLv,69)/10)*40*10))*2</t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</si>
  <si>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通关宝箱</t>
    </r>
  </si>
  <si>
    <t>(2200+floor(min(RoleLv,74)/10)*440+(200+floor(min(RoleLv,74)/10)*40*10))*2</t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</si>
  <si>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通关宝箱</t>
    </r>
  </si>
  <si>
    <t>(2200+floor(min(RoleLv,79)/10)*440+(200+floor(min(RoleLv,79)/10)*40*10))*2</t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</si>
  <si>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微软雅黑"/>
        <charset val="134"/>
      </rPr>
      <t>通关宝箱</t>
    </r>
  </si>
  <si>
    <t>(2200+floor(min(RoleLv,84)/10)*440+(200+floor(min(RoleLv,84)/10)*40*10))*2</t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</si>
  <si>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微软雅黑"/>
        <charset val="134"/>
      </rPr>
      <t>通关宝箱</t>
    </r>
  </si>
  <si>
    <t>(2200+floor(min(RoleLv,89)/10)*440+(200+floor(min(RoleLv,89)/10)*40*10))*2</t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</si>
  <si>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微软雅黑"/>
        <charset val="134"/>
      </rPr>
      <t>通关宝箱</t>
    </r>
  </si>
  <si>
    <t>(2200+floor(min(RoleLv,94)/10)*440+(200+floor(min(RoleLv,94)/10)*40*10))*2</t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</si>
  <si>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微软雅黑"/>
        <charset val="134"/>
      </rPr>
      <t>通关宝箱</t>
    </r>
  </si>
  <si>
    <t>(2200+floor(min(RoleLv,99)/10)*440+(200+floor(min(RoleLv,99)/10)*40*10))*2</t>
  </si>
  <si>
    <r>
      <rPr>
        <b/>
        <sz val="10"/>
        <color theme="1"/>
        <rFont val="微软雅黑"/>
        <charset val="134"/>
      </rPr>
      <t>公会副本</t>
    </r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层宝箱</t>
    </r>
  </si>
  <si>
    <t>公会副本通关宝箱（废弃）</t>
  </si>
  <si>
    <t>公会副本最后击杀宝箱</t>
  </si>
  <si>
    <t>公会副本通关宝箱（撒落）</t>
  </si>
  <si>
    <t>还原卷轴</t>
  </si>
  <si>
    <t>花卉</t>
  </si>
  <si>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微软雅黑"/>
        <charset val="134"/>
      </rPr>
      <t>级宝石专用包</t>
    </r>
  </si>
  <si>
    <t>低级兽决礼包</t>
  </si>
  <si>
    <t>高级兽决礼包</t>
  </si>
  <si>
    <t>阵法箱子</t>
  </si>
  <si>
    <r>
      <rPr>
        <b/>
        <sz val="10"/>
        <color theme="1"/>
        <rFont val="微软雅黑"/>
        <charset val="134"/>
      </rPr>
      <t>低级兽决礼包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微软雅黑"/>
        <charset val="134"/>
      </rPr>
      <t>绑定</t>
    </r>
    <r>
      <rPr>
        <b/>
        <sz val="10"/>
        <color theme="1"/>
        <rFont val="Arial"/>
        <charset val="134"/>
      </rPr>
      <t>)</t>
    </r>
  </si>
  <si>
    <t>生死战</t>
  </si>
  <si>
    <t>纳鲁恩赐宝箱</t>
  </si>
  <si>
    <t>智慧试炼普通排行奖励</t>
  </si>
  <si>
    <r>
      <rPr>
        <b/>
        <sz val="10"/>
        <color theme="1"/>
        <rFont val="Arial"/>
        <charset val="134"/>
      </rPr>
      <t>50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</si>
  <si>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50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</si>
  <si>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50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120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</si>
  <si>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50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160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</si>
  <si>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</si>
  <si>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</si>
  <si>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120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</si>
  <si>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60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160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</si>
  <si>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70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</si>
  <si>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70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</si>
  <si>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70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120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</si>
  <si>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70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160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</si>
  <si>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</si>
  <si>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</si>
  <si>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120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</si>
  <si>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跑环第</t>
    </r>
    <r>
      <rPr>
        <b/>
        <sz val="10"/>
        <color theme="1"/>
        <rFont val="Arial"/>
        <charset val="134"/>
      </rPr>
      <t>160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</si>
  <si>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微软雅黑"/>
        <charset val="134"/>
      </rPr>
      <t>通天塔团每环经验奖励</t>
    </r>
    <r>
      <rPr>
        <b/>
        <sz val="10"/>
        <color theme="1"/>
        <rFont val="Arial"/>
        <charset val="134"/>
      </rPr>
      <t>0</t>
    </r>
  </si>
  <si>
    <r>
      <rPr>
        <b/>
        <sz val="10"/>
        <color theme="1"/>
        <rFont val="微软雅黑"/>
        <charset val="134"/>
      </rPr>
      <t>通天塔每</t>
    </r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</si>
  <si>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90</t>
    </r>
    <r>
      <rPr>
        <b/>
        <sz val="10"/>
        <color theme="1"/>
        <rFont val="微软雅黑"/>
        <charset val="134"/>
      </rPr>
      <t>通天塔第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</si>
  <si>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90</t>
    </r>
    <r>
      <rPr>
        <b/>
        <sz val="10"/>
        <color theme="1"/>
        <rFont val="微软雅黑"/>
        <charset val="134"/>
      </rPr>
      <t>通天塔第</t>
    </r>
    <r>
      <rPr>
        <b/>
        <sz val="10"/>
        <color theme="1"/>
        <rFont val="Arial"/>
        <charset val="134"/>
      </rPr>
      <t>80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</si>
  <si>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90</t>
    </r>
    <r>
      <rPr>
        <b/>
        <sz val="10"/>
        <color theme="1"/>
        <rFont val="微软雅黑"/>
        <charset val="134"/>
      </rPr>
      <t>通天塔第</t>
    </r>
    <r>
      <rPr>
        <b/>
        <sz val="10"/>
        <color theme="1"/>
        <rFont val="Arial"/>
        <charset val="134"/>
      </rPr>
      <t>120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</si>
  <si>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90</t>
    </r>
    <r>
      <rPr>
        <b/>
        <sz val="10"/>
        <color theme="1"/>
        <rFont val="微软雅黑"/>
        <charset val="134"/>
      </rPr>
      <t>通天塔第</t>
    </r>
    <r>
      <rPr>
        <b/>
        <sz val="10"/>
        <color theme="1"/>
        <rFont val="Arial"/>
        <charset val="134"/>
      </rPr>
      <t>160</t>
    </r>
    <r>
      <rPr>
        <b/>
        <sz val="10"/>
        <color theme="1"/>
        <rFont val="微软雅黑"/>
        <charset val="134"/>
      </rPr>
      <t>环奖励</t>
    </r>
  </si>
  <si>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级宝石箱子</t>
    </r>
  </si>
  <si>
    <t>坐骑礼包</t>
  </si>
  <si>
    <t>银币奖励</t>
  </si>
  <si>
    <t>月卡宝石礼包</t>
  </si>
  <si>
    <t>公会战胜利宝箱</t>
  </si>
  <si>
    <t>公会战五连胜宝箱</t>
  </si>
  <si>
    <t>公会战庆贺宝箱</t>
  </si>
  <si>
    <t>公会战胜利</t>
  </si>
  <si>
    <t>公会战失败</t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</si>
  <si>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级宝石箱子（招募）</t>
    </r>
  </si>
  <si>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级宝石箱子（招募）</t>
    </r>
  </si>
  <si>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级宝石箱子（招募）</t>
    </r>
  </si>
  <si>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级宝石箱子（招募）</t>
    </r>
  </si>
  <si>
    <r>
      <rPr>
        <b/>
        <sz val="10"/>
        <color theme="1"/>
        <rFont val="Arial"/>
        <charset val="134"/>
      </rPr>
      <t>100000</t>
    </r>
    <r>
      <rPr>
        <b/>
        <sz val="10"/>
        <color theme="1"/>
        <rFont val="微软雅黑"/>
        <charset val="134"/>
      </rPr>
      <t>银币</t>
    </r>
  </si>
  <si>
    <r>
      <rPr>
        <b/>
        <sz val="10"/>
        <color theme="1"/>
        <rFont val="Arial"/>
        <charset val="134"/>
      </rPr>
      <t>200000</t>
    </r>
    <r>
      <rPr>
        <b/>
        <sz val="10"/>
        <color theme="1"/>
        <rFont val="微软雅黑"/>
        <charset val="134"/>
      </rPr>
      <t>银币</t>
    </r>
  </si>
  <si>
    <r>
      <rPr>
        <b/>
        <sz val="10"/>
        <color theme="1"/>
        <rFont val="Arial"/>
        <charset val="134"/>
      </rPr>
      <t>300000</t>
    </r>
    <r>
      <rPr>
        <b/>
        <sz val="10"/>
        <color theme="1"/>
        <rFont val="微软雅黑"/>
        <charset val="134"/>
      </rPr>
      <t>银币</t>
    </r>
  </si>
  <si>
    <r>
      <rPr>
        <b/>
        <sz val="10"/>
        <color theme="1"/>
        <rFont val="Arial"/>
        <charset val="134"/>
      </rPr>
      <t>400000</t>
    </r>
    <r>
      <rPr>
        <b/>
        <sz val="10"/>
        <color theme="1"/>
        <rFont val="微软雅黑"/>
        <charset val="134"/>
      </rPr>
      <t>银币</t>
    </r>
  </si>
  <si>
    <r>
      <rPr>
        <b/>
        <sz val="10"/>
        <color theme="1"/>
        <rFont val="Arial"/>
        <charset val="134"/>
      </rPr>
      <t>500000</t>
    </r>
    <r>
      <rPr>
        <b/>
        <sz val="10"/>
        <color theme="1"/>
        <rFont val="微软雅黑"/>
        <charset val="134"/>
      </rPr>
      <t>银币</t>
    </r>
  </si>
  <si>
    <r>
      <rPr>
        <b/>
        <sz val="10"/>
        <color theme="1"/>
        <rFont val="Arial"/>
        <charset val="134"/>
      </rPr>
      <t>50000</t>
    </r>
    <r>
      <rPr>
        <b/>
        <sz val="10"/>
        <color theme="1"/>
        <rFont val="微软雅黑"/>
        <charset val="134"/>
      </rPr>
      <t>银币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微软雅黑"/>
        <charset val="134"/>
      </rPr>
      <t>招募）</t>
    </r>
  </si>
  <si>
    <r>
      <rPr>
        <b/>
        <sz val="10"/>
        <color theme="1"/>
        <rFont val="Arial"/>
        <charset val="134"/>
      </rPr>
      <t>100000</t>
    </r>
    <r>
      <rPr>
        <b/>
        <sz val="10"/>
        <color theme="1"/>
        <rFont val="微软雅黑"/>
        <charset val="134"/>
      </rPr>
      <t>银币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微软雅黑"/>
        <charset val="134"/>
      </rPr>
      <t>招募）</t>
    </r>
  </si>
  <si>
    <r>
      <rPr>
        <b/>
        <sz val="10"/>
        <color theme="1"/>
        <rFont val="Arial"/>
        <charset val="134"/>
      </rPr>
      <t>150000</t>
    </r>
    <r>
      <rPr>
        <b/>
        <sz val="10"/>
        <color theme="1"/>
        <rFont val="微软雅黑"/>
        <charset val="134"/>
      </rPr>
      <t>银币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微软雅黑"/>
        <charset val="134"/>
      </rPr>
      <t>招募）</t>
    </r>
  </si>
  <si>
    <r>
      <rPr>
        <b/>
        <sz val="10"/>
        <color theme="1"/>
        <rFont val="Arial"/>
        <charset val="134"/>
      </rPr>
      <t>200000</t>
    </r>
    <r>
      <rPr>
        <b/>
        <sz val="10"/>
        <color theme="1"/>
        <rFont val="微软雅黑"/>
        <charset val="134"/>
      </rPr>
      <t>银币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微软雅黑"/>
        <charset val="134"/>
      </rPr>
      <t>招募）</t>
    </r>
  </si>
  <si>
    <r>
      <rPr>
        <b/>
        <sz val="10"/>
        <color theme="1"/>
        <rFont val="微软雅黑"/>
        <charset val="134"/>
      </rPr>
      <t>太阳井水</t>
    </r>
    <r>
      <rPr>
        <b/>
        <sz val="10"/>
        <color theme="1"/>
        <rFont val="Arial"/>
        <charset val="134"/>
      </rPr>
      <t>*2(</t>
    </r>
    <r>
      <rPr>
        <b/>
        <sz val="10"/>
        <color theme="1"/>
        <rFont val="微软雅黑"/>
        <charset val="134"/>
      </rPr>
      <t>招募）</t>
    </r>
  </si>
  <si>
    <r>
      <rPr>
        <b/>
        <sz val="10"/>
        <color theme="1"/>
        <rFont val="微软雅黑"/>
        <charset val="134"/>
      </rPr>
      <t>纪元之书</t>
    </r>
    <r>
      <rPr>
        <b/>
        <sz val="10"/>
        <color theme="1"/>
        <rFont val="Arial"/>
        <charset val="134"/>
      </rPr>
      <t>*2(</t>
    </r>
    <r>
      <rPr>
        <b/>
        <sz val="10"/>
        <color theme="1"/>
        <rFont val="微软雅黑"/>
        <charset val="134"/>
      </rPr>
      <t>招募）</t>
    </r>
  </si>
  <si>
    <r>
      <rPr>
        <b/>
        <sz val="10"/>
        <color theme="1"/>
        <rFont val="微软雅黑"/>
        <charset val="134"/>
      </rPr>
      <t>永曦露水</t>
    </r>
    <r>
      <rPr>
        <b/>
        <sz val="10"/>
        <color theme="1"/>
        <rFont val="Arial"/>
        <charset val="134"/>
      </rPr>
      <t>*2(</t>
    </r>
    <r>
      <rPr>
        <b/>
        <sz val="10"/>
        <color theme="1"/>
        <rFont val="微软雅黑"/>
        <charset val="134"/>
      </rPr>
      <t>招募）</t>
    </r>
  </si>
  <si>
    <t>转职奖励</t>
  </si>
  <si>
    <t>科多兽（招募）</t>
  </si>
  <si>
    <t>小金币礼包</t>
  </si>
  <si>
    <t>一级师门称谓挑战</t>
  </si>
  <si>
    <t>二级师门称谓挑战</t>
  </si>
  <si>
    <t>三级师门称谓挑战</t>
  </si>
  <si>
    <t>任务链大礼包</t>
  </si>
  <si>
    <t>魔尊</t>
  </si>
  <si>
    <r>
      <rPr>
        <b/>
        <sz val="10"/>
        <color theme="1"/>
        <rFont val="微软雅黑"/>
        <charset val="134"/>
      </rPr>
      <t>宝箱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普通</t>
    </r>
  </si>
  <si>
    <r>
      <rPr>
        <b/>
        <sz val="10"/>
        <color theme="1"/>
        <rFont val="微软雅黑"/>
        <charset val="134"/>
      </rPr>
      <t>宝箱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中级</t>
    </r>
  </si>
  <si>
    <r>
      <rPr>
        <b/>
        <sz val="10"/>
        <color theme="1"/>
        <rFont val="微软雅黑"/>
        <charset val="134"/>
      </rPr>
      <t>宝箱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高级</t>
    </r>
  </si>
  <si>
    <t>黄金大龙</t>
  </si>
  <si>
    <t>泡泡王</t>
  </si>
  <si>
    <r>
      <rPr>
        <b/>
        <sz val="10"/>
        <color theme="1"/>
        <rFont val="Arial"/>
        <charset val="134"/>
      </rPr>
      <t>VIP</t>
    </r>
    <r>
      <rPr>
        <b/>
        <sz val="10"/>
        <color theme="1"/>
        <rFont val="微软雅黑"/>
        <charset val="134"/>
      </rPr>
      <t>经验副本</t>
    </r>
  </si>
  <si>
    <r>
      <rPr>
        <b/>
        <sz val="10"/>
        <color theme="1"/>
        <rFont val="Arial"/>
        <charset val="134"/>
      </rPr>
      <t>VIP</t>
    </r>
    <r>
      <rPr>
        <b/>
        <sz val="10"/>
        <color theme="1"/>
        <rFont val="微软雅黑"/>
        <charset val="134"/>
      </rPr>
      <t>经验副本投点</t>
    </r>
  </si>
  <si>
    <t>远古蚩尤</t>
  </si>
  <si>
    <t>强化石礼包</t>
  </si>
  <si>
    <r>
      <rPr>
        <b/>
        <sz val="10"/>
        <color theme="1"/>
        <rFont val="Arial"/>
        <charset val="134"/>
      </rPr>
      <t>2000</t>
    </r>
    <r>
      <rPr>
        <b/>
        <sz val="10"/>
        <color theme="1"/>
        <rFont val="微软雅黑"/>
        <charset val="134"/>
      </rPr>
      <t>万经验</t>
    </r>
  </si>
  <si>
    <r>
      <rPr>
        <b/>
        <sz val="10"/>
        <color theme="1"/>
        <rFont val="Arial"/>
        <charset val="134"/>
      </rPr>
      <t>5000</t>
    </r>
    <r>
      <rPr>
        <b/>
        <sz val="10"/>
        <color theme="1"/>
        <rFont val="微软雅黑"/>
        <charset val="134"/>
      </rPr>
      <t>万经验</t>
    </r>
  </si>
  <si>
    <r>
      <rPr>
        <b/>
        <sz val="10"/>
        <color theme="1"/>
        <rFont val="Arial"/>
        <charset val="134"/>
      </rPr>
      <t>140</t>
    </r>
    <r>
      <rPr>
        <b/>
        <sz val="10"/>
        <color theme="1"/>
        <rFont val="微软雅黑"/>
        <charset val="134"/>
      </rPr>
      <t>级灵饰宝箱</t>
    </r>
  </si>
  <si>
    <r>
      <rPr>
        <b/>
        <sz val="10"/>
        <color theme="1"/>
        <rFont val="Arial"/>
        <charset val="134"/>
      </rPr>
      <t>140</t>
    </r>
    <r>
      <rPr>
        <b/>
        <sz val="10"/>
        <color theme="1"/>
        <rFont val="微软雅黑"/>
        <charset val="134"/>
      </rPr>
      <t>级装备宝箱</t>
    </r>
  </si>
  <si>
    <r>
      <rPr>
        <b/>
        <sz val="10"/>
        <color theme="1"/>
        <rFont val="Arial"/>
        <charset val="134"/>
      </rPr>
      <t>120</t>
    </r>
    <r>
      <rPr>
        <b/>
        <sz val="10"/>
        <color theme="1"/>
        <rFont val="微软雅黑"/>
        <charset val="134"/>
      </rPr>
      <t>级灵饰宝箱</t>
    </r>
  </si>
  <si>
    <t>上古邪龙</t>
  </si>
  <si>
    <t>蚩尤分身</t>
  </si>
  <si>
    <t>不周山神</t>
  </si>
  <si>
    <t>超级地煞</t>
  </si>
  <si>
    <t>门派闯关大礼包</t>
  </si>
  <si>
    <t>主线礼包</t>
  </si>
  <si>
    <r>
      <rPr>
        <b/>
        <sz val="10"/>
        <color theme="1"/>
        <rFont val="微软雅黑"/>
        <charset val="134"/>
      </rPr>
      <t>队长币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人</t>
    </r>
  </si>
  <si>
    <r>
      <rPr>
        <b/>
        <sz val="10"/>
        <color theme="1"/>
        <rFont val="微软雅黑"/>
        <charset val="134"/>
      </rPr>
      <t>队长币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人</t>
    </r>
  </si>
  <si>
    <r>
      <rPr>
        <b/>
        <sz val="10"/>
        <color theme="1"/>
        <rFont val="微软雅黑"/>
        <charset val="134"/>
      </rPr>
      <t>队长币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人</t>
    </r>
  </si>
  <si>
    <t>大雁塔妖魔1星</t>
  </si>
  <si>
    <t>80000</t>
  </si>
  <si>
    <t>(5000*RoleLv*0.05)*(random()*(1.02-0.98)+0.98)*(1-min(5-TeamNum,2)*0.15)</t>
  </si>
  <si>
    <t>5000</t>
  </si>
  <si>
    <t>200109</t>
  </si>
  <si>
    <t>200</t>
  </si>
  <si>
    <t>大雁塔妖魔2星</t>
  </si>
  <si>
    <t>6000</t>
  </si>
  <si>
    <t>180</t>
  </si>
  <si>
    <t>大雁塔妖魔3星</t>
  </si>
  <si>
    <t>120000</t>
  </si>
  <si>
    <t>7000</t>
  </si>
  <si>
    <t>大雁塔妖魔4星</t>
  </si>
  <si>
    <t>150000</t>
  </si>
  <si>
    <t>8000</t>
  </si>
  <si>
    <t>大雁塔妖魔5星</t>
  </si>
  <si>
    <t>200000</t>
  </si>
  <si>
    <t>2</t>
  </si>
  <si>
    <t>远古妖魔-封妖</t>
  </si>
  <si>
    <t>200117</t>
  </si>
  <si>
    <t>230507</t>
  </si>
  <si>
    <t>200118</t>
  </si>
  <si>
    <t>200119</t>
  </si>
  <si>
    <t>200120</t>
  </si>
  <si>
    <t>60</t>
  </si>
  <si>
    <t>30</t>
  </si>
  <si>
    <t>470</t>
  </si>
  <si>
    <t>星宿之影</t>
  </si>
  <si>
    <t>200111</t>
  </si>
  <si>
    <t>200112</t>
  </si>
  <si>
    <t>230511</t>
  </si>
  <si>
    <t>200807</t>
  </si>
  <si>
    <t>3</t>
  </si>
  <si>
    <t>10</t>
  </si>
  <si>
    <t>500</t>
  </si>
  <si>
    <t>二十八星宿</t>
  </si>
  <si>
    <t>4</t>
  </si>
  <si>
    <t>15</t>
  </si>
  <si>
    <t>二十八星宿之怒</t>
  </si>
  <si>
    <t>12000</t>
  </si>
  <si>
    <t>5</t>
  </si>
  <si>
    <t>20</t>
  </si>
  <si>
    <t>四星地煞星</t>
  </si>
  <si>
    <t>五星天罡星</t>
  </si>
  <si>
    <t>五星地煞星</t>
  </si>
  <si>
    <t>九曜星官</t>
  </si>
  <si>
    <t>一阶蚩尤</t>
  </si>
  <si>
    <r>
      <rPr>
        <b/>
        <sz val="10"/>
        <color theme="1"/>
        <rFont val="微软雅黑"/>
        <charset val="134"/>
      </rPr>
      <t>三星</t>
    </r>
    <r>
      <rPr>
        <b/>
        <sz val="10"/>
        <color theme="1"/>
        <rFont val="Arial"/>
        <charset val="134"/>
      </rPr>
      <t>*</t>
    </r>
    <r>
      <rPr>
        <b/>
        <sz val="10"/>
        <color theme="1"/>
        <rFont val="微软雅黑"/>
        <charset val="134"/>
      </rPr>
      <t>九曜星官</t>
    </r>
  </si>
  <si>
    <t>二阶蚩尤</t>
  </si>
  <si>
    <r>
      <rPr>
        <b/>
        <sz val="10"/>
        <color theme="1"/>
        <rFont val="微软雅黑"/>
        <charset val="134"/>
      </rPr>
      <t>六星</t>
    </r>
    <r>
      <rPr>
        <b/>
        <sz val="10"/>
        <color theme="1"/>
        <rFont val="Arial"/>
        <charset val="134"/>
      </rPr>
      <t>*</t>
    </r>
    <r>
      <rPr>
        <b/>
        <sz val="10"/>
        <color theme="1"/>
        <rFont val="微软雅黑"/>
        <charset val="134"/>
      </rPr>
      <t>九曜星官</t>
    </r>
  </si>
  <si>
    <t>三阶蚩尤</t>
  </si>
  <si>
    <r>
      <rPr>
        <b/>
        <sz val="10"/>
        <color theme="1"/>
        <rFont val="微软雅黑"/>
        <charset val="134"/>
      </rPr>
      <t>九星</t>
    </r>
    <r>
      <rPr>
        <b/>
        <sz val="10"/>
        <color theme="1"/>
        <rFont val="Arial"/>
        <charset val="134"/>
      </rPr>
      <t>*</t>
    </r>
    <r>
      <rPr>
        <b/>
        <sz val="10"/>
        <color theme="1"/>
        <rFont val="微软雅黑"/>
        <charset val="134"/>
      </rPr>
      <t>九曜星官</t>
    </r>
  </si>
  <si>
    <t>四阶蚩尤</t>
  </si>
  <si>
    <r>
      <rPr>
        <b/>
        <sz val="10"/>
        <color theme="1"/>
        <rFont val="微软雅黑"/>
        <charset val="134"/>
      </rPr>
      <t>魔化</t>
    </r>
    <r>
      <rPr>
        <b/>
        <sz val="10"/>
        <color theme="1"/>
        <rFont val="Arial"/>
        <charset val="134"/>
      </rPr>
      <t>*</t>
    </r>
    <r>
      <rPr>
        <b/>
        <sz val="10"/>
        <color theme="1"/>
        <rFont val="微软雅黑"/>
        <charset val="134"/>
      </rPr>
      <t>九曜星官</t>
    </r>
  </si>
  <si>
    <t>五阶蚩尤</t>
  </si>
  <si>
    <r>
      <rPr>
        <b/>
        <sz val="10"/>
        <color theme="1"/>
        <rFont val="微软雅黑"/>
        <charset val="134"/>
      </rPr>
      <t>虚空卡莎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基础版</t>
    </r>
  </si>
  <si>
    <r>
      <rPr>
        <b/>
        <sz val="10"/>
        <color theme="1"/>
        <rFont val="微软雅黑"/>
        <charset val="134"/>
      </rPr>
      <t>虚空卡莎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加强版</t>
    </r>
  </si>
  <si>
    <t>福利怪</t>
  </si>
  <si>
    <t>金木水火土</t>
  </si>
  <si>
    <t>宝石怪物</t>
  </si>
  <si>
    <t>挂机宝石怪物</t>
  </si>
  <si>
    <t>四大金刚</t>
  </si>
  <si>
    <r>
      <rPr>
        <b/>
        <sz val="10"/>
        <color theme="1"/>
        <rFont val="微软雅黑"/>
        <charset val="134"/>
      </rPr>
      <t>头铁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关</t>
    </r>
  </si>
  <si>
    <r>
      <rPr>
        <b/>
        <sz val="10"/>
        <color theme="1"/>
        <rFont val="微软雅黑"/>
        <charset val="134"/>
      </rPr>
      <t>头铁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关</t>
    </r>
  </si>
  <si>
    <r>
      <rPr>
        <b/>
        <sz val="10"/>
        <color theme="1"/>
        <rFont val="微软雅黑"/>
        <charset val="134"/>
      </rPr>
      <t>头铁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关</t>
    </r>
  </si>
  <si>
    <r>
      <rPr>
        <b/>
        <sz val="10"/>
        <color theme="1"/>
        <rFont val="微软雅黑"/>
        <charset val="134"/>
      </rPr>
      <t>头铁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关</t>
    </r>
  </si>
  <si>
    <r>
      <rPr>
        <b/>
        <sz val="10"/>
        <color theme="1"/>
        <rFont val="微软雅黑"/>
        <charset val="134"/>
      </rPr>
      <t>头铁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关</t>
    </r>
  </si>
  <si>
    <r>
      <rPr>
        <b/>
        <sz val="10"/>
        <color theme="1"/>
        <rFont val="微软雅黑"/>
        <charset val="134"/>
      </rPr>
      <t>头铁</t>
    </r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微软雅黑"/>
        <charset val="134"/>
      </rPr>
      <t>关</t>
    </r>
  </si>
  <si>
    <r>
      <rPr>
        <b/>
        <sz val="10"/>
        <color theme="1"/>
        <rFont val="微软雅黑"/>
        <charset val="134"/>
      </rPr>
      <t>头铁</t>
    </r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微软雅黑"/>
        <charset val="134"/>
      </rPr>
      <t>关</t>
    </r>
  </si>
  <si>
    <r>
      <rPr>
        <b/>
        <sz val="10"/>
        <color theme="1"/>
        <rFont val="微软雅黑"/>
        <charset val="134"/>
      </rPr>
      <t>头铁</t>
    </r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微软雅黑"/>
        <charset val="134"/>
      </rPr>
      <t>关</t>
    </r>
  </si>
  <si>
    <r>
      <rPr>
        <b/>
        <sz val="10"/>
        <color theme="1"/>
        <rFont val="微软雅黑"/>
        <charset val="134"/>
      </rPr>
      <t>头铁</t>
    </r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微软雅黑"/>
        <charset val="134"/>
      </rPr>
      <t>关</t>
    </r>
  </si>
  <si>
    <r>
      <rPr>
        <b/>
        <sz val="10"/>
        <color theme="1"/>
        <rFont val="微软雅黑"/>
        <charset val="134"/>
      </rPr>
      <t>头铁</t>
    </r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关</t>
    </r>
  </si>
  <si>
    <r>
      <rPr>
        <b/>
        <sz val="10"/>
        <color theme="1"/>
        <rFont val="微软雅黑"/>
        <charset val="134"/>
      </rPr>
      <t>终极怪物</t>
    </r>
    <r>
      <rPr>
        <b/>
        <sz val="10"/>
        <color theme="1"/>
        <rFont val="Arial"/>
        <charset val="134"/>
      </rPr>
      <t>1</t>
    </r>
  </si>
  <si>
    <r>
      <rPr>
        <b/>
        <sz val="10"/>
        <color theme="1"/>
        <rFont val="微软雅黑"/>
        <charset val="134"/>
      </rPr>
      <t>终极怪物</t>
    </r>
    <r>
      <rPr>
        <b/>
        <sz val="10"/>
        <color theme="1"/>
        <rFont val="Arial"/>
        <charset val="134"/>
      </rPr>
      <t>2</t>
    </r>
  </si>
  <si>
    <r>
      <rPr>
        <b/>
        <sz val="10"/>
        <color theme="1"/>
        <rFont val="微软雅黑"/>
        <charset val="134"/>
      </rPr>
      <t>终极怪物</t>
    </r>
    <r>
      <rPr>
        <b/>
        <sz val="10"/>
        <color theme="1"/>
        <rFont val="Arial"/>
        <charset val="134"/>
      </rPr>
      <t>3</t>
    </r>
  </si>
  <si>
    <t>帮派强盗</t>
  </si>
  <si>
    <t>(15)+(TeamNum-1)*15+RoleLv*150</t>
  </si>
  <si>
    <t>(15)+(TeamNum-1)*15+RoleLv*5</t>
  </si>
  <si>
    <t>小壶月华露</t>
  </si>
  <si>
    <t>月华露</t>
  </si>
  <si>
    <t>金柳露</t>
  </si>
  <si>
    <t>强化石</t>
  </si>
  <si>
    <t>帮派强盗头领</t>
  </si>
  <si>
    <t>金刚石</t>
  </si>
  <si>
    <t>定魂珠</t>
  </si>
  <si>
    <t>避水珠</t>
  </si>
  <si>
    <t>夜光珠</t>
  </si>
  <si>
    <t>龙鳞</t>
  </si>
  <si>
    <t>门派入侵者</t>
  </si>
  <si>
    <r>
      <rPr>
        <b/>
        <sz val="10"/>
        <color theme="1"/>
        <rFont val="微软雅黑"/>
        <charset val="134"/>
      </rPr>
      <t>法宝碎片</t>
    </r>
    <r>
      <rPr>
        <b/>
        <sz val="10"/>
        <color theme="1"/>
        <rFont val="Arial"/>
        <charset val="134"/>
      </rPr>
      <t>*1</t>
    </r>
  </si>
  <si>
    <t>门派入侵者头领</t>
  </si>
  <si>
    <r>
      <rPr>
        <b/>
        <sz val="10"/>
        <color theme="1"/>
        <rFont val="微软雅黑"/>
        <charset val="134"/>
      </rPr>
      <t>法宝碎片</t>
    </r>
    <r>
      <rPr>
        <b/>
        <sz val="10"/>
        <color theme="1"/>
        <rFont val="Arial"/>
        <charset val="134"/>
      </rPr>
      <t>*5</t>
    </r>
  </si>
  <si>
    <t>新做整理</t>
  </si>
  <si>
    <t>低级兽决袋</t>
  </si>
  <si>
    <t>高级兽决袋</t>
  </si>
  <si>
    <t>低级内丹袋</t>
  </si>
  <si>
    <t>高级内丹袋</t>
  </si>
  <si>
    <t>低级宝石袋</t>
  </si>
  <si>
    <t>高级宝石袋</t>
  </si>
  <si>
    <t>法宝精华</t>
  </si>
  <si>
    <t>法宝精魄</t>
  </si>
  <si>
    <t>五宝礼包</t>
  </si>
  <si>
    <r>
      <rPr>
        <b/>
        <sz val="10"/>
        <color theme="1"/>
        <rFont val="微软雅黑"/>
        <charset val="134"/>
      </rPr>
      <t>琉璃宠装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</si>
  <si>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镶金宠装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</si>
  <si>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七星宠装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</si>
  <si>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神兵礼包</t>
    </r>
    <r>
      <rPr>
        <b/>
        <sz val="10"/>
        <color theme="1"/>
        <rFont val="Arial"/>
        <charset val="134"/>
      </rPr>
      <t>-90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</si>
  <si>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神兵礼包</t>
    </r>
    <r>
      <rPr>
        <b/>
        <sz val="10"/>
        <color theme="1"/>
        <rFont val="Arial"/>
        <charset val="134"/>
      </rPr>
      <t>-100</t>
    </r>
    <r>
      <rPr>
        <b/>
        <sz val="10"/>
        <color theme="1"/>
        <rFont val="微软雅黑"/>
        <charset val="134"/>
      </rPr>
      <t>级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</si>
  <si>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器灵培养礼包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</si>
  <si>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运镖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追回奖励</t>
    </r>
  </si>
  <si>
    <r>
      <rPr>
        <b/>
        <sz val="10"/>
        <color theme="1"/>
        <rFont val="微软雅黑"/>
        <charset val="134"/>
      </rPr>
      <t>运镖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上交奖励</t>
    </r>
  </si>
  <si>
    <r>
      <rPr>
        <b/>
        <sz val="10"/>
        <color theme="1"/>
        <rFont val="微软雅黑"/>
        <charset val="134"/>
      </rPr>
      <t>高级镖银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暂时预留</t>
    </r>
  </si>
  <si>
    <t>低级藏宝图直接获得银币奖励</t>
  </si>
  <si>
    <t>低级藏宝图遇怪奖励</t>
  </si>
  <si>
    <r>
      <rPr>
        <b/>
        <sz val="10"/>
        <color theme="1"/>
        <rFont val="微软雅黑"/>
        <charset val="134"/>
      </rPr>
      <t>远古妖王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掉落钨金等</t>
    </r>
  </si>
  <si>
    <t>8888</t>
  </si>
  <si>
    <t>星印随机礼包</t>
  </si>
  <si>
    <t>下面是礼包随机类专用</t>
  </si>
  <si>
    <r>
      <rPr>
        <b/>
        <sz val="10"/>
        <color theme="1"/>
        <rFont val="微软雅黑"/>
        <charset val="134"/>
      </rPr>
      <t>周卡</t>
    </r>
    <r>
      <rPr>
        <b/>
        <sz val="10"/>
        <color theme="1"/>
        <rFont val="Arial"/>
        <charset val="134"/>
      </rPr>
      <t>•</t>
    </r>
    <r>
      <rPr>
        <b/>
        <sz val="10"/>
        <color theme="1"/>
        <rFont val="微软雅黑"/>
        <charset val="134"/>
      </rPr>
      <t>宠物培养包</t>
    </r>
  </si>
  <si>
    <r>
      <rPr>
        <b/>
        <sz val="10"/>
        <color theme="1"/>
        <rFont val="微软雅黑"/>
        <charset val="134"/>
      </rPr>
      <t>周卡</t>
    </r>
    <r>
      <rPr>
        <b/>
        <sz val="10"/>
        <color theme="1"/>
        <rFont val="Arial"/>
        <charset val="134"/>
      </rPr>
      <t>•</t>
    </r>
    <r>
      <rPr>
        <b/>
        <sz val="10"/>
        <color theme="1"/>
        <rFont val="微软雅黑"/>
        <charset val="134"/>
      </rPr>
      <t>人物培养包</t>
    </r>
  </si>
  <si>
    <r>
      <rPr>
        <b/>
        <sz val="10"/>
        <color theme="1"/>
        <rFont val="微软雅黑"/>
        <charset val="134"/>
      </rPr>
      <t>周卡</t>
    </r>
    <r>
      <rPr>
        <b/>
        <sz val="10"/>
        <color theme="1"/>
        <rFont val="Arial"/>
        <charset val="134"/>
      </rPr>
      <t>•</t>
    </r>
    <r>
      <rPr>
        <b/>
        <sz val="10"/>
        <color theme="1"/>
        <rFont val="微软雅黑"/>
        <charset val="134"/>
      </rPr>
      <t>法宝培养包</t>
    </r>
  </si>
  <si>
    <r>
      <rPr>
        <b/>
        <sz val="10"/>
        <color theme="1"/>
        <rFont val="微软雅黑"/>
        <charset val="134"/>
      </rPr>
      <t>下面是金银箱子专用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勿改</t>
    </r>
  </si>
  <si>
    <t>低级五宝</t>
  </si>
  <si>
    <t>高级五宝</t>
  </si>
  <si>
    <t>魔兽要诀</t>
  </si>
  <si>
    <t>高级魔兽要诀</t>
  </si>
  <si>
    <t>低级内丹</t>
  </si>
  <si>
    <t>高级内丹</t>
  </si>
  <si>
    <r>
      <rPr>
        <b/>
        <sz val="10"/>
        <color theme="1"/>
        <rFont val="微软雅黑"/>
        <charset val="134"/>
      </rPr>
      <t>法宝精华</t>
    </r>
    <r>
      <rPr>
        <b/>
        <sz val="10"/>
        <color theme="1"/>
        <rFont val="Arial"/>
        <charset val="134"/>
      </rPr>
      <t>•</t>
    </r>
    <r>
      <rPr>
        <b/>
        <sz val="10"/>
        <color theme="1"/>
        <rFont val="微软雅黑"/>
        <charset val="134"/>
      </rPr>
      <t>低</t>
    </r>
  </si>
  <si>
    <r>
      <rPr>
        <b/>
        <sz val="10"/>
        <color theme="1"/>
        <rFont val="微软雅黑"/>
        <charset val="134"/>
      </rPr>
      <t>法宝精魄</t>
    </r>
    <r>
      <rPr>
        <b/>
        <sz val="10"/>
        <color theme="1"/>
        <rFont val="Arial"/>
        <charset val="134"/>
      </rPr>
      <t>•</t>
    </r>
    <r>
      <rPr>
        <b/>
        <sz val="10"/>
        <color theme="1"/>
        <rFont val="微软雅黑"/>
        <charset val="134"/>
      </rPr>
      <t>低</t>
    </r>
  </si>
  <si>
    <r>
      <rPr>
        <b/>
        <sz val="10"/>
        <color theme="1"/>
        <rFont val="微软雅黑"/>
        <charset val="134"/>
      </rPr>
      <t>法宝精华</t>
    </r>
    <r>
      <rPr>
        <b/>
        <sz val="10"/>
        <color theme="1"/>
        <rFont val="Arial"/>
        <charset val="134"/>
      </rPr>
      <t>•</t>
    </r>
    <r>
      <rPr>
        <b/>
        <sz val="10"/>
        <color theme="1"/>
        <rFont val="微软雅黑"/>
        <charset val="134"/>
      </rPr>
      <t>高</t>
    </r>
  </si>
  <si>
    <r>
      <rPr>
        <b/>
        <sz val="10"/>
        <color theme="1"/>
        <rFont val="微软雅黑"/>
        <charset val="134"/>
      </rPr>
      <t>法宝精魄</t>
    </r>
    <r>
      <rPr>
        <b/>
        <sz val="10"/>
        <color theme="1"/>
        <rFont val="Arial"/>
        <charset val="134"/>
      </rPr>
      <t>•</t>
    </r>
    <r>
      <rPr>
        <b/>
        <sz val="10"/>
        <color theme="1"/>
        <rFont val="微软雅黑"/>
        <charset val="134"/>
      </rPr>
      <t>高</t>
    </r>
  </si>
  <si>
    <t>低级器灵</t>
  </si>
  <si>
    <t>中级器灵</t>
  </si>
  <si>
    <t>高级器灵</t>
  </si>
  <si>
    <r>
      <rPr>
        <b/>
        <sz val="10"/>
        <color theme="1"/>
        <rFont val="微软雅黑"/>
        <charset val="134"/>
      </rPr>
      <t>神兽兑换券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</si>
  <si>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随机强化石</t>
    </r>
    <r>
      <rPr>
        <b/>
        <sz val="10"/>
        <color theme="1"/>
        <rFont val="Arial"/>
        <charset val="134"/>
      </rPr>
      <t>-1</t>
    </r>
    <r>
      <rPr>
        <b/>
        <sz val="10"/>
        <color theme="1"/>
        <rFont val="微软雅黑"/>
        <charset val="134"/>
      </rPr>
      <t>个</t>
    </r>
  </si>
  <si>
    <r>
      <rPr>
        <b/>
        <sz val="10"/>
        <color theme="1"/>
        <rFont val="微软雅黑"/>
        <charset val="134"/>
      </rPr>
      <t>随机强化石</t>
    </r>
    <r>
      <rPr>
        <b/>
        <sz val="10"/>
        <color theme="1"/>
        <rFont val="Arial"/>
        <charset val="134"/>
      </rPr>
      <t>-3</t>
    </r>
    <r>
      <rPr>
        <b/>
        <sz val="10"/>
        <color theme="1"/>
        <rFont val="微软雅黑"/>
        <charset val="134"/>
      </rPr>
      <t>个</t>
    </r>
  </si>
  <si>
    <r>
      <rPr>
        <b/>
        <sz val="10"/>
        <color theme="1"/>
        <rFont val="微软雅黑"/>
        <charset val="134"/>
      </rPr>
      <t>特技符礼包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</si>
  <si>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神兽礼包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</si>
  <si>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特殊兽决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</si>
  <si>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坐骑礼包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</si>
  <si>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r>
      <rPr>
        <b/>
        <sz val="10"/>
        <color theme="1"/>
        <rFont val="微软雅黑"/>
        <charset val="134"/>
      </rPr>
      <t>吉里咕噜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随机</t>
    </r>
  </si>
  <si>
    <t>下面是跑环奖励</t>
  </si>
  <si>
    <r>
      <rPr>
        <b/>
        <sz val="10"/>
        <color theme="1"/>
        <rFont val="微软雅黑"/>
        <charset val="134"/>
      </rPr>
      <t>经验环</t>
    </r>
    <r>
      <rPr>
        <b/>
        <sz val="10"/>
        <color theme="1"/>
        <rFont val="Arial"/>
        <charset val="134"/>
      </rPr>
      <t>50-59</t>
    </r>
    <r>
      <rPr>
        <b/>
        <sz val="10"/>
        <color theme="1"/>
        <rFont val="微软雅黑"/>
        <charset val="134"/>
      </rPr>
      <t>奖励</t>
    </r>
  </si>
  <si>
    <t>5000*RoleLv</t>
  </si>
  <si>
    <r>
      <rPr>
        <b/>
        <sz val="10"/>
        <color theme="1"/>
        <rFont val="微软雅黑"/>
        <charset val="134"/>
      </rPr>
      <t>经验环</t>
    </r>
    <r>
      <rPr>
        <b/>
        <sz val="10"/>
        <color theme="1"/>
        <rFont val="Arial"/>
        <charset val="134"/>
      </rPr>
      <t>60-69</t>
    </r>
    <r>
      <rPr>
        <b/>
        <sz val="10"/>
        <color theme="1"/>
        <rFont val="微软雅黑"/>
        <charset val="134"/>
      </rPr>
      <t>奖励</t>
    </r>
  </si>
  <si>
    <r>
      <rPr>
        <b/>
        <sz val="10"/>
        <color theme="1"/>
        <rFont val="微软雅黑"/>
        <charset val="134"/>
      </rPr>
      <t>经验环</t>
    </r>
    <r>
      <rPr>
        <b/>
        <sz val="10"/>
        <color theme="1"/>
        <rFont val="Arial"/>
        <charset val="134"/>
      </rPr>
      <t>70-79</t>
    </r>
    <r>
      <rPr>
        <b/>
        <sz val="10"/>
        <color theme="1"/>
        <rFont val="微软雅黑"/>
        <charset val="134"/>
      </rPr>
      <t>奖励</t>
    </r>
  </si>
  <si>
    <r>
      <rPr>
        <b/>
        <sz val="10"/>
        <color theme="1"/>
        <rFont val="微软雅黑"/>
        <charset val="134"/>
      </rPr>
      <t>经验环</t>
    </r>
    <r>
      <rPr>
        <b/>
        <sz val="10"/>
        <color theme="1"/>
        <rFont val="Arial"/>
        <charset val="134"/>
      </rPr>
      <t>80-89</t>
    </r>
    <r>
      <rPr>
        <b/>
        <sz val="10"/>
        <color theme="1"/>
        <rFont val="微软雅黑"/>
        <charset val="134"/>
      </rPr>
      <t>奖励</t>
    </r>
  </si>
  <si>
    <r>
      <rPr>
        <b/>
        <sz val="10"/>
        <color theme="1"/>
        <rFont val="微软雅黑"/>
        <charset val="134"/>
      </rPr>
      <t>经验环</t>
    </r>
    <r>
      <rPr>
        <b/>
        <sz val="10"/>
        <color theme="1"/>
        <rFont val="Arial"/>
        <charset val="134"/>
      </rPr>
      <t>90-99</t>
    </r>
    <r>
      <rPr>
        <b/>
        <sz val="10"/>
        <color theme="1"/>
        <rFont val="微软雅黑"/>
        <charset val="134"/>
      </rPr>
      <t>奖励</t>
    </r>
  </si>
  <si>
    <r>
      <rPr>
        <b/>
        <sz val="10"/>
        <color theme="1"/>
        <rFont val="微软雅黑"/>
        <charset val="134"/>
      </rPr>
      <t>经验环</t>
    </r>
    <r>
      <rPr>
        <b/>
        <sz val="10"/>
        <color theme="1"/>
        <rFont val="Arial"/>
        <charset val="134"/>
      </rPr>
      <t>100-109</t>
    </r>
    <r>
      <rPr>
        <b/>
        <sz val="10"/>
        <color theme="1"/>
        <rFont val="微软雅黑"/>
        <charset val="134"/>
      </rPr>
      <t>奖励</t>
    </r>
  </si>
  <si>
    <r>
      <rPr>
        <b/>
        <sz val="10"/>
        <color theme="1"/>
        <rFont val="微软雅黑"/>
        <charset val="134"/>
      </rPr>
      <t>经验环</t>
    </r>
    <r>
      <rPr>
        <b/>
        <sz val="10"/>
        <color theme="1"/>
        <rFont val="Arial"/>
        <charset val="134"/>
      </rPr>
      <t>110-119</t>
    </r>
    <r>
      <rPr>
        <b/>
        <sz val="10"/>
        <color theme="1"/>
        <rFont val="微软雅黑"/>
        <charset val="134"/>
      </rPr>
      <t>奖励</t>
    </r>
  </si>
  <si>
    <t>下面是跑环经验</t>
  </si>
  <si>
    <t>跑环经验</t>
  </si>
  <si>
    <t>3000*RoleLv</t>
  </si>
  <si>
    <t>7600</t>
  </si>
  <si>
    <r>
      <rPr>
        <b/>
        <sz val="10"/>
        <color theme="1"/>
        <rFont val="微软雅黑"/>
        <charset val="134"/>
      </rPr>
      <t>下面是</t>
    </r>
    <r>
      <rPr>
        <b/>
        <sz val="10"/>
        <color theme="1"/>
        <rFont val="Arial"/>
        <charset val="134"/>
      </rPr>
      <t>1~8</t>
    </r>
    <r>
      <rPr>
        <b/>
        <sz val="10"/>
        <color theme="1"/>
        <rFont val="微软雅黑"/>
        <charset val="134"/>
      </rPr>
      <t>星</t>
    </r>
  </si>
  <si>
    <t>地煞一星掉落</t>
  </si>
  <si>
    <t>200816</t>
  </si>
  <si>
    <t>200802</t>
  </si>
  <si>
    <t>230455</t>
  </si>
  <si>
    <t>200840</t>
  </si>
  <si>
    <t>230600</t>
  </si>
  <si>
    <t>550</t>
  </si>
  <si>
    <t>地煞二星掉落</t>
  </si>
  <si>
    <t>9000</t>
  </si>
  <si>
    <t>560</t>
  </si>
  <si>
    <t>地煞三星掉落</t>
  </si>
  <si>
    <t>200817</t>
  </si>
  <si>
    <t>200841</t>
  </si>
  <si>
    <t>70</t>
  </si>
  <si>
    <t>570</t>
  </si>
  <si>
    <t>地煞四星掉落</t>
  </si>
  <si>
    <t>11000</t>
  </si>
  <si>
    <t>6</t>
  </si>
  <si>
    <t>580</t>
  </si>
  <si>
    <t>地煞五星掉落</t>
  </si>
  <si>
    <t>200818</t>
  </si>
  <si>
    <t>200842</t>
  </si>
  <si>
    <t>8</t>
  </si>
  <si>
    <t>90</t>
  </si>
  <si>
    <t>590</t>
  </si>
  <si>
    <t>地煞六星掉落</t>
  </si>
  <si>
    <t>13000</t>
  </si>
  <si>
    <t>地煞七星掉落</t>
  </si>
  <si>
    <t>15000</t>
  </si>
  <si>
    <t>200819</t>
  </si>
  <si>
    <t>200843</t>
  </si>
  <si>
    <t>12</t>
  </si>
  <si>
    <t>地煞八星掉落</t>
  </si>
  <si>
    <t>18000</t>
  </si>
  <si>
    <t>2000000</t>
  </si>
  <si>
    <t>(15)+(TeamNum-1)*15+RoleLv*160</t>
  </si>
  <si>
    <t>410</t>
  </si>
  <si>
    <t>特殊技能随机包</t>
  </si>
  <si>
    <t>最新特殊技能全套</t>
  </si>
  <si>
    <r>
      <rPr>
        <b/>
        <sz val="10"/>
        <color theme="1"/>
        <rFont val="Arial"/>
        <charset val="134"/>
      </rPr>
      <t>100</t>
    </r>
    <r>
      <rPr>
        <b/>
        <sz val="10"/>
        <color theme="1"/>
        <rFont val="微软雅黑"/>
        <charset val="134"/>
      </rPr>
      <t>帮派贡献</t>
    </r>
  </si>
  <si>
    <r>
      <rPr>
        <b/>
        <sz val="10"/>
        <color theme="1"/>
        <rFont val="Arial"/>
        <charset val="134"/>
      </rPr>
      <t>200</t>
    </r>
    <r>
      <rPr>
        <b/>
        <sz val="10"/>
        <color theme="1"/>
        <rFont val="微软雅黑"/>
        <charset val="134"/>
      </rPr>
      <t>帮派贡献</t>
    </r>
  </si>
  <si>
    <r>
      <rPr>
        <b/>
        <sz val="10"/>
        <color theme="1"/>
        <rFont val="Arial"/>
        <charset val="134"/>
      </rPr>
      <t>500</t>
    </r>
    <r>
      <rPr>
        <b/>
        <sz val="10"/>
        <color theme="1"/>
        <rFont val="微软雅黑"/>
        <charset val="134"/>
      </rPr>
      <t>帮派贡献</t>
    </r>
  </si>
  <si>
    <r>
      <rPr>
        <b/>
        <sz val="10"/>
        <color theme="1"/>
        <rFont val="Arial"/>
        <charset val="134"/>
      </rPr>
      <t>800</t>
    </r>
    <r>
      <rPr>
        <b/>
        <sz val="10"/>
        <color theme="1"/>
        <rFont val="微软雅黑"/>
        <charset val="134"/>
      </rPr>
      <t>帮派贡献</t>
    </r>
  </si>
  <si>
    <t>800</t>
  </si>
  <si>
    <r>
      <rPr>
        <b/>
        <sz val="10"/>
        <color theme="1"/>
        <rFont val="Arial"/>
        <charset val="134"/>
      </rPr>
      <t>1000</t>
    </r>
    <r>
      <rPr>
        <b/>
        <sz val="10"/>
        <color theme="1"/>
        <rFont val="微软雅黑"/>
        <charset val="134"/>
      </rPr>
      <t>帮派贡献</t>
    </r>
  </si>
  <si>
    <r>
      <rPr>
        <b/>
        <sz val="10"/>
        <color theme="1"/>
        <rFont val="Arial"/>
        <charset val="134"/>
      </rPr>
      <t>2000</t>
    </r>
    <r>
      <rPr>
        <b/>
        <sz val="10"/>
        <color theme="1"/>
        <rFont val="微软雅黑"/>
        <charset val="134"/>
      </rPr>
      <t>帮派贡献</t>
    </r>
  </si>
  <si>
    <r>
      <rPr>
        <b/>
        <sz val="10"/>
        <color theme="1"/>
        <rFont val="Arial"/>
        <charset val="134"/>
      </rPr>
      <t>3000</t>
    </r>
    <r>
      <rPr>
        <b/>
        <sz val="10"/>
        <color theme="1"/>
        <rFont val="微软雅黑"/>
        <charset val="134"/>
      </rPr>
      <t>帮派贡献</t>
    </r>
  </si>
  <si>
    <t>3000</t>
  </si>
  <si>
    <r>
      <rPr>
        <b/>
        <sz val="10"/>
        <color theme="1"/>
        <rFont val="Arial"/>
        <charset val="134"/>
      </rPr>
      <t>4000</t>
    </r>
    <r>
      <rPr>
        <b/>
        <sz val="10"/>
        <color theme="1"/>
        <rFont val="微软雅黑"/>
        <charset val="134"/>
      </rPr>
      <t>帮派贡献</t>
    </r>
  </si>
  <si>
    <t>4000</t>
  </si>
  <si>
    <r>
      <rPr>
        <b/>
        <sz val="10"/>
        <color theme="1"/>
        <rFont val="Arial"/>
        <charset val="134"/>
      </rPr>
      <t>5000</t>
    </r>
    <r>
      <rPr>
        <b/>
        <sz val="10"/>
        <color theme="1"/>
        <rFont val="微软雅黑"/>
        <charset val="134"/>
      </rPr>
      <t>帮派贡献</t>
    </r>
  </si>
  <si>
    <r>
      <rPr>
        <b/>
        <sz val="10"/>
        <color theme="1"/>
        <rFont val="Arial"/>
        <charset val="134"/>
      </rPr>
      <t>10000</t>
    </r>
    <r>
      <rPr>
        <b/>
        <sz val="10"/>
        <color theme="1"/>
        <rFont val="微软雅黑"/>
        <charset val="134"/>
      </rPr>
      <t>帮派贡献</t>
    </r>
  </si>
  <si>
    <t>激情宝箱</t>
  </si>
  <si>
    <t>年兽</t>
  </si>
  <si>
    <t>500000</t>
  </si>
  <si>
    <t>20000</t>
  </si>
  <si>
    <t>230036</t>
  </si>
  <si>
    <t>230510</t>
  </si>
  <si>
    <t>鞭炮</t>
  </si>
  <si>
    <t>201218</t>
  </si>
  <si>
    <t>年兽普通奖励</t>
  </si>
  <si>
    <t>201315</t>
  </si>
  <si>
    <t>150</t>
  </si>
  <si>
    <t>四方星官</t>
  </si>
  <si>
    <t>200506</t>
  </si>
  <si>
    <t>200110</t>
  </si>
  <si>
    <t>天罡一星掉落</t>
  </si>
  <si>
    <t>600</t>
  </si>
  <si>
    <t>天罡二星掉落</t>
  </si>
  <si>
    <t>200844</t>
  </si>
  <si>
    <t>天罡三星掉落</t>
  </si>
  <si>
    <t>天罡四星掉落</t>
  </si>
  <si>
    <t>25000</t>
  </si>
  <si>
    <t>230803</t>
  </si>
  <si>
    <t>201310</t>
  </si>
  <si>
    <t>25</t>
  </si>
  <si>
    <t>天罡五星掉落</t>
  </si>
  <si>
    <t>天罡六星掉落</t>
  </si>
  <si>
    <t>天罡七星掉落</t>
  </si>
  <si>
    <t>天罡八星掉落</t>
  </si>
  <si>
    <t>三界群雄会</t>
  </si>
  <si>
    <t>珍兽争霸</t>
  </si>
  <si>
    <t>201298</t>
  </si>
  <si>
    <t>201299</t>
  </si>
  <si>
    <t>201300</t>
  </si>
  <si>
    <t>230451</t>
  </si>
  <si>
    <r>
      <rPr>
        <b/>
        <sz val="10"/>
        <color theme="1"/>
        <rFont val="Arial"/>
        <charset val="134"/>
      </rPr>
      <t>110</t>
    </r>
    <r>
      <rPr>
        <b/>
        <sz val="10"/>
        <color theme="1"/>
        <rFont val="微软雅黑"/>
        <charset val="134"/>
      </rPr>
      <t>级装备分解</t>
    </r>
    <r>
      <rPr>
        <b/>
        <sz val="10"/>
        <color theme="1"/>
        <rFont val="Arial"/>
        <charset val="134"/>
      </rPr>
      <t>120</t>
    </r>
    <r>
      <rPr>
        <b/>
        <sz val="10"/>
        <color theme="1"/>
        <rFont val="微软雅黑"/>
        <charset val="134"/>
      </rPr>
      <t>制造书</t>
    </r>
  </si>
  <si>
    <r>
      <rPr>
        <b/>
        <sz val="10"/>
        <color theme="1"/>
        <rFont val="Arial"/>
        <charset val="134"/>
      </rPr>
      <t>120</t>
    </r>
    <r>
      <rPr>
        <b/>
        <sz val="10"/>
        <color theme="1"/>
        <rFont val="微软雅黑"/>
        <charset val="134"/>
      </rPr>
      <t>级装备分解</t>
    </r>
    <r>
      <rPr>
        <b/>
        <sz val="10"/>
        <color theme="1"/>
        <rFont val="Arial"/>
        <charset val="134"/>
      </rPr>
      <t>130</t>
    </r>
    <r>
      <rPr>
        <b/>
        <sz val="10"/>
        <color theme="1"/>
        <rFont val="微软雅黑"/>
        <charset val="134"/>
      </rPr>
      <t>制造书</t>
    </r>
  </si>
  <si>
    <r>
      <rPr>
        <b/>
        <sz val="10"/>
        <color theme="1"/>
        <rFont val="Arial"/>
        <charset val="134"/>
      </rPr>
      <t>130</t>
    </r>
    <r>
      <rPr>
        <b/>
        <sz val="10"/>
        <color theme="1"/>
        <rFont val="微软雅黑"/>
        <charset val="134"/>
      </rPr>
      <t>级装备分解</t>
    </r>
    <r>
      <rPr>
        <b/>
        <sz val="10"/>
        <color theme="1"/>
        <rFont val="Arial"/>
        <charset val="134"/>
      </rPr>
      <t>140</t>
    </r>
    <r>
      <rPr>
        <b/>
        <sz val="10"/>
        <color theme="1"/>
        <rFont val="微软雅黑"/>
        <charset val="134"/>
      </rPr>
      <t>制造书</t>
    </r>
  </si>
  <si>
    <r>
      <rPr>
        <b/>
        <sz val="10"/>
        <color theme="1"/>
        <rFont val="Arial"/>
        <charset val="134"/>
      </rPr>
      <t>140</t>
    </r>
    <r>
      <rPr>
        <b/>
        <sz val="10"/>
        <color theme="1"/>
        <rFont val="微软雅黑"/>
        <charset val="134"/>
      </rPr>
      <t>级装备分解</t>
    </r>
    <r>
      <rPr>
        <b/>
        <sz val="10"/>
        <color theme="1"/>
        <rFont val="Arial"/>
        <charset val="134"/>
      </rPr>
      <t>150</t>
    </r>
    <r>
      <rPr>
        <b/>
        <sz val="10"/>
        <color theme="1"/>
        <rFont val="微软雅黑"/>
        <charset val="134"/>
      </rPr>
      <t>制造书</t>
    </r>
  </si>
  <si>
    <r>
      <rPr>
        <b/>
        <sz val="10"/>
        <color theme="1"/>
        <rFont val="Arial"/>
        <charset val="134"/>
      </rPr>
      <t>150</t>
    </r>
    <r>
      <rPr>
        <b/>
        <sz val="10"/>
        <color theme="1"/>
        <rFont val="微软雅黑"/>
        <charset val="134"/>
      </rPr>
      <t>级装备分解</t>
    </r>
    <r>
      <rPr>
        <b/>
        <sz val="10"/>
        <color theme="1"/>
        <rFont val="Arial"/>
        <charset val="134"/>
      </rPr>
      <t>160</t>
    </r>
    <r>
      <rPr>
        <b/>
        <sz val="10"/>
        <color theme="1"/>
        <rFont val="微软雅黑"/>
        <charset val="134"/>
      </rPr>
      <t>制造书</t>
    </r>
  </si>
  <si>
    <t>八十一难</t>
  </si>
  <si>
    <t>天宫盗宝</t>
  </si>
  <si>
    <r>
      <rPr>
        <b/>
        <sz val="10"/>
        <color theme="1"/>
        <rFont val="微软雅黑"/>
        <charset val="134"/>
      </rPr>
      <t>九幽地宫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普通奖励</t>
    </r>
  </si>
  <si>
    <t>230165</t>
  </si>
  <si>
    <t>300</t>
  </si>
  <si>
    <r>
      <rPr>
        <b/>
        <sz val="10"/>
        <color theme="1"/>
        <rFont val="微软雅黑"/>
        <charset val="134"/>
      </rPr>
      <t>九幽地宫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普通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</t>
    </r>
  </si>
  <si>
    <r>
      <rPr>
        <b/>
        <sz val="10"/>
        <color theme="1"/>
        <rFont val="微软雅黑"/>
        <charset val="134"/>
      </rPr>
      <t>九幽地宫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普通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</si>
  <si>
    <r>
      <rPr>
        <b/>
        <sz val="10"/>
        <color theme="1"/>
        <rFont val="微软雅黑"/>
        <charset val="134"/>
      </rPr>
      <t>九幽地宫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精英奖励</t>
    </r>
  </si>
  <si>
    <r>
      <rPr>
        <b/>
        <sz val="10"/>
        <color theme="1"/>
        <rFont val="微软雅黑"/>
        <charset val="134"/>
      </rPr>
      <t>九幽地宫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精英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</t>
    </r>
  </si>
  <si>
    <r>
      <rPr>
        <b/>
        <sz val="10"/>
        <color theme="1"/>
        <rFont val="微软雅黑"/>
        <charset val="134"/>
      </rPr>
      <t>九幽地宫</t>
    </r>
    <r>
      <rPr>
        <b/>
        <sz val="10"/>
        <color theme="1"/>
        <rFont val="Arial"/>
        <charset val="134"/>
      </rPr>
      <t>-</t>
    </r>
    <r>
      <rPr>
        <b/>
        <sz val="10"/>
        <color theme="1"/>
        <rFont val="微软雅黑"/>
        <charset val="134"/>
      </rPr>
      <t>精英</t>
    </r>
    <r>
      <rPr>
        <b/>
        <sz val="10"/>
        <color theme="1"/>
        <rFont val="Arial"/>
        <charset val="134"/>
      </rPr>
      <t>ROLL</t>
    </r>
    <r>
      <rPr>
        <b/>
        <sz val="10"/>
        <color theme="1"/>
        <rFont val="微软雅黑"/>
        <charset val="134"/>
      </rPr>
      <t>点奖励</t>
    </r>
  </si>
  <si>
    <t>十二元辰</t>
  </si>
  <si>
    <t>200808</t>
  </si>
  <si>
    <t>稀有宠物随机包</t>
  </si>
  <si>
    <t>变身卡随机1-5级</t>
  </si>
  <si>
    <t>变身卡随机7-9级</t>
  </si>
  <si>
    <t>西瓜</t>
  </si>
  <si>
    <t>雪糕</t>
  </si>
  <si>
    <t>3%器灵随机礼包</t>
  </si>
  <si>
    <t>4%器灵随机礼包</t>
  </si>
  <si>
    <t>5%器灵随机礼包</t>
  </si>
  <si>
    <t>6%器灵随机礼包</t>
  </si>
  <si>
    <t>被动殊兽决礼包</t>
  </si>
  <si>
    <t>主动殊兽决礼包</t>
  </si>
  <si>
    <t>大量资金盒子</t>
  </si>
  <si>
    <t>1500000</t>
  </si>
  <si>
    <t>结婚礼盒</t>
  </si>
  <si>
    <t>仙桃礼盒</t>
  </si>
  <si>
    <t>230477</t>
  </si>
  <si>
    <t>88</t>
  </si>
  <si>
    <t>230478</t>
  </si>
  <si>
    <t>230479</t>
  </si>
  <si>
    <t>230480</t>
  </si>
  <si>
    <t>230481</t>
  </si>
  <si>
    <t>初级宝石随机礼包</t>
  </si>
  <si>
    <t>230468</t>
  </si>
  <si>
    <t>初级宝珠随机礼包</t>
  </si>
  <si>
    <t>230469</t>
  </si>
  <si>
    <t>7947</t>
  </si>
  <si>
    <t>蚩尤战神1星</t>
  </si>
  <si>
    <t>5000000</t>
  </si>
  <si>
    <t>(5000*MonsterLv*0.05)*(random()*(1.02-0.98)+0.98)*(1-min(5-TeamNum,2)*0.15)</t>
  </si>
  <si>
    <t>230551</t>
  </si>
  <si>
    <t>230486</t>
  </si>
  <si>
    <t>230804</t>
  </si>
  <si>
    <t>720</t>
  </si>
  <si>
    <t>201042</t>
  </si>
  <si>
    <t>7948</t>
  </si>
  <si>
    <t>自在天魔1星</t>
  </si>
  <si>
    <t>4000000</t>
  </si>
  <si>
    <t>230529</t>
  </si>
  <si>
    <t>230487</t>
  </si>
  <si>
    <t>7949</t>
  </si>
  <si>
    <t>塔11芙蓉</t>
  </si>
  <si>
    <t>300000</t>
  </si>
  <si>
    <t>400</t>
  </si>
  <si>
    <t>7950</t>
  </si>
  <si>
    <t>塔12鬼将</t>
  </si>
  <si>
    <t>7951</t>
  </si>
  <si>
    <t>塔13吉里吉里</t>
  </si>
  <si>
    <t>350000</t>
  </si>
  <si>
    <t>7952</t>
  </si>
  <si>
    <t>塔14咕噜咕噜</t>
  </si>
  <si>
    <t>7953</t>
  </si>
  <si>
    <t>塔15土灵兽</t>
  </si>
  <si>
    <t>400000</t>
  </si>
  <si>
    <t>7954</t>
  </si>
  <si>
    <t>塔16水灵兽</t>
  </si>
  <si>
    <t>7955</t>
  </si>
  <si>
    <t>塔17蛟龙</t>
  </si>
  <si>
    <t>450000</t>
  </si>
  <si>
    <t>450</t>
  </si>
  <si>
    <t>7956</t>
  </si>
  <si>
    <t>塔18龙龟</t>
  </si>
  <si>
    <t>14000</t>
  </si>
  <si>
    <t>480</t>
  </si>
  <si>
    <t>7957</t>
  </si>
  <si>
    <t>塔19僵尸</t>
  </si>
  <si>
    <t>7958</t>
  </si>
  <si>
    <t>塔20夜叉</t>
  </si>
  <si>
    <t>16000</t>
  </si>
  <si>
    <t>350</t>
  </si>
  <si>
    <t>7959</t>
  </si>
  <si>
    <t>蚩尤战神2星</t>
  </si>
  <si>
    <t>3000000</t>
  </si>
  <si>
    <t>230485</t>
  </si>
  <si>
    <t>230466</t>
  </si>
  <si>
    <t>1100</t>
  </si>
  <si>
    <t>1300</t>
  </si>
  <si>
    <t>7960</t>
  </si>
  <si>
    <t>蚩尤战神3星</t>
  </si>
  <si>
    <t>18</t>
  </si>
  <si>
    <t>7961</t>
  </si>
  <si>
    <t>蚩尤战神4星</t>
  </si>
  <si>
    <t>24</t>
  </si>
  <si>
    <t>7962</t>
  </si>
  <si>
    <t>蚩尤战神5星</t>
  </si>
  <si>
    <t>7963</t>
  </si>
  <si>
    <t>蚩尤战神6星</t>
  </si>
  <si>
    <t>36</t>
  </si>
  <si>
    <t>7</t>
  </si>
  <si>
    <t>7964</t>
  </si>
  <si>
    <t>蚩尤战神7星</t>
  </si>
  <si>
    <t>42</t>
  </si>
  <si>
    <t>7965</t>
  </si>
  <si>
    <t>蚩尤战神8星</t>
  </si>
  <si>
    <t>48</t>
  </si>
  <si>
    <t>9</t>
  </si>
  <si>
    <t>7966</t>
  </si>
  <si>
    <t>蚩尤战神9星</t>
  </si>
  <si>
    <t>54</t>
  </si>
  <si>
    <t>7967</t>
  </si>
  <si>
    <t>蚩尤战神10星</t>
  </si>
  <si>
    <t>11</t>
  </si>
  <si>
    <t>7968</t>
  </si>
  <si>
    <t>自在天魔2星</t>
  </si>
  <si>
    <t>1000000</t>
  </si>
  <si>
    <t>230484</t>
  </si>
  <si>
    <t>1200</t>
  </si>
  <si>
    <t>7969</t>
  </si>
  <si>
    <t>自在天魔3星</t>
  </si>
  <si>
    <t>7970</t>
  </si>
  <si>
    <t>自在天魔4星</t>
  </si>
  <si>
    <t>7971</t>
  </si>
  <si>
    <t>自在天魔5星</t>
  </si>
  <si>
    <t>7972</t>
  </si>
  <si>
    <t>自在天魔6星</t>
  </si>
  <si>
    <t>7973</t>
  </si>
  <si>
    <t>自在天魔7星</t>
  </si>
  <si>
    <t>21</t>
  </si>
  <si>
    <t>7974</t>
  </si>
  <si>
    <t>自在天魔8星</t>
  </si>
  <si>
    <t>27</t>
  </si>
  <si>
    <t>7975</t>
  </si>
  <si>
    <t>自在天魔9星</t>
  </si>
  <si>
    <t>33</t>
  </si>
  <si>
    <t>7976</t>
  </si>
  <si>
    <t>自在天魔10星</t>
  </si>
  <si>
    <t>40</t>
  </si>
  <si>
    <t>7977</t>
  </si>
  <si>
    <t>110级装备箱子</t>
  </si>
  <si>
    <t>7978</t>
  </si>
  <si>
    <t>120级装备箱子</t>
  </si>
  <si>
    <t>7979</t>
  </si>
  <si>
    <t>130级装备箱子</t>
  </si>
  <si>
    <t>7980</t>
  </si>
  <si>
    <t>140级装备箱子</t>
  </si>
  <si>
    <t>201301</t>
  </si>
  <si>
    <t>7981</t>
  </si>
  <si>
    <t>150级装备箱子</t>
  </si>
  <si>
    <t>201302</t>
  </si>
  <si>
    <t>7982</t>
  </si>
  <si>
    <t>160级装备箱子</t>
  </si>
  <si>
    <t>201303</t>
  </si>
  <si>
    <t>虎符战将</t>
  </si>
  <si>
    <t>巨力神将</t>
  </si>
  <si>
    <t>降龙尊者</t>
  </si>
  <si>
    <t>伏虎尊者</t>
  </si>
  <si>
    <t>释迦摩尼</t>
  </si>
  <si>
    <t>摩诃迦叶</t>
  </si>
  <si>
    <t>青狮魔王</t>
  </si>
  <si>
    <t>白象魔王</t>
  </si>
  <si>
    <t>大鹏魔王</t>
  </si>
  <si>
    <t>冥界鬼王</t>
  </si>
  <si>
    <t>★嫦娥★</t>
  </si>
  <si>
    <t>200801</t>
  </si>
  <si>
    <t>★天蓬★</t>
  </si>
  <si>
    <t>★天罡★</t>
  </si>
  <si>
    <t>★大力★</t>
  </si>
  <si>
    <t>礼乐专家89</t>
  </si>
  <si>
    <t>制造大师89</t>
  </si>
  <si>
    <t>科举官员89</t>
  </si>
  <si>
    <t>商业大亨89</t>
  </si>
  <si>
    <t>驯兽高手89</t>
  </si>
  <si>
    <t>礼乐专家109</t>
  </si>
  <si>
    <t>制造大师109</t>
  </si>
  <si>
    <t>科举官员109</t>
  </si>
  <si>
    <t>商业大亨109</t>
  </si>
  <si>
    <t>驯兽高手109</t>
  </si>
  <si>
    <t>礼乐专家129</t>
  </si>
  <si>
    <t>制造大师129</t>
  </si>
  <si>
    <t>科举官员129</t>
  </si>
  <si>
    <t>商业大亨129</t>
  </si>
  <si>
    <t>驯兽高手129</t>
  </si>
  <si>
    <t>世界BOSS</t>
  </si>
  <si>
    <t>三十六天罡·天魁星</t>
  </si>
  <si>
    <t>三十六天罡·天雄星</t>
  </si>
  <si>
    <t>三十六天罡·天英星</t>
  </si>
  <si>
    <t>三十六天罡·天贵星</t>
  </si>
  <si>
    <t>三十六天罡·天伤星</t>
  </si>
  <si>
    <t>三十六天罡·天立星</t>
  </si>
  <si>
    <t>三十六天罡·天捷星</t>
  </si>
  <si>
    <t>三十六天罡·天暗星</t>
  </si>
  <si>
    <t>三十六天罡·天佑星</t>
  </si>
  <si>
    <t>万年蜈蚣精</t>
  </si>
  <si>
    <t>紫薇大帝</t>
  </si>
  <si>
    <t>8100</t>
  </si>
  <si>
    <t>周卡殊兽决礼包</t>
  </si>
  <si>
    <t>230801</t>
  </si>
  <si>
    <t>8101</t>
  </si>
  <si>
    <t>周卡1.8成长宠物决礼包</t>
  </si>
  <si>
    <t>230802</t>
  </si>
  <si>
    <t>8102</t>
  </si>
  <si>
    <t>周卡蟠桃礼盒</t>
  </si>
  <si>
    <t>230800</t>
  </si>
  <si>
    <t>user:</t>
  </si>
  <si>
    <t>填0的时候 使用获得概率列 填1的时候不使用获得概率列 填0的时候  获得概率/总概率决定玩家是否获得物品 物品类掉率/总概率决定玩家获得什么物品 填1的时候 只有物品类掉率/总概率 决定玩家是否获得物品获得什么物品 忽略获得概率列 所以 当获得概率等于总概率时 填0 一定会获得一个物品 填1可能获得一个物品 可能获得多个物品 也可能无法获得物品</t>
  </si>
  <si>
    <t>所以 当获得概率等于总概率时 填0 一定会获得一个物品 填1可能获得一个物品 可能获得多个物品 也可能无法获得物品</t>
  </si>
  <si>
    <t xml:space="preserve"> 填0的时候  获得概率/总概率决定玩家是否获得物品 物品类掉率/总概率决定玩家获得什么物品</t>
  </si>
  <si>
    <t>填0 一定会获得一个物品 填1可能获得一个物品 可能获得多个物品 也可能无法获得物品</t>
  </si>
  <si>
    <t>第一名奖励</t>
  </si>
  <si>
    <t>500W仙玉</t>
  </si>
  <si>
    <t>武神坛令牌*20</t>
  </si>
  <si>
    <t>第二名奖励</t>
  </si>
  <si>
    <t>200W仙玉</t>
  </si>
  <si>
    <t>武神坛令牌*10</t>
  </si>
  <si>
    <t>第三名奖励</t>
  </si>
  <si>
    <t>100W仙玉</t>
  </si>
  <si>
    <t>武神坛令牌*5</t>
  </si>
  <si>
    <t>兑换金斧子</t>
  </si>
  <si>
    <t>使用500个武神令牌兑换1个金斧子</t>
  </si>
  <si>
    <t>50万仙玉</t>
  </si>
  <si>
    <t>武神坛令牌</t>
  </si>
  <si>
    <t>40014</t>
  </si>
  <si>
    <t>战书</t>
  </si>
  <si>
    <t>337943</t>
  </si>
  <si>
    <t>祈福卷轴</t>
  </si>
  <si>
    <t>钨金</t>
  </si>
  <si>
    <t>四阶宠物装备宝箱</t>
  </si>
  <si>
    <t>低级宝箱：</t>
  </si>
  <si>
    <t>固定奖励，500W经验10W仙玉。随机奖励10W仙玉，挑战券，祈福卷轴，钨金，四阶宠物装备</t>
  </si>
  <si>
    <t>中级宝箱：</t>
  </si>
  <si>
    <t>固定奖励，1000W经验50W仙玉。随机奖励50W仙玉，五阶宠物装备，钨金，神级宠物装备，银斧子</t>
  </si>
  <si>
    <t>高级宝箱：</t>
  </si>
  <si>
    <t>四阶宠物装备包</t>
  </si>
  <si>
    <t>固定奖励，2000W经验100W仙玉钨金。随机奖励100W仙玉，神级宠物装备，钨金，金斧子。</t>
  </si>
  <si>
    <t>五阶宠物装备包</t>
  </si>
  <si>
    <t>神级宠物装备包</t>
  </si>
  <si>
    <t>师门日常每环奖励0</t>
  </si>
  <si>
    <t>max(floor((Ring-4)/2),0)</t>
  </si>
  <si>
    <t>(400*RoleLv*0.694*(0.78+0.04*Ring))*(random()*(1.02-0.98)+0.98)</t>
  </si>
  <si>
    <t>(1200*RoleLv*0.2*(0.78+0.04*Ring))*(random()*(1.02-0.98)+0.98)</t>
  </si>
  <si>
    <t>(83*RoleLv*0.2*(0.78+0.04*Ring))*(random()*(1.02-0.98)+0.98)</t>
  </si>
  <si>
    <t>师门日常每10轮奖励</t>
  </si>
  <si>
    <t>(4*RoleLv*4)*(random()*(1.02-0.98)+0.98)</t>
  </si>
  <si>
    <t>必给经验公式</t>
  </si>
  <si>
    <t>随机必给物品</t>
  </si>
  <si>
    <t>随机概率给的物品</t>
  </si>
  <si>
    <t>器灵•剑歌，器灵•锋芒，器灵•固甲，器灵•雁行</t>
  </si>
  <si>
    <t>金刚石，定魂珠，必杀，连击，法术暴击，法术连击，高级藏宝图</t>
  </si>
  <si>
    <t>1500*RoleLv</t>
  </si>
  <si>
    <t>60级•钨金，70级•钨金</t>
  </si>
  <si>
    <t>门派闯关第1名</t>
  </si>
  <si>
    <t>1级高级内丹库随机，高级兽决库，五宝库{金刚石定魂珠这些}，法宝精华库，法宝精魄库，九眼天珠</t>
  </si>
  <si>
    <t>门派闯关第2名</t>
  </si>
  <si>
    <t>门派闯关第3名</t>
  </si>
  <si>
    <t>竞技场-精锐组-胜利奖励</t>
  </si>
  <si>
    <t>60级•钨金</t>
  </si>
  <si>
    <t>60~70打造书库，60~70百炼精铁，五宝库{金刚石定魂珠这些}，低级兽决库，高级兽决库</t>
  </si>
  <si>
    <t>竞技场-勇武组-胜利奖励</t>
  </si>
  <si>
    <t>70级•钨金</t>
  </si>
  <si>
    <t>竞技场-神威组-胜利奖励</t>
  </si>
  <si>
    <t>80级•钨金</t>
  </si>
  <si>
    <t>竞技场-精锐组-败方奖励</t>
  </si>
  <si>
    <t>竞技场-勇武组-败方奖励</t>
  </si>
  <si>
    <t>竞技场-神威组-败方奖励</t>
  </si>
  <si>
    <t>竞技场-首胜礼包</t>
  </si>
  <si>
    <t>竞技场-五战礼包</t>
  </si>
  <si>
    <t>竞技场-盈福经验</t>
  </si>
  <si>
    <t>华山论剑-精锐组-胜利奖励</t>
  </si>
  <si>
    <t>华山论剑-勇武组-胜利奖励</t>
  </si>
  <si>
    <t>华山论剑-神威组-胜利奖励</t>
  </si>
  <si>
    <t>华山论剑-精锐组-败方奖励</t>
  </si>
  <si>
    <t>华山论剑-勇武组-败方奖励</t>
  </si>
  <si>
    <t>华山论剑-神威组-败方奖励</t>
  </si>
  <si>
    <t>华山论剑-首胜礼包</t>
  </si>
  <si>
    <t>华山论剑-十战礼包</t>
  </si>
  <si>
    <t>华山论剑-五胜礼包</t>
  </si>
  <si>
    <t>华山论剑-盈福经验</t>
  </si>
  <si>
    <t>比武大会-精锐组-胜利奖励</t>
  </si>
  <si>
    <t>比武大会-勇武组-胜利奖励</t>
  </si>
  <si>
    <t>比武大会-神威组-胜利奖励</t>
  </si>
  <si>
    <t>比武大会-精锐组-败方奖励</t>
  </si>
  <si>
    <t>比武大会-勇武组-败方奖励</t>
  </si>
  <si>
    <t>比武大会-神威组-败方奖励</t>
  </si>
  <si>
    <t>比武大会-首胜礼包</t>
  </si>
  <si>
    <t>比武大会-五战礼包</t>
  </si>
  <si>
    <t>比武大会-第1-5名宝箱</t>
  </si>
  <si>
    <t>比武大会-第6-10名宝箱</t>
  </si>
  <si>
    <t>比武大会-第11-15名宝箱</t>
  </si>
  <si>
    <t>比武大会-第1-5名宝箱（凤凰）</t>
  </si>
  <si>
    <t>比武大会-盈福经验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</si>
</sst>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8">
    <font>
      <sz val="11"/>
      <color theme="1"/>
      <name val="宋体"/>
      <charset val="162"/>
      <scheme val="minor"/>
    </font>
    <font>
      <sz val="10"/>
      <color theme="1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sz val="10"/>
      <color rgb="FFFFFF00"/>
      <name val="Arial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1"/>
      <color rgb="FF333333"/>
      <name val="Helvetica"/>
      <charset val="162"/>
    </font>
    <font>
      <sz val="11"/>
      <name val="宋体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sz val="12"/>
      <name val="宋体"/>
      <charset val="134"/>
    </font>
    <font>
      <b/>
      <sz val="10"/>
      <color theme="1"/>
      <name val="Arial"/>
      <charset val="134"/>
    </font>
    <font>
      <b/>
      <sz val="10"/>
      <color rgb="FFE0DA36"/>
      <name val="标准粗黑"/>
      <charset val="134"/>
    </font>
    <font>
      <b/>
      <sz val="10"/>
      <color theme="1"/>
      <name val="标准粗黑"/>
      <charset val="134"/>
    </font>
    <font>
      <b/>
      <sz val="10"/>
      <color rgb="FFFFFF00"/>
      <name val="标准粗黑"/>
      <charset val="134"/>
    </font>
    <font>
      <b/>
      <sz val="10"/>
      <name val="标准粗黑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E0DA36"/>
      <name val="标准粗黑"/>
      <charset val="162"/>
    </font>
    <font>
      <b/>
      <sz val="10"/>
      <color theme="1"/>
      <name val="Arial"/>
      <charset val="162"/>
    </font>
    <font>
      <b/>
      <sz val="10"/>
      <name val="宋体"/>
      <charset val="134"/>
    </font>
    <font>
      <b/>
      <sz val="10"/>
      <color rgb="FFFFFF00"/>
      <name val="Arial"/>
      <charset val="134"/>
    </font>
    <font>
      <b/>
      <sz val="10"/>
      <color theme="1"/>
      <name val="宋体"/>
      <charset val="134"/>
    </font>
    <font>
      <b/>
      <sz val="10"/>
      <color indexed="8"/>
      <name val="宋体"/>
      <charset val="134"/>
    </font>
    <font>
      <b/>
      <sz val="10"/>
      <color rgb="FFFF0000"/>
      <name val="宋体"/>
      <charset val="134"/>
    </font>
    <font>
      <b/>
      <sz val="10"/>
      <color theme="1"/>
      <name val="宋体"/>
      <charset val="162"/>
      <scheme val="minor"/>
    </font>
    <font>
      <b/>
      <sz val="10"/>
      <name val="微软雅黑"/>
      <charset val="162"/>
    </font>
    <font>
      <b/>
      <sz val="10"/>
      <color rgb="FFFF0000"/>
      <name val="宋体"/>
      <charset val="162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10"/>
      <name val="Geneva"/>
      <charset val="134"/>
    </font>
    <font>
      <sz val="11"/>
      <color indexed="6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rgb="FFFF6600"/>
        <bgColor rgb="FFE46C0A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506C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76195562608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33" borderId="3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34" borderId="6" applyNumberFormat="0" applyAlignment="0" applyProtection="0">
      <alignment vertical="center"/>
    </xf>
    <xf numFmtId="0" fontId="42" fillId="35" borderId="7" applyNumberFormat="0" applyAlignment="0" applyProtection="0">
      <alignment vertical="center"/>
    </xf>
    <xf numFmtId="0" fontId="43" fillId="35" borderId="6" applyNumberFormat="0" applyAlignment="0" applyProtection="0">
      <alignment vertical="center"/>
    </xf>
    <xf numFmtId="0" fontId="44" fillId="36" borderId="8" applyNumberFormat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1" fillId="53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1" fillId="58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2" fillId="0" borderId="0">
      <alignment vertical="center"/>
    </xf>
    <xf numFmtId="0" fontId="53" fillId="61" borderId="0" applyNumberFormat="0" applyBorder="0" applyAlignment="0" applyProtection="0">
      <alignment vertical="center"/>
    </xf>
    <xf numFmtId="0" fontId="54" fillId="0" borderId="0"/>
    <xf numFmtId="0" fontId="3" fillId="0" borderId="0">
      <alignment vertical="center"/>
    </xf>
    <xf numFmtId="0" fontId="3" fillId="0" borderId="0">
      <alignment vertical="center"/>
    </xf>
    <xf numFmtId="0" fontId="55" fillId="10" borderId="0" applyNumberFormat="0" applyBorder="0" applyAlignment="0" applyProtection="0">
      <alignment vertical="center"/>
    </xf>
  </cellStyleXfs>
  <cellXfs count="17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2" borderId="0" xfId="24" applyFont="1" applyFill="1" applyBorder="1" applyAlignment="1">
      <alignment horizontal="center" vertical="center"/>
    </xf>
    <xf numFmtId="0" fontId="6" fillId="0" borderId="0" xfId="24" applyFont="1" applyFill="1" applyAlignment="1">
      <alignment horizontal="center" vertical="center"/>
    </xf>
    <xf numFmtId="0" fontId="0" fillId="0" borderId="0" xfId="0" applyAlignment="1"/>
    <xf numFmtId="0" fontId="5" fillId="3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0" fillId="0" borderId="0" xfId="0" applyAlignment="1">
      <alignment horizontal="justify"/>
    </xf>
    <xf numFmtId="0" fontId="7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9" fillId="3" borderId="1" xfId="24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49" fontId="3" fillId="7" borderId="0" xfId="0" applyNumberFormat="1" applyFont="1" applyFill="1" applyAlignment="1">
      <alignment horizontal="center"/>
    </xf>
    <xf numFmtId="49" fontId="11" fillId="7" borderId="0" xfId="0" applyNumberFormat="1" applyFont="1" applyFill="1" applyAlignment="1">
      <alignment horizontal="center" wrapText="1"/>
    </xf>
    <xf numFmtId="49" fontId="3" fillId="8" borderId="0" xfId="0" applyNumberFormat="1" applyFont="1" applyFill="1" applyAlignment="1">
      <alignment horizontal="center"/>
    </xf>
    <xf numFmtId="49" fontId="2" fillId="8" borderId="0" xfId="0" applyNumberFormat="1" applyFont="1" applyFill="1" applyAlignment="1">
      <alignment horizontal="center" vertical="center"/>
    </xf>
    <xf numFmtId="0" fontId="3" fillId="3" borderId="0" xfId="0" applyFont="1" applyFill="1" applyAlignment="1"/>
    <xf numFmtId="49" fontId="2" fillId="0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49" fontId="13" fillId="0" borderId="1" xfId="24" applyNumberFormat="1" applyFont="1" applyFill="1" applyBorder="1" applyAlignment="1">
      <alignment horizontal="center" vertical="center" wrapText="1"/>
    </xf>
    <xf numFmtId="49" fontId="13" fillId="9" borderId="1" xfId="0" applyNumberFormat="1" applyFont="1" applyFill="1" applyBorder="1" applyAlignment="1">
      <alignment horizontal="center" vertical="center" wrapText="1"/>
    </xf>
    <xf numFmtId="49" fontId="13" fillId="10" borderId="1" xfId="24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49" fontId="13" fillId="11" borderId="1" xfId="0" applyNumberFormat="1" applyFont="1" applyFill="1" applyBorder="1" applyAlignment="1">
      <alignment horizontal="center" vertical="center" wrapText="1"/>
    </xf>
    <xf numFmtId="49" fontId="13" fillId="12" borderId="1" xfId="0" applyNumberFormat="1" applyFont="1" applyFill="1" applyBorder="1" applyAlignment="1">
      <alignment horizontal="center" vertical="center" wrapText="1"/>
    </xf>
    <xf numFmtId="49" fontId="14" fillId="13" borderId="1" xfId="0" applyNumberFormat="1" applyFont="1" applyFill="1" applyBorder="1" applyAlignment="1">
      <alignment horizontal="center" vertical="center" wrapText="1"/>
    </xf>
    <xf numFmtId="49" fontId="13" fillId="14" borderId="1" xfId="0" applyNumberFormat="1" applyFont="1" applyFill="1" applyBorder="1" applyAlignment="1">
      <alignment horizontal="center" vertical="center" wrapText="1"/>
    </xf>
    <xf numFmtId="49" fontId="13" fillId="15" borderId="1" xfId="0" applyNumberFormat="1" applyFont="1" applyFill="1" applyBorder="1" applyAlignment="1">
      <alignment horizontal="center" vertical="center" wrapText="1"/>
    </xf>
    <xf numFmtId="49" fontId="13" fillId="16" borderId="1" xfId="0" applyNumberFormat="1" applyFont="1" applyFill="1" applyBorder="1" applyAlignment="1">
      <alignment horizontal="center" vertical="center" wrapText="1"/>
    </xf>
    <xf numFmtId="49" fontId="13" fillId="6" borderId="1" xfId="0" applyNumberFormat="1" applyFont="1" applyFill="1" applyBorder="1" applyAlignment="1">
      <alignment horizontal="center" vertical="center" wrapText="1"/>
    </xf>
    <xf numFmtId="49" fontId="14" fillId="6" borderId="1" xfId="0" applyNumberFormat="1" applyFont="1" applyFill="1" applyBorder="1" applyAlignment="1">
      <alignment horizontal="center" vertical="center" wrapText="1"/>
    </xf>
    <xf numFmtId="49" fontId="13" fillId="17" borderId="0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49" fontId="13" fillId="18" borderId="1" xfId="0" applyNumberFormat="1" applyFont="1" applyFill="1" applyBorder="1" applyAlignment="1">
      <alignment horizontal="center" vertical="center" wrapText="1"/>
    </xf>
    <xf numFmtId="49" fontId="13" fillId="19" borderId="1" xfId="0" applyNumberFormat="1" applyFont="1" applyFill="1" applyBorder="1" applyAlignment="1">
      <alignment horizontal="center" vertical="center" wrapText="1"/>
    </xf>
    <xf numFmtId="49" fontId="13" fillId="20" borderId="1" xfId="0" applyNumberFormat="1" applyFont="1" applyFill="1" applyBorder="1" applyAlignment="1">
      <alignment horizontal="center" vertical="center" wrapText="1"/>
    </xf>
    <xf numFmtId="49" fontId="13" fillId="21" borderId="1" xfId="0" applyNumberFormat="1" applyFont="1" applyFill="1" applyBorder="1" applyAlignment="1">
      <alignment horizontal="center" vertical="center" wrapText="1"/>
    </xf>
    <xf numFmtId="49" fontId="15" fillId="22" borderId="1" xfId="0" applyNumberFormat="1" applyFont="1" applyFill="1" applyBorder="1" applyAlignment="1">
      <alignment horizontal="center" vertical="center" wrapText="1"/>
    </xf>
    <xf numFmtId="49" fontId="16" fillId="22" borderId="1" xfId="0" applyNumberFormat="1" applyFont="1" applyFill="1" applyBorder="1" applyAlignment="1">
      <alignment horizontal="center" vertical="center" wrapText="1"/>
    </xf>
    <xf numFmtId="49" fontId="17" fillId="22" borderId="1" xfId="0" applyNumberFormat="1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49" fontId="19" fillId="3" borderId="1" xfId="0" applyNumberFormat="1" applyFont="1" applyFill="1" applyBorder="1" applyAlignment="1">
      <alignment horizontal="center" vertical="center" wrapText="1"/>
    </xf>
    <xf numFmtId="49" fontId="20" fillId="4" borderId="1" xfId="0" applyNumberFormat="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 wrapText="1"/>
    </xf>
    <xf numFmtId="49" fontId="17" fillId="23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22" borderId="1" xfId="0" applyFont="1" applyFill="1" applyBorder="1" applyAlignment="1">
      <alignment horizontal="center" vertical="center"/>
    </xf>
    <xf numFmtId="49" fontId="13" fillId="22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Fill="1" applyBorder="1" applyAlignment="1">
      <alignment horizontal="center" vertical="center" wrapText="1"/>
    </xf>
    <xf numFmtId="49" fontId="21" fillId="3" borderId="1" xfId="0" applyNumberFormat="1" applyFont="1" applyFill="1" applyBorder="1" applyAlignment="1">
      <alignment horizontal="center" vertical="center" wrapText="1"/>
    </xf>
    <xf numFmtId="49" fontId="13" fillId="0" borderId="1" xfId="22" applyNumberFormat="1" applyFont="1" applyFill="1" applyBorder="1" applyAlignment="1">
      <alignment horizontal="center" vertical="center" wrapText="1"/>
    </xf>
    <xf numFmtId="49" fontId="21" fillId="0" borderId="1" xfId="22" applyNumberFormat="1" applyFont="1" applyFill="1" applyBorder="1" applyAlignment="1">
      <alignment horizontal="center" vertical="center" wrapText="1"/>
    </xf>
    <xf numFmtId="49" fontId="21" fillId="22" borderId="1" xfId="0" applyNumberFormat="1" applyFont="1" applyFill="1" applyBorder="1" applyAlignment="1">
      <alignment horizontal="center" vertical="center" wrapText="1"/>
    </xf>
    <xf numFmtId="49" fontId="21" fillId="20" borderId="1" xfId="0" applyNumberFormat="1" applyFont="1" applyFill="1" applyBorder="1" applyAlignment="1">
      <alignment horizontal="center" vertical="center" wrapText="1"/>
    </xf>
    <xf numFmtId="49" fontId="21" fillId="19" borderId="1" xfId="0" applyNumberFormat="1" applyFont="1" applyFill="1" applyBorder="1" applyAlignment="1">
      <alignment horizontal="center" vertical="center" wrapText="1"/>
    </xf>
    <xf numFmtId="49" fontId="21" fillId="24" borderId="1" xfId="0" applyNumberFormat="1" applyFont="1" applyFill="1" applyBorder="1" applyAlignment="1">
      <alignment horizontal="center" vertical="center" wrapText="1"/>
    </xf>
    <xf numFmtId="49" fontId="21" fillId="18" borderId="1" xfId="0" applyNumberFormat="1" applyFont="1" applyFill="1" applyBorder="1" applyAlignment="1">
      <alignment horizontal="center" vertical="center" wrapText="1"/>
    </xf>
    <xf numFmtId="49" fontId="21" fillId="0" borderId="1" xfId="24" applyNumberFormat="1" applyFont="1" applyFill="1" applyBorder="1" applyAlignment="1">
      <alignment horizontal="center" vertical="center" wrapText="1"/>
    </xf>
    <xf numFmtId="49" fontId="21" fillId="9" borderId="1" xfId="0" applyNumberFormat="1" applyFont="1" applyFill="1" applyBorder="1" applyAlignment="1">
      <alignment horizontal="center" vertical="center" wrapText="1"/>
    </xf>
    <xf numFmtId="49" fontId="21" fillId="10" borderId="1" xfId="24" applyNumberFormat="1" applyFont="1" applyFill="1" applyBorder="1" applyAlignment="1">
      <alignment horizontal="center" vertical="center" wrapText="1"/>
    </xf>
    <xf numFmtId="49" fontId="13" fillId="22" borderId="1" xfId="24" applyNumberFormat="1" applyFont="1" applyFill="1" applyBorder="1" applyAlignment="1">
      <alignment horizontal="center" vertical="center" wrapText="1"/>
    </xf>
    <xf numFmtId="49" fontId="13" fillId="20" borderId="1" xfId="24" applyNumberFormat="1" applyFont="1" applyFill="1" applyBorder="1" applyAlignment="1">
      <alignment horizontal="center" vertical="center" wrapText="1"/>
    </xf>
    <xf numFmtId="49" fontId="13" fillId="19" borderId="1" xfId="24" applyNumberFormat="1" applyFont="1" applyFill="1" applyBorder="1" applyAlignment="1">
      <alignment horizontal="center" vertical="center" wrapText="1"/>
    </xf>
    <xf numFmtId="49" fontId="13" fillId="24" borderId="1" xfId="24" applyNumberFormat="1" applyFont="1" applyFill="1" applyBorder="1" applyAlignment="1">
      <alignment horizontal="center" vertical="center" wrapText="1"/>
    </xf>
    <xf numFmtId="49" fontId="13" fillId="3" borderId="1" xfId="24" applyNumberFormat="1" applyFont="1" applyFill="1" applyBorder="1" applyAlignment="1">
      <alignment horizontal="center" vertical="center" wrapText="1"/>
    </xf>
    <xf numFmtId="49" fontId="13" fillId="25" borderId="1" xfId="24" applyNumberFormat="1" applyFont="1" applyFill="1" applyBorder="1" applyAlignment="1">
      <alignment horizontal="center" vertical="center" wrapText="1"/>
    </xf>
    <xf numFmtId="49" fontId="13" fillId="18" borderId="1" xfId="24" applyNumberFormat="1" applyFont="1" applyFill="1" applyBorder="1" applyAlignment="1">
      <alignment horizontal="center" vertical="center" wrapText="1"/>
    </xf>
    <xf numFmtId="49" fontId="13" fillId="9" borderId="1" xfId="24" applyNumberFormat="1" applyFont="1" applyFill="1" applyBorder="1" applyAlignment="1">
      <alignment horizontal="center" vertical="center" wrapText="1"/>
    </xf>
    <xf numFmtId="49" fontId="13" fillId="26" borderId="1" xfId="24" applyNumberFormat="1" applyFont="1" applyFill="1" applyBorder="1" applyAlignment="1">
      <alignment horizontal="center" vertical="center" wrapText="1"/>
    </xf>
    <xf numFmtId="49" fontId="13" fillId="27" borderId="1" xfId="24" applyNumberFormat="1" applyFont="1" applyFill="1" applyBorder="1" applyAlignment="1">
      <alignment horizontal="center" vertical="center" wrapText="1"/>
    </xf>
    <xf numFmtId="49" fontId="13" fillId="27" borderId="1" xfId="0" applyNumberFormat="1" applyFont="1" applyFill="1" applyBorder="1" applyAlignment="1">
      <alignment horizontal="center" vertical="center" wrapText="1"/>
    </xf>
    <xf numFmtId="49" fontId="13" fillId="0" borderId="1" xfId="54" applyNumberFormat="1" applyFont="1" applyFill="1" applyBorder="1" applyAlignment="1">
      <alignment horizontal="center" vertical="center" wrapText="1"/>
    </xf>
    <xf numFmtId="49" fontId="21" fillId="0" borderId="1" xfId="53" applyNumberFormat="1" applyFont="1" applyFill="1" applyBorder="1" applyAlignment="1">
      <alignment horizontal="center" vertical="center" wrapText="1"/>
    </xf>
    <xf numFmtId="49" fontId="13" fillId="0" borderId="1" xfId="53" applyNumberFormat="1" applyFont="1" applyFill="1" applyBorder="1" applyAlignment="1">
      <alignment horizontal="center" vertical="center" wrapText="1"/>
    </xf>
    <xf numFmtId="49" fontId="13" fillId="22" borderId="1" xfId="53" applyNumberFormat="1" applyFont="1" applyFill="1" applyBorder="1" applyAlignment="1">
      <alignment horizontal="center" vertical="center" wrapText="1"/>
    </xf>
    <xf numFmtId="49" fontId="13" fillId="25" borderId="1" xfId="0" applyNumberFormat="1" applyFont="1" applyFill="1" applyBorder="1" applyAlignment="1">
      <alignment horizontal="center" vertical="center" wrapText="1"/>
    </xf>
    <xf numFmtId="49" fontId="13" fillId="20" borderId="1" xfId="53" applyNumberFormat="1" applyFont="1" applyFill="1" applyBorder="1" applyAlignment="1">
      <alignment horizontal="center" vertical="center" wrapText="1"/>
    </xf>
    <xf numFmtId="49" fontId="13" fillId="19" borderId="1" xfId="53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49" fontId="13" fillId="24" borderId="1" xfId="53" applyNumberFormat="1" applyFont="1" applyFill="1" applyBorder="1" applyAlignment="1">
      <alignment horizontal="center" vertical="center" wrapText="1"/>
    </xf>
    <xf numFmtId="49" fontId="13" fillId="3" borderId="1" xfId="5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13" fillId="18" borderId="1" xfId="53" applyNumberFormat="1" applyFont="1" applyFill="1" applyBorder="1" applyAlignment="1">
      <alignment horizontal="center" vertical="center" wrapText="1"/>
    </xf>
    <xf numFmtId="49" fontId="13" fillId="0" borderId="1" xfId="52" applyNumberFormat="1" applyFont="1" applyFill="1" applyBorder="1" applyAlignment="1">
      <alignment horizontal="center" vertical="center" wrapText="1"/>
    </xf>
    <xf numFmtId="49" fontId="13" fillId="3" borderId="1" xfId="52" applyNumberFormat="1" applyFont="1" applyFill="1" applyBorder="1" applyAlignment="1">
      <alignment horizontal="center" vertical="center" wrapText="1"/>
    </xf>
    <xf numFmtId="49" fontId="13" fillId="5" borderId="1" xfId="24" applyNumberFormat="1" applyFont="1" applyFill="1" applyBorder="1" applyAlignment="1">
      <alignment horizontal="center" vertical="center" wrapText="1"/>
    </xf>
    <xf numFmtId="49" fontId="21" fillId="5" borderId="1" xfId="0" applyNumberFormat="1" applyFont="1" applyFill="1" applyBorder="1" applyAlignment="1">
      <alignment horizontal="center" vertical="center" wrapText="1"/>
    </xf>
    <xf numFmtId="49" fontId="21" fillId="3" borderId="1" xfId="22" applyNumberFormat="1" applyFont="1" applyFill="1" applyBorder="1" applyAlignment="1">
      <alignment horizontal="center" vertical="center" wrapText="1"/>
    </xf>
    <xf numFmtId="49" fontId="13" fillId="4" borderId="1" xfId="24" applyNumberFormat="1" applyFont="1" applyFill="1" applyBorder="1" applyAlignment="1">
      <alignment horizontal="center" vertical="center" wrapText="1"/>
    </xf>
    <xf numFmtId="49" fontId="21" fillId="4" borderId="1" xfId="0" applyNumberFormat="1" applyFont="1" applyFill="1" applyBorder="1" applyAlignment="1">
      <alignment horizontal="center" vertical="center" wrapText="1"/>
    </xf>
    <xf numFmtId="49" fontId="13" fillId="5" borderId="1" xfId="52" applyNumberFormat="1" applyFont="1" applyFill="1" applyBorder="1" applyAlignment="1">
      <alignment horizontal="center" vertical="center" wrapText="1"/>
    </xf>
    <xf numFmtId="49" fontId="13" fillId="4" borderId="1" xfId="52" applyNumberFormat="1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49" fontId="13" fillId="2" borderId="1" xfId="24" applyNumberFormat="1" applyFont="1" applyFill="1" applyBorder="1" applyAlignment="1">
      <alignment horizontal="center" vertical="center" wrapText="1"/>
    </xf>
    <xf numFmtId="49" fontId="21" fillId="2" borderId="1" xfId="24" applyNumberFormat="1" applyFont="1" applyFill="1" applyBorder="1" applyAlignment="1">
      <alignment horizontal="center" vertical="center" wrapText="1"/>
    </xf>
    <xf numFmtId="49" fontId="13" fillId="11" borderId="1" xfId="24" applyNumberFormat="1" applyFont="1" applyFill="1" applyBorder="1" applyAlignment="1">
      <alignment horizontal="center" vertical="center" wrapText="1"/>
    </xf>
    <xf numFmtId="49" fontId="21" fillId="11" borderId="1" xfId="0" applyNumberFormat="1" applyFont="1" applyFill="1" applyBorder="1" applyAlignment="1">
      <alignment horizontal="center" vertical="center" wrapText="1"/>
    </xf>
    <xf numFmtId="49" fontId="13" fillId="2" borderId="1" xfId="52" applyNumberFormat="1" applyFont="1" applyFill="1" applyBorder="1" applyAlignment="1">
      <alignment horizontal="center" vertical="center" wrapText="1"/>
    </xf>
    <xf numFmtId="49" fontId="21" fillId="12" borderId="1" xfId="0" applyNumberFormat="1" applyFont="1" applyFill="1" applyBorder="1" applyAlignment="1">
      <alignment horizontal="center" vertical="center" wrapText="1"/>
    </xf>
    <xf numFmtId="49" fontId="21" fillId="14" borderId="1" xfId="0" applyNumberFormat="1" applyFont="1" applyFill="1" applyBorder="1" applyAlignment="1">
      <alignment horizontal="center" vertical="center" wrapText="1"/>
    </xf>
    <xf numFmtId="49" fontId="22" fillId="13" borderId="0" xfId="0" applyNumberFormat="1" applyFont="1" applyFill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49" fontId="13" fillId="28" borderId="1" xfId="0" applyNumberFormat="1" applyFont="1" applyFill="1" applyBorder="1" applyAlignment="1">
      <alignment horizontal="center" vertical="center" wrapText="1"/>
    </xf>
    <xf numFmtId="49" fontId="21" fillId="16" borderId="1" xfId="0" applyNumberFormat="1" applyFont="1" applyFill="1" applyBorder="1" applyAlignment="1">
      <alignment horizontal="center" vertical="center" wrapText="1"/>
    </xf>
    <xf numFmtId="49" fontId="21" fillId="6" borderId="1" xfId="0" applyNumberFormat="1" applyFont="1" applyFill="1" applyBorder="1" applyAlignment="1">
      <alignment horizontal="center" vertical="center" wrapText="1"/>
    </xf>
    <xf numFmtId="49" fontId="13" fillId="29" borderId="1" xfId="0" applyNumberFormat="1" applyFont="1" applyFill="1" applyBorder="1" applyAlignment="1">
      <alignment horizontal="center" vertical="center" wrapText="1"/>
    </xf>
    <xf numFmtId="49" fontId="13" fillId="30" borderId="1" xfId="0" applyNumberFormat="1" applyFont="1" applyFill="1" applyBorder="1" applyAlignment="1">
      <alignment horizontal="center" vertical="center" wrapText="1"/>
    </xf>
    <xf numFmtId="49" fontId="13" fillId="23" borderId="1" xfId="0" applyNumberFormat="1" applyFont="1" applyFill="1" applyBorder="1" applyAlignment="1">
      <alignment horizontal="center" vertical="center" wrapText="1"/>
    </xf>
    <xf numFmtId="49" fontId="21" fillId="31" borderId="1" xfId="0" applyNumberFormat="1" applyFont="1" applyFill="1" applyBorder="1" applyAlignment="1">
      <alignment horizontal="center" vertical="center" wrapText="1"/>
    </xf>
    <xf numFmtId="49" fontId="13" fillId="32" borderId="1" xfId="0" applyNumberFormat="1" applyFont="1" applyFill="1" applyBorder="1" applyAlignment="1">
      <alignment horizontal="center" vertical="center" wrapText="1"/>
    </xf>
    <xf numFmtId="49" fontId="24" fillId="17" borderId="1" xfId="0" applyNumberFormat="1" applyFont="1" applyFill="1" applyBorder="1" applyAlignment="1">
      <alignment horizontal="center" vertical="center" wrapText="1"/>
    </xf>
    <xf numFmtId="49" fontId="18" fillId="17" borderId="1" xfId="0" applyNumberFormat="1" applyFont="1" applyFill="1" applyBorder="1" applyAlignment="1">
      <alignment horizontal="center" vertical="center" wrapText="1"/>
    </xf>
    <xf numFmtId="49" fontId="18" fillId="17" borderId="0" xfId="0" applyNumberFormat="1" applyFont="1" applyFill="1" applyBorder="1" applyAlignment="1">
      <alignment horizontal="center" vertical="center" wrapText="1"/>
    </xf>
    <xf numFmtId="49" fontId="25" fillId="17" borderId="0" xfId="0" applyNumberFormat="1" applyFont="1" applyFill="1" applyBorder="1" applyAlignment="1">
      <alignment horizontal="center" vertical="center" wrapText="1"/>
    </xf>
    <xf numFmtId="49" fontId="14" fillId="17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49" fontId="13" fillId="17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49" fontId="21" fillId="13" borderId="1" xfId="0" applyNumberFormat="1" applyFont="1" applyFill="1" applyBorder="1" applyAlignment="1">
      <alignment horizontal="center" vertical="center" wrapText="1"/>
    </xf>
    <xf numFmtId="49" fontId="21" fillId="21" borderId="1" xfId="0" applyNumberFormat="1" applyFont="1" applyFill="1" applyBorder="1" applyAlignment="1">
      <alignment horizontal="center" vertical="center" wrapText="1"/>
    </xf>
    <xf numFmtId="49" fontId="26" fillId="20" borderId="2" xfId="0" applyNumberFormat="1" applyFont="1" applyFill="1" applyBorder="1" applyAlignment="1">
      <alignment horizontal="center" vertical="center" wrapText="1"/>
    </xf>
    <xf numFmtId="49" fontId="16" fillId="22" borderId="2" xfId="0" applyNumberFormat="1" applyFont="1" applyFill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horizontal="center" vertical="center" wrapText="1"/>
    </xf>
    <xf numFmtId="49" fontId="27" fillId="3" borderId="1" xfId="0" applyNumberFormat="1" applyFont="1" applyFill="1" applyBorder="1" applyAlignment="1">
      <alignment horizontal="center" vertical="center" wrapText="1"/>
    </xf>
    <xf numFmtId="49" fontId="28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49" fontId="20" fillId="22" borderId="1" xfId="0" applyNumberFormat="1" applyFont="1" applyFill="1" applyBorder="1" applyAlignment="1">
      <alignment horizontal="center" vertical="center" wrapText="1"/>
    </xf>
    <xf numFmtId="49" fontId="18" fillId="11" borderId="1" xfId="0" applyNumberFormat="1" applyFont="1" applyFill="1" applyBorder="1" applyAlignment="1">
      <alignment horizontal="center" vertical="center" wrapText="1"/>
    </xf>
    <xf numFmtId="49" fontId="18" fillId="19" borderId="1" xfId="0" applyNumberFormat="1" applyFont="1" applyFill="1" applyBorder="1" applyAlignment="1">
      <alignment horizontal="center" vertical="center" wrapText="1"/>
    </xf>
    <xf numFmtId="49" fontId="18" fillId="20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49" fontId="23" fillId="19" borderId="1" xfId="0" applyNumberFormat="1" applyFont="1" applyFill="1" applyBorder="1" applyAlignment="1">
      <alignment horizontal="center" vertical="center" wrapText="1"/>
    </xf>
    <xf numFmtId="49" fontId="23" fillId="20" borderId="1" xfId="0" applyNumberFormat="1" applyFont="1" applyFill="1" applyBorder="1" applyAlignment="1">
      <alignment horizontal="center" vertical="center" wrapText="1"/>
    </xf>
    <xf numFmtId="49" fontId="29" fillId="3" borderId="1" xfId="0" applyNumberFormat="1" applyFont="1" applyFill="1" applyBorder="1" applyAlignment="1">
      <alignment horizontal="center" vertical="center" wrapText="1"/>
    </xf>
    <xf numFmtId="49" fontId="30" fillId="4" borderId="1" xfId="0" applyNumberFormat="1" applyFont="1" applyFill="1" applyBorder="1" applyAlignment="1">
      <alignment horizontal="center" vertical="center" wrapText="1"/>
    </xf>
    <xf numFmtId="49" fontId="31" fillId="3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 wrapText="1"/>
    </xf>
    <xf numFmtId="49" fontId="13" fillId="19" borderId="1" xfId="52" applyNumberFormat="1" applyFont="1" applyFill="1" applyBorder="1" applyAlignment="1">
      <alignment horizontal="center" vertical="center" wrapText="1"/>
    </xf>
    <xf numFmtId="49" fontId="13" fillId="20" borderId="1" xfId="52" applyNumberFormat="1" applyFont="1" applyFill="1" applyBorder="1" applyAlignment="1">
      <alignment horizontal="center" vertical="center" wrapText="1"/>
    </xf>
    <xf numFmtId="49" fontId="24" fillId="3" borderId="1" xfId="0" applyNumberFormat="1" applyFont="1" applyFill="1" applyBorder="1" applyAlignment="1">
      <alignment horizontal="center" vertical="center" wrapText="1"/>
    </xf>
    <xf numFmtId="49" fontId="20" fillId="23" borderId="1" xfId="0" applyNumberFormat="1" applyFont="1" applyFill="1" applyBorder="1" applyAlignment="1">
      <alignment horizontal="center" vertical="center" wrapText="1"/>
    </xf>
    <xf numFmtId="49" fontId="26" fillId="0" borderId="1" xfId="0" applyNumberFormat="1" applyFont="1" applyFill="1" applyBorder="1" applyAlignment="1">
      <alignment horizontal="center" vertical="center" wrapText="1"/>
    </xf>
    <xf numFmtId="0" fontId="17" fillId="23" borderId="1" xfId="0" applyFont="1" applyFill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好 2" xfId="50"/>
    <cellStyle name="常规 2" xfId="51"/>
    <cellStyle name="常规 3" xfId="52"/>
    <cellStyle name="常规 5" xfId="53"/>
    <cellStyle name="适中 3" xfId="54"/>
  </cellStyles>
  <tableStyles count="0" defaultTableStyle="TableStyleMedium9" defaultPivotStyle="PivotStyleLight16"/>
  <colors>
    <mruColors>
      <color rgb="00FFC000"/>
      <color rgb="0092D050"/>
      <color rgb="00506CC6"/>
      <color rgb="00E0DA36"/>
      <color rgb="00000000"/>
      <color rgb="00FFFF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Z700"/>
  <sheetViews>
    <sheetView tabSelected="1" workbookViewId="0">
      <pane xSplit="2" ySplit="1" topLeftCell="AX551" activePane="bottomRight" state="frozen"/>
      <selection/>
      <selection pane="topRight"/>
      <selection pane="bottomLeft"/>
      <selection pane="bottomRight" activeCell="CA588" sqref="CA588:CB588"/>
    </sheetView>
  </sheetViews>
  <sheetFormatPr defaultColWidth="8" defaultRowHeight="14" customHeight="1"/>
  <cols>
    <col min="1" max="1" width="9.75833333333333" style="44" customWidth="1"/>
    <col min="2" max="2" width="26.25" style="44" customWidth="1"/>
    <col min="3" max="3" width="8.38333333333333" style="44" customWidth="1"/>
    <col min="4" max="4" width="6" style="44" customWidth="1"/>
    <col min="5" max="5" width="7.38333333333333" style="44" customWidth="1"/>
    <col min="6" max="6" width="10.7833333333333" style="44" customWidth="1"/>
    <col min="7" max="7" width="6.13333333333333" style="44" customWidth="1"/>
    <col min="8" max="8" width="27.8916666666667" style="44" customWidth="1"/>
    <col min="9" max="9" width="17.8916666666667" style="44" customWidth="1"/>
    <col min="10" max="10" width="30.3333333333333" style="44" customWidth="1"/>
    <col min="11" max="11" width="25" style="44" customWidth="1"/>
    <col min="12" max="13" width="9" style="44" customWidth="1"/>
    <col min="14" max="14" width="6.88333333333333" style="44" customWidth="1"/>
    <col min="15" max="15" width="12.5583333333333" style="77" customWidth="1"/>
    <col min="16" max="18" width="7.63333333333333" style="77" customWidth="1"/>
    <col min="19" max="20" width="8.18333333333333" style="64" customWidth="1"/>
    <col min="21" max="21" width="8.10833333333333" style="64" customWidth="1"/>
    <col min="22" max="22" width="8.18333333333333" style="64" customWidth="1"/>
    <col min="23" max="26" width="7.63333333333333" style="63" customWidth="1"/>
    <col min="27" max="30" width="8.64166666666667" style="78" customWidth="1"/>
    <col min="31" max="31" width="7.63333333333333" style="48" customWidth="1"/>
    <col min="32" max="32" width="7.63333333333333" style="44" customWidth="1"/>
    <col min="33" max="33" width="9" style="44" customWidth="1"/>
    <col min="34" max="46" width="7.63333333333333" style="44" customWidth="1"/>
    <col min="47" max="47" width="7.63333333333333" style="62" customWidth="1"/>
    <col min="48" max="62" width="7.63333333333333" style="44" customWidth="1"/>
    <col min="63" max="63" width="7.63333333333333" style="62" customWidth="1"/>
    <col min="64" max="82" width="7.63333333333333" style="44" customWidth="1"/>
    <col min="83" max="83" width="12.1333333333333" style="44" customWidth="1"/>
    <col min="84" max="84" width="14.5" style="44" customWidth="1"/>
    <col min="85" max="99" width="7.63333333333333" style="44" customWidth="1"/>
    <col min="100" max="101" width="9.25833333333333" style="44" customWidth="1"/>
    <col min="102" max="103" width="8" style="44"/>
    <col min="104" max="16384" width="8" style="44" hidden="1" customWidth="1"/>
  </cols>
  <sheetData>
    <row r="1" s="44" customFormat="1" ht="51" customHeight="1" spans="1:102">
      <c r="A1" s="44" t="s">
        <v>0</v>
      </c>
      <c r="B1" s="79" t="s">
        <v>1</v>
      </c>
      <c r="C1" s="79" t="s">
        <v>2</v>
      </c>
      <c r="D1" s="80" t="s">
        <v>3</v>
      </c>
      <c r="E1" s="79" t="s">
        <v>4</v>
      </c>
      <c r="F1" s="79" t="s">
        <v>5</v>
      </c>
      <c r="G1" s="79" t="s">
        <v>6</v>
      </c>
      <c r="H1" s="79" t="s">
        <v>7</v>
      </c>
      <c r="I1" s="79" t="s">
        <v>8</v>
      </c>
      <c r="J1" s="79" t="s">
        <v>9</v>
      </c>
      <c r="K1" s="79" t="s">
        <v>10</v>
      </c>
      <c r="L1" s="79" t="s">
        <v>11</v>
      </c>
      <c r="M1" s="79" t="s">
        <v>12</v>
      </c>
      <c r="N1" s="79" t="s">
        <v>13</v>
      </c>
      <c r="O1" s="83" t="s">
        <v>14</v>
      </c>
      <c r="P1" s="83" t="s">
        <v>15</v>
      </c>
      <c r="Q1" s="83" t="s">
        <v>16</v>
      </c>
      <c r="R1" s="83" t="s">
        <v>17</v>
      </c>
      <c r="S1" s="84" t="s">
        <v>18</v>
      </c>
      <c r="T1" s="84" t="s">
        <v>19</v>
      </c>
      <c r="U1" s="84" t="s">
        <v>20</v>
      </c>
      <c r="V1" s="84" t="s">
        <v>21</v>
      </c>
      <c r="W1" s="85" t="s">
        <v>22</v>
      </c>
      <c r="X1" s="85" t="s">
        <v>23</v>
      </c>
      <c r="Y1" s="85" t="s">
        <v>24</v>
      </c>
      <c r="Z1" s="85" t="s">
        <v>25</v>
      </c>
      <c r="AA1" s="86" t="s">
        <v>26</v>
      </c>
      <c r="AB1" s="86" t="s">
        <v>27</v>
      </c>
      <c r="AC1" s="86" t="s">
        <v>28</v>
      </c>
      <c r="AD1" s="86" t="s">
        <v>29</v>
      </c>
      <c r="AE1" s="80" t="s">
        <v>30</v>
      </c>
      <c r="AF1" s="79" t="s">
        <v>31</v>
      </c>
      <c r="AG1" s="79" t="s">
        <v>32</v>
      </c>
      <c r="AH1" s="79" t="s">
        <v>33</v>
      </c>
      <c r="AI1" s="79" t="s">
        <v>34</v>
      </c>
      <c r="AJ1" s="79" t="s">
        <v>35</v>
      </c>
      <c r="AK1" s="79" t="s">
        <v>36</v>
      </c>
      <c r="AL1" s="79" t="s">
        <v>37</v>
      </c>
      <c r="AM1" s="79" t="s">
        <v>38</v>
      </c>
      <c r="AN1" s="79" t="s">
        <v>39</v>
      </c>
      <c r="AO1" s="79" t="s">
        <v>40</v>
      </c>
      <c r="AP1" s="79" t="s">
        <v>41</v>
      </c>
      <c r="AQ1" s="79" t="s">
        <v>42</v>
      </c>
      <c r="AR1" s="79" t="s">
        <v>43</v>
      </c>
      <c r="AS1" s="79" t="s">
        <v>44</v>
      </c>
      <c r="AT1" s="79" t="s">
        <v>45</v>
      </c>
      <c r="AU1" s="87" t="s">
        <v>46</v>
      </c>
      <c r="AV1" s="79" t="s">
        <v>47</v>
      </c>
      <c r="AW1" s="79" t="s">
        <v>48</v>
      </c>
      <c r="AX1" s="79" t="s">
        <v>49</v>
      </c>
      <c r="AY1" s="79" t="s">
        <v>50</v>
      </c>
      <c r="AZ1" s="79" t="s">
        <v>51</v>
      </c>
      <c r="BA1" s="79" t="s">
        <v>52</v>
      </c>
      <c r="BB1" s="79" t="s">
        <v>53</v>
      </c>
      <c r="BC1" s="79" t="s">
        <v>54</v>
      </c>
      <c r="BD1" s="79" t="s">
        <v>55</v>
      </c>
      <c r="BE1" s="79" t="s">
        <v>56</v>
      </c>
      <c r="BF1" s="79" t="s">
        <v>57</v>
      </c>
      <c r="BG1" s="79" t="s">
        <v>58</v>
      </c>
      <c r="BH1" s="79" t="s">
        <v>59</v>
      </c>
      <c r="BI1" s="79" t="s">
        <v>60</v>
      </c>
      <c r="BJ1" s="79" t="s">
        <v>61</v>
      </c>
      <c r="BK1" s="87" t="s">
        <v>62</v>
      </c>
      <c r="BL1" s="79" t="s">
        <v>63</v>
      </c>
      <c r="BM1" s="79" t="s">
        <v>64</v>
      </c>
      <c r="BN1" s="79" t="s">
        <v>65</v>
      </c>
      <c r="BO1" s="79" t="s">
        <v>66</v>
      </c>
      <c r="BP1" s="79" t="s">
        <v>67</v>
      </c>
      <c r="BQ1" s="79" t="s">
        <v>68</v>
      </c>
      <c r="BR1" s="79" t="s">
        <v>69</v>
      </c>
      <c r="BS1" s="79" t="s">
        <v>70</v>
      </c>
      <c r="BT1" s="79" t="s">
        <v>71</v>
      </c>
      <c r="BU1" s="79" t="s">
        <v>72</v>
      </c>
      <c r="BV1" s="79" t="s">
        <v>73</v>
      </c>
      <c r="BW1" s="79" t="s">
        <v>74</v>
      </c>
      <c r="BX1" s="79" t="s">
        <v>75</v>
      </c>
      <c r="BY1" s="79" t="s">
        <v>76</v>
      </c>
      <c r="BZ1" s="79" t="s">
        <v>77</v>
      </c>
      <c r="CA1" s="79" t="s">
        <v>78</v>
      </c>
      <c r="CB1" s="79" t="s">
        <v>79</v>
      </c>
      <c r="CC1" s="79" t="s">
        <v>80</v>
      </c>
      <c r="CD1" s="79" t="s">
        <v>81</v>
      </c>
      <c r="CE1" s="79" t="s">
        <v>82</v>
      </c>
      <c r="CF1" s="79" t="s">
        <v>83</v>
      </c>
      <c r="CG1" s="79" t="s">
        <v>84</v>
      </c>
      <c r="CH1" s="79" t="s">
        <v>85</v>
      </c>
      <c r="CI1" s="79" t="s">
        <v>86</v>
      </c>
      <c r="CJ1" s="79" t="s">
        <v>87</v>
      </c>
      <c r="CK1" s="79" t="s">
        <v>88</v>
      </c>
      <c r="CL1" s="79" t="s">
        <v>89</v>
      </c>
      <c r="CM1" s="79" t="s">
        <v>90</v>
      </c>
      <c r="CN1" s="79" t="s">
        <v>91</v>
      </c>
      <c r="CO1" s="79" t="s">
        <v>92</v>
      </c>
      <c r="CP1" s="79" t="s">
        <v>93</v>
      </c>
      <c r="CQ1" s="79" t="s">
        <v>94</v>
      </c>
      <c r="CR1" s="44" t="s">
        <v>95</v>
      </c>
      <c r="CS1" s="79" t="s">
        <v>96</v>
      </c>
      <c r="CT1" s="79" t="s">
        <v>97</v>
      </c>
      <c r="CU1" s="79" t="s">
        <v>98</v>
      </c>
      <c r="CV1" s="79" t="s">
        <v>99</v>
      </c>
      <c r="CW1" s="79" t="s">
        <v>100</v>
      </c>
      <c r="CX1" s="79" t="s">
        <v>101</v>
      </c>
    </row>
    <row r="2" s="44" customFormat="1" customHeight="1" spans="1:101">
      <c r="A2" s="81">
        <v>11301</v>
      </c>
      <c r="B2" s="82" t="s">
        <v>102</v>
      </c>
      <c r="K2" s="44" t="s">
        <v>103</v>
      </c>
      <c r="O2" s="77">
        <v>334100</v>
      </c>
      <c r="P2" s="77">
        <v>1</v>
      </c>
      <c r="Q2" s="77">
        <v>0</v>
      </c>
      <c r="R2" s="77">
        <v>0</v>
      </c>
      <c r="S2" s="64">
        <v>0</v>
      </c>
      <c r="T2" s="64">
        <v>0</v>
      </c>
      <c r="U2" s="64">
        <v>0</v>
      </c>
      <c r="V2" s="64">
        <v>0</v>
      </c>
      <c r="W2" s="63">
        <v>0</v>
      </c>
      <c r="X2" s="63">
        <v>0</v>
      </c>
      <c r="Y2" s="63">
        <v>0</v>
      </c>
      <c r="Z2" s="63">
        <v>0</v>
      </c>
      <c r="AA2" s="78">
        <v>0</v>
      </c>
      <c r="AB2" s="78">
        <v>0</v>
      </c>
      <c r="AC2" s="78">
        <v>0</v>
      </c>
      <c r="AD2" s="78">
        <v>0</v>
      </c>
      <c r="AE2" s="48">
        <v>338000</v>
      </c>
      <c r="AF2" s="44">
        <v>32037</v>
      </c>
      <c r="AG2" s="44">
        <v>32038</v>
      </c>
      <c r="AU2" s="62">
        <v>1</v>
      </c>
      <c r="AV2" s="44">
        <v>1</v>
      </c>
      <c r="AW2" s="44">
        <v>1</v>
      </c>
      <c r="BK2" s="62">
        <v>200</v>
      </c>
      <c r="BL2" s="44">
        <v>150</v>
      </c>
      <c r="BM2" s="44">
        <v>150</v>
      </c>
      <c r="CA2" s="44">
        <v>1000</v>
      </c>
      <c r="CB2" s="44">
        <v>1000</v>
      </c>
      <c r="CC2" s="44">
        <v>0</v>
      </c>
      <c r="CD2" s="44">
        <v>1</v>
      </c>
      <c r="CE2" s="44">
        <v>0</v>
      </c>
      <c r="CF2" s="44">
        <v>0</v>
      </c>
      <c r="CG2" s="44">
        <v>0</v>
      </c>
      <c r="CH2" s="44">
        <v>0</v>
      </c>
      <c r="CI2" s="44">
        <v>1</v>
      </c>
      <c r="CK2" s="44">
        <v>0</v>
      </c>
      <c r="CL2" s="44">
        <v>0</v>
      </c>
      <c r="CM2" s="44">
        <v>0</v>
      </c>
      <c r="CN2" s="44">
        <v>0</v>
      </c>
      <c r="CO2" s="44">
        <v>0</v>
      </c>
      <c r="CP2" s="44">
        <v>0</v>
      </c>
      <c r="CQ2" s="44">
        <v>0</v>
      </c>
      <c r="CR2" s="44">
        <v>0</v>
      </c>
      <c r="CV2" s="44">
        <v>0</v>
      </c>
      <c r="CW2" s="44">
        <v>0</v>
      </c>
    </row>
    <row r="3" s="44" customFormat="1" customHeight="1" spans="1:101">
      <c r="A3" s="81">
        <v>11302</v>
      </c>
      <c r="B3" s="82" t="s">
        <v>104</v>
      </c>
      <c r="H3" s="44" t="s">
        <v>105</v>
      </c>
      <c r="I3" s="44" t="s">
        <v>106</v>
      </c>
      <c r="O3" s="77">
        <v>0</v>
      </c>
      <c r="P3" s="77">
        <v>1</v>
      </c>
      <c r="Q3" s="77">
        <v>0</v>
      </c>
      <c r="R3" s="77">
        <v>0</v>
      </c>
      <c r="S3" s="64">
        <v>0</v>
      </c>
      <c r="T3" s="64">
        <v>0</v>
      </c>
      <c r="U3" s="64">
        <v>0</v>
      </c>
      <c r="V3" s="64">
        <v>0</v>
      </c>
      <c r="W3" s="63">
        <v>0</v>
      </c>
      <c r="X3" s="63">
        <v>0</v>
      </c>
      <c r="Y3" s="63">
        <v>0</v>
      </c>
      <c r="Z3" s="63">
        <v>0</v>
      </c>
      <c r="AA3" s="78">
        <v>0</v>
      </c>
      <c r="AB3" s="78">
        <v>0</v>
      </c>
      <c r="AC3" s="78">
        <v>0</v>
      </c>
      <c r="AD3" s="78">
        <v>0</v>
      </c>
      <c r="AE3" s="48"/>
      <c r="AU3" s="62"/>
      <c r="BK3" s="62"/>
      <c r="CA3" s="44">
        <v>1000</v>
      </c>
      <c r="CB3" s="44">
        <v>1000</v>
      </c>
      <c r="CC3" s="44">
        <v>0</v>
      </c>
      <c r="CD3" s="44">
        <v>1</v>
      </c>
      <c r="CE3" s="44">
        <v>0</v>
      </c>
      <c r="CF3" s="44">
        <v>0</v>
      </c>
      <c r="CG3" s="44">
        <v>0</v>
      </c>
      <c r="CH3" s="44">
        <v>1</v>
      </c>
      <c r="CI3" s="44">
        <v>1</v>
      </c>
      <c r="CK3" s="44">
        <v>0</v>
      </c>
      <c r="CL3" s="44">
        <v>0</v>
      </c>
      <c r="CM3" s="44">
        <v>0</v>
      </c>
      <c r="CN3" s="44">
        <v>0</v>
      </c>
      <c r="CO3" s="44">
        <v>0</v>
      </c>
      <c r="CP3" s="44">
        <v>0</v>
      </c>
      <c r="CQ3" s="44">
        <v>0</v>
      </c>
      <c r="CR3" s="44">
        <v>0</v>
      </c>
      <c r="CV3" s="44">
        <v>0</v>
      </c>
      <c r="CW3" s="44">
        <v>0</v>
      </c>
    </row>
    <row r="4" s="44" customFormat="1" customHeight="1" spans="1:101">
      <c r="A4" s="81">
        <v>11303</v>
      </c>
      <c r="B4" s="82" t="s">
        <v>107</v>
      </c>
      <c r="O4" s="77">
        <v>0</v>
      </c>
      <c r="P4" s="77">
        <v>1</v>
      </c>
      <c r="Q4" s="77">
        <v>0</v>
      </c>
      <c r="R4" s="77">
        <v>0</v>
      </c>
      <c r="S4" s="64">
        <v>0</v>
      </c>
      <c r="T4" s="64">
        <v>0</v>
      </c>
      <c r="U4" s="64">
        <v>0</v>
      </c>
      <c r="V4" s="64">
        <v>0</v>
      </c>
      <c r="W4" s="63">
        <v>0</v>
      </c>
      <c r="X4" s="63">
        <v>0</v>
      </c>
      <c r="Y4" s="63">
        <v>0</v>
      </c>
      <c r="Z4" s="63">
        <v>0</v>
      </c>
      <c r="AA4" s="78">
        <v>0</v>
      </c>
      <c r="AB4" s="78">
        <v>0</v>
      </c>
      <c r="AC4" s="78">
        <v>0</v>
      </c>
      <c r="AD4" s="78">
        <v>0</v>
      </c>
      <c r="AE4" s="48"/>
      <c r="AU4" s="62"/>
      <c r="BK4" s="62"/>
      <c r="CA4" s="44">
        <v>1000</v>
      </c>
      <c r="CB4" s="44">
        <v>1000</v>
      </c>
      <c r="CC4" s="44">
        <v>0</v>
      </c>
      <c r="CD4" s="44">
        <v>1</v>
      </c>
      <c r="CE4" s="44">
        <v>0</v>
      </c>
      <c r="CF4" s="44">
        <v>0</v>
      </c>
      <c r="CG4" s="44">
        <v>0</v>
      </c>
      <c r="CH4" s="44">
        <v>0</v>
      </c>
      <c r="CI4" s="44">
        <v>1</v>
      </c>
      <c r="CK4" s="44">
        <v>0</v>
      </c>
      <c r="CL4" s="44">
        <v>0</v>
      </c>
      <c r="CM4" s="44">
        <v>0</v>
      </c>
      <c r="CN4" s="44">
        <v>0</v>
      </c>
      <c r="CO4" s="44">
        <v>0</v>
      </c>
      <c r="CP4" s="44">
        <v>0</v>
      </c>
      <c r="CQ4" s="44">
        <v>0</v>
      </c>
      <c r="CR4" s="44">
        <v>0</v>
      </c>
      <c r="CV4" s="44">
        <v>0</v>
      </c>
      <c r="CW4" s="44">
        <v>0</v>
      </c>
    </row>
    <row r="5" s="44" customFormat="1" customHeight="1" spans="1:101">
      <c r="A5" s="81">
        <v>11304</v>
      </c>
      <c r="B5" s="82" t="s">
        <v>108</v>
      </c>
      <c r="H5" s="44" t="s">
        <v>109</v>
      </c>
      <c r="O5" s="77">
        <v>0</v>
      </c>
      <c r="P5" s="77">
        <v>1</v>
      </c>
      <c r="Q5" s="77">
        <v>0</v>
      </c>
      <c r="R5" s="77">
        <v>0</v>
      </c>
      <c r="S5" s="64">
        <v>0</v>
      </c>
      <c r="T5" s="64">
        <v>0</v>
      </c>
      <c r="U5" s="64">
        <v>0</v>
      </c>
      <c r="V5" s="64">
        <v>0</v>
      </c>
      <c r="W5" s="63">
        <v>0</v>
      </c>
      <c r="X5" s="63">
        <v>0</v>
      </c>
      <c r="Y5" s="63">
        <v>0</v>
      </c>
      <c r="Z5" s="63">
        <v>0</v>
      </c>
      <c r="AA5" s="78">
        <v>0</v>
      </c>
      <c r="AB5" s="78">
        <v>0</v>
      </c>
      <c r="AC5" s="78">
        <v>0</v>
      </c>
      <c r="AD5" s="78">
        <v>0</v>
      </c>
      <c r="AE5" s="48"/>
      <c r="AU5" s="62"/>
      <c r="BK5" s="62"/>
      <c r="CA5" s="44">
        <v>1000</v>
      </c>
      <c r="CB5" s="44">
        <v>1000</v>
      </c>
      <c r="CC5" s="44">
        <v>0</v>
      </c>
      <c r="CD5" s="44">
        <v>1</v>
      </c>
      <c r="CE5" s="44">
        <v>0</v>
      </c>
      <c r="CF5" s="44">
        <v>0</v>
      </c>
      <c r="CG5" s="44">
        <v>0</v>
      </c>
      <c r="CH5" s="44">
        <v>0</v>
      </c>
      <c r="CI5" s="44">
        <v>1</v>
      </c>
      <c r="CK5" s="44">
        <v>0</v>
      </c>
      <c r="CL5" s="44">
        <v>0</v>
      </c>
      <c r="CM5" s="44">
        <v>0</v>
      </c>
      <c r="CN5" s="44">
        <v>0</v>
      </c>
      <c r="CO5" s="44">
        <v>0</v>
      </c>
      <c r="CP5" s="44">
        <v>0</v>
      </c>
      <c r="CQ5" s="44">
        <v>0</v>
      </c>
      <c r="CR5" s="44">
        <v>0</v>
      </c>
      <c r="CV5" s="44">
        <v>0</v>
      </c>
      <c r="CW5" s="44">
        <v>0</v>
      </c>
    </row>
    <row r="6" s="44" customFormat="1" customHeight="1" spans="1:101">
      <c r="A6" s="45">
        <v>6846</v>
      </c>
      <c r="B6" s="79" t="s">
        <v>110</v>
      </c>
      <c r="E6" s="44">
        <v>500</v>
      </c>
      <c r="F6" s="44">
        <v>500</v>
      </c>
      <c r="H6" s="44">
        <v>6000000</v>
      </c>
      <c r="I6" s="44" t="s">
        <v>111</v>
      </c>
      <c r="O6" s="77">
        <v>0</v>
      </c>
      <c r="P6" s="77">
        <v>0</v>
      </c>
      <c r="Q6" s="77">
        <v>0</v>
      </c>
      <c r="R6" s="77">
        <v>0</v>
      </c>
      <c r="S6" s="64">
        <v>0</v>
      </c>
      <c r="T6" s="64">
        <v>0</v>
      </c>
      <c r="U6" s="64">
        <v>0</v>
      </c>
      <c r="V6" s="64">
        <v>0</v>
      </c>
      <c r="W6" s="63">
        <v>0</v>
      </c>
      <c r="X6" s="63">
        <v>0</v>
      </c>
      <c r="Y6" s="63">
        <v>0</v>
      </c>
      <c r="Z6" s="63">
        <v>0</v>
      </c>
      <c r="AA6" s="78">
        <v>0</v>
      </c>
      <c r="AB6" s="78">
        <v>0</v>
      </c>
      <c r="AC6" s="78">
        <v>0</v>
      </c>
      <c r="AD6" s="78">
        <v>0</v>
      </c>
      <c r="AE6" s="48">
        <v>200313</v>
      </c>
      <c r="AF6" s="44">
        <v>200340</v>
      </c>
      <c r="AG6" s="44">
        <v>200315</v>
      </c>
      <c r="AH6" s="44">
        <v>200316</v>
      </c>
      <c r="AI6" s="44">
        <v>200317</v>
      </c>
      <c r="AJ6" s="44">
        <v>200318</v>
      </c>
      <c r="AK6" s="44">
        <v>200319</v>
      </c>
      <c r="AL6" s="44">
        <v>200320</v>
      </c>
      <c r="AM6" s="44">
        <v>200333</v>
      </c>
      <c r="AN6" s="44">
        <v>200339</v>
      </c>
      <c r="AO6" s="44">
        <v>200342</v>
      </c>
      <c r="AP6" s="44">
        <v>200336</v>
      </c>
      <c r="AQ6" s="44">
        <v>200337</v>
      </c>
      <c r="AR6" s="44">
        <v>200338</v>
      </c>
      <c r="AS6" s="44">
        <v>200341</v>
      </c>
      <c r="AT6" s="44">
        <v>200339</v>
      </c>
      <c r="AU6" s="62">
        <f t="shared" ref="AU6:BH6" si="0">IF(AE6="","",1)</f>
        <v>1</v>
      </c>
      <c r="AV6" s="44">
        <f t="shared" si="0"/>
        <v>1</v>
      </c>
      <c r="AW6" s="44">
        <f t="shared" si="0"/>
        <v>1</v>
      </c>
      <c r="AX6" s="44">
        <f t="shared" si="0"/>
        <v>1</v>
      </c>
      <c r="AY6" s="44">
        <f t="shared" si="0"/>
        <v>1</v>
      </c>
      <c r="AZ6" s="44">
        <f t="shared" si="0"/>
        <v>1</v>
      </c>
      <c r="BA6" s="44">
        <f t="shared" si="0"/>
        <v>1</v>
      </c>
      <c r="BB6" s="44">
        <f t="shared" si="0"/>
        <v>1</v>
      </c>
      <c r="BC6" s="44">
        <f t="shared" si="0"/>
        <v>1</v>
      </c>
      <c r="BD6" s="44">
        <f t="shared" si="0"/>
        <v>1</v>
      </c>
      <c r="BE6" s="44">
        <f t="shared" si="0"/>
        <v>1</v>
      </c>
      <c r="BF6" s="44">
        <f t="shared" si="0"/>
        <v>1</v>
      </c>
      <c r="BG6" s="44">
        <f t="shared" si="0"/>
        <v>1</v>
      </c>
      <c r="BH6" s="44">
        <f t="shared" si="0"/>
        <v>1</v>
      </c>
      <c r="BI6" s="44">
        <v>2</v>
      </c>
      <c r="BJ6" s="44">
        <v>1</v>
      </c>
      <c r="BK6" s="62">
        <v>100</v>
      </c>
      <c r="BL6" s="44">
        <v>100</v>
      </c>
      <c r="BM6" s="44">
        <v>100</v>
      </c>
      <c r="BN6" s="44">
        <v>100</v>
      </c>
      <c r="BO6" s="44">
        <v>100</v>
      </c>
      <c r="BP6" s="44">
        <v>50</v>
      </c>
      <c r="BQ6" s="44">
        <v>40</v>
      </c>
      <c r="BR6" s="44">
        <v>30</v>
      </c>
      <c r="BS6" s="44">
        <v>100</v>
      </c>
      <c r="BT6" s="44">
        <v>100</v>
      </c>
      <c r="BU6" s="44">
        <v>100</v>
      </c>
      <c r="BV6" s="44">
        <v>100</v>
      </c>
      <c r="BW6" s="44">
        <v>100</v>
      </c>
      <c r="BX6" s="44">
        <v>100</v>
      </c>
      <c r="BY6" s="44">
        <v>6000</v>
      </c>
      <c r="BZ6" s="44">
        <v>100</v>
      </c>
      <c r="CA6" s="44">
        <v>7320</v>
      </c>
      <c r="CB6" s="44">
        <v>7320</v>
      </c>
      <c r="CC6" s="44">
        <v>0</v>
      </c>
      <c r="CD6" s="44">
        <v>0</v>
      </c>
      <c r="CE6" s="44">
        <v>0</v>
      </c>
      <c r="CF6" s="44">
        <v>191075</v>
      </c>
      <c r="CG6" s="44">
        <v>1</v>
      </c>
      <c r="CH6" s="44">
        <v>1</v>
      </c>
      <c r="CI6" s="44">
        <v>1</v>
      </c>
      <c r="CK6" s="44">
        <v>0</v>
      </c>
      <c r="CL6" s="44">
        <v>0</v>
      </c>
      <c r="CM6" s="44">
        <v>0</v>
      </c>
      <c r="CN6" s="44">
        <v>0</v>
      </c>
      <c r="CO6" s="44">
        <v>0</v>
      </c>
      <c r="CP6" s="44">
        <v>0</v>
      </c>
      <c r="CQ6" s="44">
        <v>1</v>
      </c>
      <c r="CR6" s="44">
        <v>0</v>
      </c>
      <c r="CV6" s="44">
        <v>0</v>
      </c>
      <c r="CW6" s="44">
        <v>0</v>
      </c>
    </row>
    <row r="7" s="44" customFormat="1" customHeight="1" spans="1:101">
      <c r="A7" s="45">
        <v>12005</v>
      </c>
      <c r="B7" s="79" t="s">
        <v>112</v>
      </c>
      <c r="O7" s="77"/>
      <c r="P7" s="77"/>
      <c r="Q7" s="77"/>
      <c r="R7" s="77"/>
      <c r="S7" s="64"/>
      <c r="T7" s="64"/>
      <c r="U7" s="64"/>
      <c r="V7" s="64"/>
      <c r="W7" s="63"/>
      <c r="X7" s="63"/>
      <c r="Y7" s="63"/>
      <c r="Z7" s="63"/>
      <c r="AA7" s="78"/>
      <c r="AB7" s="78"/>
      <c r="AC7" s="78"/>
      <c r="AD7" s="78"/>
      <c r="AE7" s="48"/>
      <c r="AU7" s="62"/>
      <c r="BK7" s="62"/>
      <c r="CA7" s="44">
        <v>1000</v>
      </c>
      <c r="CB7" s="44">
        <v>1000</v>
      </c>
      <c r="CC7" s="44">
        <v>0</v>
      </c>
      <c r="CD7" s="44">
        <v>0</v>
      </c>
      <c r="CE7" s="44">
        <v>0</v>
      </c>
      <c r="CF7" s="44">
        <v>0</v>
      </c>
      <c r="CG7" s="44">
        <v>0</v>
      </c>
      <c r="CH7" s="44">
        <v>0</v>
      </c>
      <c r="CI7" s="44">
        <v>1</v>
      </c>
      <c r="CK7" s="44">
        <v>0</v>
      </c>
      <c r="CL7" s="44">
        <v>0</v>
      </c>
      <c r="CM7" s="44">
        <v>0</v>
      </c>
      <c r="CN7" s="44">
        <v>0</v>
      </c>
      <c r="CO7" s="44">
        <v>0</v>
      </c>
      <c r="CP7" s="44">
        <v>0</v>
      </c>
      <c r="CQ7" s="44">
        <v>1</v>
      </c>
      <c r="CR7" s="44">
        <v>0</v>
      </c>
      <c r="CV7" s="44">
        <v>0</v>
      </c>
      <c r="CW7" s="44">
        <v>0</v>
      </c>
    </row>
    <row r="8" s="44" customFormat="1" customHeight="1" spans="1:101">
      <c r="A8" s="45">
        <v>12039</v>
      </c>
      <c r="B8" s="79" t="s">
        <v>113</v>
      </c>
      <c r="O8" s="77"/>
      <c r="P8" s="77"/>
      <c r="Q8" s="77"/>
      <c r="R8" s="77"/>
      <c r="S8" s="64"/>
      <c r="T8" s="64"/>
      <c r="U8" s="64"/>
      <c r="V8" s="64"/>
      <c r="W8" s="63"/>
      <c r="X8" s="63"/>
      <c r="Y8" s="63"/>
      <c r="Z8" s="63"/>
      <c r="AA8" s="78"/>
      <c r="AB8" s="78"/>
      <c r="AC8" s="78"/>
      <c r="AD8" s="78"/>
      <c r="AE8" s="48"/>
      <c r="AU8" s="62"/>
      <c r="BK8" s="62"/>
      <c r="CA8" s="44">
        <v>1000</v>
      </c>
      <c r="CB8" s="44">
        <v>1000</v>
      </c>
      <c r="CC8" s="44">
        <v>0</v>
      </c>
      <c r="CD8" s="44">
        <v>0</v>
      </c>
      <c r="CE8" s="44">
        <v>0</v>
      </c>
      <c r="CF8" s="44">
        <v>0</v>
      </c>
      <c r="CG8" s="44">
        <v>0</v>
      </c>
      <c r="CH8" s="44">
        <v>0</v>
      </c>
      <c r="CI8" s="44">
        <v>1</v>
      </c>
      <c r="CK8" s="44">
        <v>0</v>
      </c>
      <c r="CL8" s="44">
        <v>0</v>
      </c>
      <c r="CM8" s="44">
        <v>0</v>
      </c>
      <c r="CN8" s="44">
        <v>0</v>
      </c>
      <c r="CO8" s="44">
        <v>0</v>
      </c>
      <c r="CP8" s="44">
        <v>0</v>
      </c>
      <c r="CQ8" s="44">
        <v>1</v>
      </c>
      <c r="CR8" s="44">
        <v>0</v>
      </c>
      <c r="CV8" s="44">
        <v>0</v>
      </c>
      <c r="CW8" s="44">
        <v>0</v>
      </c>
    </row>
    <row r="9" s="44" customFormat="1" customHeight="1" spans="1:101">
      <c r="A9" s="45">
        <v>12046</v>
      </c>
      <c r="B9" s="44" t="s">
        <v>114</v>
      </c>
      <c r="O9" s="77"/>
      <c r="P9" s="77"/>
      <c r="Q9" s="77"/>
      <c r="R9" s="77"/>
      <c r="S9" s="64"/>
      <c r="T9" s="64"/>
      <c r="U9" s="64"/>
      <c r="V9" s="64"/>
      <c r="W9" s="63"/>
      <c r="X9" s="63"/>
      <c r="Y9" s="63"/>
      <c r="Z9" s="63"/>
      <c r="AA9" s="78"/>
      <c r="AB9" s="78"/>
      <c r="AC9" s="78"/>
      <c r="AD9" s="78"/>
      <c r="AE9" s="48"/>
      <c r="AU9" s="62"/>
      <c r="BK9" s="62"/>
      <c r="CA9" s="44">
        <v>1000</v>
      </c>
      <c r="CB9" s="44">
        <v>1000</v>
      </c>
      <c r="CC9" s="44">
        <v>0</v>
      </c>
      <c r="CD9" s="44">
        <v>0</v>
      </c>
      <c r="CE9" s="44">
        <v>0</v>
      </c>
      <c r="CF9" s="44">
        <v>0</v>
      </c>
      <c r="CG9" s="44">
        <v>0</v>
      </c>
      <c r="CH9" s="44">
        <v>0</v>
      </c>
      <c r="CI9" s="44">
        <v>1</v>
      </c>
      <c r="CK9" s="44">
        <v>0</v>
      </c>
      <c r="CL9" s="44">
        <v>0</v>
      </c>
      <c r="CM9" s="44">
        <v>0</v>
      </c>
      <c r="CN9" s="44">
        <v>0</v>
      </c>
      <c r="CO9" s="44">
        <v>0</v>
      </c>
      <c r="CP9" s="44">
        <v>0</v>
      </c>
      <c r="CQ9" s="44">
        <v>1</v>
      </c>
      <c r="CR9" s="44">
        <v>0</v>
      </c>
      <c r="CV9" s="44">
        <v>0</v>
      </c>
      <c r="CW9" s="44">
        <v>0</v>
      </c>
    </row>
    <row r="10" s="44" customFormat="1" customHeight="1" spans="1:101">
      <c r="A10" s="45">
        <v>6301</v>
      </c>
      <c r="B10" s="79" t="s">
        <v>115</v>
      </c>
      <c r="D10" s="44" t="s">
        <v>116</v>
      </c>
      <c r="E10" s="44" t="s">
        <v>116</v>
      </c>
      <c r="F10" s="44" t="s">
        <v>116</v>
      </c>
      <c r="O10" s="77">
        <v>200202</v>
      </c>
      <c r="P10" s="77">
        <v>1</v>
      </c>
      <c r="Q10" s="77">
        <v>0</v>
      </c>
      <c r="R10" s="77">
        <v>0</v>
      </c>
      <c r="S10" s="64">
        <v>0</v>
      </c>
      <c r="T10" s="64">
        <v>0</v>
      </c>
      <c r="U10" s="64">
        <v>0</v>
      </c>
      <c r="V10" s="64">
        <v>0</v>
      </c>
      <c r="W10" s="63">
        <v>0</v>
      </c>
      <c r="X10" s="63">
        <v>0</v>
      </c>
      <c r="Y10" s="63">
        <v>0</v>
      </c>
      <c r="Z10" s="63">
        <v>0</v>
      </c>
      <c r="AA10" s="78">
        <v>0</v>
      </c>
      <c r="AB10" s="78">
        <v>0</v>
      </c>
      <c r="AC10" s="78">
        <v>0</v>
      </c>
      <c r="AD10" s="78">
        <v>0</v>
      </c>
      <c r="AE10" s="48"/>
      <c r="AU10" s="62"/>
      <c r="BK10" s="62"/>
      <c r="CA10" s="44">
        <v>1000</v>
      </c>
      <c r="CB10" s="44">
        <v>1000</v>
      </c>
      <c r="CC10" s="44">
        <v>0</v>
      </c>
      <c r="CD10" s="44">
        <v>0</v>
      </c>
      <c r="CE10" s="44">
        <v>0</v>
      </c>
      <c r="CF10" s="44">
        <v>0</v>
      </c>
      <c r="CG10" s="44">
        <v>0</v>
      </c>
      <c r="CH10" s="44">
        <v>0</v>
      </c>
      <c r="CI10" s="44">
        <v>1</v>
      </c>
      <c r="CJ10" s="44">
        <v>0</v>
      </c>
      <c r="CK10" s="44">
        <v>0</v>
      </c>
      <c r="CL10" s="44">
        <v>0</v>
      </c>
      <c r="CM10" s="44">
        <v>0</v>
      </c>
      <c r="CN10" s="44">
        <v>0</v>
      </c>
      <c r="CO10" s="44">
        <v>0</v>
      </c>
      <c r="CP10" s="44">
        <v>0</v>
      </c>
      <c r="CQ10" s="44">
        <v>1</v>
      </c>
      <c r="CR10" s="44">
        <v>0</v>
      </c>
      <c r="CV10" s="44">
        <v>0</v>
      </c>
      <c r="CW10" s="44">
        <v>0</v>
      </c>
    </row>
    <row r="11" s="44" customFormat="1" customHeight="1" spans="1:101">
      <c r="A11" s="45">
        <v>6302</v>
      </c>
      <c r="B11" s="79" t="s">
        <v>117</v>
      </c>
      <c r="D11" s="44" t="s">
        <v>116</v>
      </c>
      <c r="E11" s="44" t="s">
        <v>116</v>
      </c>
      <c r="F11" s="44" t="s">
        <v>116</v>
      </c>
      <c r="O11" s="77">
        <v>200203</v>
      </c>
      <c r="P11" s="77">
        <v>1</v>
      </c>
      <c r="Q11" s="77">
        <v>0</v>
      </c>
      <c r="R11" s="77">
        <v>0</v>
      </c>
      <c r="S11" s="64">
        <v>0</v>
      </c>
      <c r="T11" s="64">
        <v>0</v>
      </c>
      <c r="U11" s="64">
        <v>0</v>
      </c>
      <c r="V11" s="64">
        <v>0</v>
      </c>
      <c r="W11" s="63">
        <v>0</v>
      </c>
      <c r="X11" s="63">
        <v>0</v>
      </c>
      <c r="Y11" s="63">
        <v>0</v>
      </c>
      <c r="Z11" s="63">
        <v>0</v>
      </c>
      <c r="AA11" s="78">
        <v>0</v>
      </c>
      <c r="AB11" s="78">
        <v>0</v>
      </c>
      <c r="AC11" s="78">
        <v>0</v>
      </c>
      <c r="AD11" s="78">
        <v>0</v>
      </c>
      <c r="AE11" s="48"/>
      <c r="AU11" s="62" t="str">
        <f t="shared" ref="AU11:BJ11" si="1">IF(AE11="","",1)</f>
        <v/>
      </c>
      <c r="AV11" s="44" t="str">
        <f t="shared" si="1"/>
        <v/>
      </c>
      <c r="AW11" s="44" t="str">
        <f t="shared" si="1"/>
        <v/>
      </c>
      <c r="AX11" s="44" t="str">
        <f t="shared" si="1"/>
        <v/>
      </c>
      <c r="AY11" s="44" t="str">
        <f t="shared" si="1"/>
        <v/>
      </c>
      <c r="AZ11" s="44" t="str">
        <f t="shared" si="1"/>
        <v/>
      </c>
      <c r="BA11" s="44" t="str">
        <f t="shared" si="1"/>
        <v/>
      </c>
      <c r="BB11" s="44" t="str">
        <f t="shared" si="1"/>
        <v/>
      </c>
      <c r="BC11" s="44" t="str">
        <f t="shared" si="1"/>
        <v/>
      </c>
      <c r="BD11" s="44" t="str">
        <f t="shared" si="1"/>
        <v/>
      </c>
      <c r="BE11" s="44" t="str">
        <f t="shared" si="1"/>
        <v/>
      </c>
      <c r="BF11" s="44" t="str">
        <f t="shared" si="1"/>
        <v/>
      </c>
      <c r="BG11" s="44" t="str">
        <f t="shared" si="1"/>
        <v/>
      </c>
      <c r="BH11" s="44" t="str">
        <f t="shared" si="1"/>
        <v/>
      </c>
      <c r="BI11" s="44" t="str">
        <f t="shared" si="1"/>
        <v/>
      </c>
      <c r="BJ11" s="44" t="str">
        <f t="shared" si="1"/>
        <v/>
      </c>
      <c r="BK11" s="62"/>
      <c r="CA11" s="44">
        <v>1000</v>
      </c>
      <c r="CB11" s="44">
        <v>1000</v>
      </c>
      <c r="CC11" s="44">
        <v>0</v>
      </c>
      <c r="CD11" s="44">
        <v>0</v>
      </c>
      <c r="CE11" s="44">
        <v>0</v>
      </c>
      <c r="CF11" s="44">
        <v>0</v>
      </c>
      <c r="CG11" s="44">
        <v>0</v>
      </c>
      <c r="CH11" s="44">
        <v>0</v>
      </c>
      <c r="CI11" s="44">
        <v>1</v>
      </c>
      <c r="CJ11" s="44">
        <v>0</v>
      </c>
      <c r="CK11" s="44">
        <v>0</v>
      </c>
      <c r="CL11" s="44">
        <v>0</v>
      </c>
      <c r="CM11" s="44">
        <v>0</v>
      </c>
      <c r="CN11" s="44">
        <v>0</v>
      </c>
      <c r="CO11" s="44">
        <v>0</v>
      </c>
      <c r="CP11" s="44">
        <v>0</v>
      </c>
      <c r="CQ11" s="44">
        <v>1</v>
      </c>
      <c r="CR11" s="44">
        <v>0</v>
      </c>
      <c r="CV11" s="44">
        <v>0</v>
      </c>
      <c r="CW11" s="44">
        <v>0</v>
      </c>
    </row>
    <row r="12" s="44" customFormat="1" customHeight="1" spans="1:101">
      <c r="A12" s="45">
        <v>6303</v>
      </c>
      <c r="B12" s="79" t="s">
        <v>118</v>
      </c>
      <c r="D12" s="44" t="s">
        <v>116</v>
      </c>
      <c r="E12" s="44" t="s">
        <v>116</v>
      </c>
      <c r="F12" s="44" t="s">
        <v>116</v>
      </c>
      <c r="O12" s="77">
        <v>200204</v>
      </c>
      <c r="P12" s="77">
        <v>1</v>
      </c>
      <c r="Q12" s="77">
        <v>0</v>
      </c>
      <c r="R12" s="77">
        <v>0</v>
      </c>
      <c r="S12" s="64">
        <v>0</v>
      </c>
      <c r="T12" s="64">
        <v>0</v>
      </c>
      <c r="U12" s="64">
        <v>0</v>
      </c>
      <c r="V12" s="64">
        <v>0</v>
      </c>
      <c r="W12" s="63">
        <v>0</v>
      </c>
      <c r="X12" s="63">
        <v>0</v>
      </c>
      <c r="Y12" s="63">
        <v>0</v>
      </c>
      <c r="Z12" s="63">
        <v>0</v>
      </c>
      <c r="AA12" s="78">
        <v>0</v>
      </c>
      <c r="AB12" s="78">
        <v>0</v>
      </c>
      <c r="AC12" s="78">
        <v>0</v>
      </c>
      <c r="AD12" s="78">
        <v>0</v>
      </c>
      <c r="AE12" s="48"/>
      <c r="AU12" s="62" t="str">
        <f t="shared" ref="AU12:BJ12" si="2">IF(AE12="","",1)</f>
        <v/>
      </c>
      <c r="AV12" s="44" t="str">
        <f t="shared" si="2"/>
        <v/>
      </c>
      <c r="AW12" s="44" t="str">
        <f t="shared" si="2"/>
        <v/>
      </c>
      <c r="AX12" s="44" t="str">
        <f t="shared" si="2"/>
        <v/>
      </c>
      <c r="AY12" s="44" t="str">
        <f t="shared" si="2"/>
        <v/>
      </c>
      <c r="AZ12" s="44" t="str">
        <f t="shared" si="2"/>
        <v/>
      </c>
      <c r="BA12" s="44" t="str">
        <f t="shared" si="2"/>
        <v/>
      </c>
      <c r="BB12" s="44" t="str">
        <f t="shared" si="2"/>
        <v/>
      </c>
      <c r="BC12" s="44" t="str">
        <f t="shared" si="2"/>
        <v/>
      </c>
      <c r="BD12" s="44" t="str">
        <f t="shared" si="2"/>
        <v/>
      </c>
      <c r="BE12" s="44" t="str">
        <f t="shared" si="2"/>
        <v/>
      </c>
      <c r="BF12" s="44" t="str">
        <f t="shared" si="2"/>
        <v/>
      </c>
      <c r="BG12" s="44" t="str">
        <f t="shared" si="2"/>
        <v/>
      </c>
      <c r="BH12" s="44" t="str">
        <f t="shared" si="2"/>
        <v/>
      </c>
      <c r="BI12" s="44" t="str">
        <f t="shared" si="2"/>
        <v/>
      </c>
      <c r="BJ12" s="44" t="str">
        <f t="shared" si="2"/>
        <v/>
      </c>
      <c r="BK12" s="62"/>
      <c r="CA12" s="44">
        <v>1000</v>
      </c>
      <c r="CB12" s="44">
        <v>1000</v>
      </c>
      <c r="CC12" s="44">
        <v>0</v>
      </c>
      <c r="CD12" s="44">
        <v>0</v>
      </c>
      <c r="CE12" s="44">
        <v>0</v>
      </c>
      <c r="CF12" s="44">
        <v>0</v>
      </c>
      <c r="CG12" s="44">
        <v>0</v>
      </c>
      <c r="CH12" s="44">
        <v>0</v>
      </c>
      <c r="CI12" s="44">
        <v>1</v>
      </c>
      <c r="CJ12" s="44">
        <v>0</v>
      </c>
      <c r="CK12" s="44">
        <v>0</v>
      </c>
      <c r="CL12" s="44">
        <v>0</v>
      </c>
      <c r="CM12" s="44">
        <v>0</v>
      </c>
      <c r="CN12" s="44">
        <v>0</v>
      </c>
      <c r="CO12" s="44">
        <v>0</v>
      </c>
      <c r="CP12" s="44">
        <v>0</v>
      </c>
      <c r="CQ12" s="44">
        <v>1</v>
      </c>
      <c r="CR12" s="44">
        <v>0</v>
      </c>
      <c r="CV12" s="44">
        <v>0</v>
      </c>
      <c r="CW12" s="44">
        <v>0</v>
      </c>
    </row>
    <row r="13" s="44" customFormat="1" customHeight="1" spans="1:101">
      <c r="A13" s="45">
        <v>6306</v>
      </c>
      <c r="B13" s="79" t="s">
        <v>119</v>
      </c>
      <c r="D13" s="44" t="s">
        <v>116</v>
      </c>
      <c r="E13" s="44" t="s">
        <v>116</v>
      </c>
      <c r="F13" s="44" t="s">
        <v>116</v>
      </c>
      <c r="O13" s="77">
        <v>200204</v>
      </c>
      <c r="P13" s="77">
        <v>1</v>
      </c>
      <c r="Q13" s="77">
        <v>0</v>
      </c>
      <c r="R13" s="77">
        <v>0</v>
      </c>
      <c r="S13" s="64">
        <v>0</v>
      </c>
      <c r="T13" s="64">
        <v>0</v>
      </c>
      <c r="U13" s="64">
        <v>0</v>
      </c>
      <c r="V13" s="64">
        <v>0</v>
      </c>
      <c r="W13" s="63">
        <v>0</v>
      </c>
      <c r="X13" s="63">
        <v>0</v>
      </c>
      <c r="Y13" s="63">
        <v>0</v>
      </c>
      <c r="Z13" s="63">
        <v>0</v>
      </c>
      <c r="AA13" s="78">
        <v>0</v>
      </c>
      <c r="AB13" s="78">
        <v>0</v>
      </c>
      <c r="AC13" s="78">
        <v>0</v>
      </c>
      <c r="AD13" s="78">
        <v>0</v>
      </c>
      <c r="AE13" s="48"/>
      <c r="AU13" s="62" t="str">
        <f t="shared" ref="AU13:BJ13" si="3">IF(AE13="","",1)</f>
        <v/>
      </c>
      <c r="AV13" s="44" t="str">
        <f t="shared" si="3"/>
        <v/>
      </c>
      <c r="AW13" s="44" t="str">
        <f t="shared" si="3"/>
        <v/>
      </c>
      <c r="AX13" s="44" t="str">
        <f t="shared" si="3"/>
        <v/>
      </c>
      <c r="AY13" s="44" t="str">
        <f t="shared" si="3"/>
        <v/>
      </c>
      <c r="AZ13" s="44" t="str">
        <f t="shared" si="3"/>
        <v/>
      </c>
      <c r="BA13" s="44" t="str">
        <f t="shared" si="3"/>
        <v/>
      </c>
      <c r="BB13" s="44" t="str">
        <f t="shared" si="3"/>
        <v/>
      </c>
      <c r="BC13" s="44" t="str">
        <f t="shared" si="3"/>
        <v/>
      </c>
      <c r="BD13" s="44" t="str">
        <f t="shared" si="3"/>
        <v/>
      </c>
      <c r="BE13" s="44" t="str">
        <f t="shared" si="3"/>
        <v/>
      </c>
      <c r="BF13" s="44" t="str">
        <f t="shared" si="3"/>
        <v/>
      </c>
      <c r="BG13" s="44" t="str">
        <f t="shared" si="3"/>
        <v/>
      </c>
      <c r="BH13" s="44" t="str">
        <f t="shared" si="3"/>
        <v/>
      </c>
      <c r="BI13" s="44" t="str">
        <f t="shared" si="3"/>
        <v/>
      </c>
      <c r="BJ13" s="44" t="str">
        <f t="shared" si="3"/>
        <v/>
      </c>
      <c r="BK13" s="62"/>
      <c r="CA13" s="44">
        <v>1000</v>
      </c>
      <c r="CB13" s="44">
        <v>1000</v>
      </c>
      <c r="CC13" s="44">
        <v>0</v>
      </c>
      <c r="CD13" s="44">
        <v>0</v>
      </c>
      <c r="CE13" s="44">
        <v>0</v>
      </c>
      <c r="CF13" s="44">
        <v>0</v>
      </c>
      <c r="CG13" s="44">
        <v>0</v>
      </c>
      <c r="CH13" s="44">
        <v>0</v>
      </c>
      <c r="CI13" s="44">
        <v>1</v>
      </c>
      <c r="CJ13" s="44">
        <v>0</v>
      </c>
      <c r="CK13" s="44">
        <v>0</v>
      </c>
      <c r="CL13" s="44">
        <v>0</v>
      </c>
      <c r="CM13" s="44">
        <v>0</v>
      </c>
      <c r="CN13" s="44">
        <v>0</v>
      </c>
      <c r="CO13" s="44">
        <v>0</v>
      </c>
      <c r="CP13" s="44">
        <v>0</v>
      </c>
      <c r="CQ13" s="44">
        <v>1</v>
      </c>
      <c r="CR13" s="44">
        <v>0</v>
      </c>
      <c r="CV13" s="44">
        <v>0</v>
      </c>
      <c r="CW13" s="44">
        <v>0</v>
      </c>
    </row>
    <row r="14" s="44" customFormat="1" customHeight="1" spans="1:101">
      <c r="A14" s="44">
        <v>1068</v>
      </c>
      <c r="B14" s="79" t="s">
        <v>120</v>
      </c>
      <c r="H14" s="44" t="s">
        <v>121</v>
      </c>
      <c r="I14" s="44" t="s">
        <v>122</v>
      </c>
      <c r="O14" s="77"/>
      <c r="P14" s="77"/>
      <c r="Q14" s="77"/>
      <c r="R14" s="77"/>
      <c r="S14" s="64"/>
      <c r="T14" s="64"/>
      <c r="U14" s="64"/>
      <c r="V14" s="64"/>
      <c r="W14" s="63"/>
      <c r="X14" s="63"/>
      <c r="Y14" s="63"/>
      <c r="Z14" s="63"/>
      <c r="AA14" s="78"/>
      <c r="AB14" s="78"/>
      <c r="AC14" s="78"/>
      <c r="AD14" s="78"/>
      <c r="AE14" s="48" t="s">
        <v>116</v>
      </c>
      <c r="AF14" s="44" t="s">
        <v>116</v>
      </c>
      <c r="AG14" s="44" t="s">
        <v>116</v>
      </c>
      <c r="AH14" s="44" t="s">
        <v>116</v>
      </c>
      <c r="AI14" s="44" t="s">
        <v>116</v>
      </c>
      <c r="AJ14" s="44" t="s">
        <v>116</v>
      </c>
      <c r="AK14" s="44" t="s">
        <v>116</v>
      </c>
      <c r="AL14" s="44" t="s">
        <v>116</v>
      </c>
      <c r="AM14" s="44" t="s">
        <v>116</v>
      </c>
      <c r="AN14" s="44" t="s">
        <v>116</v>
      </c>
      <c r="AO14" s="44" t="s">
        <v>116</v>
      </c>
      <c r="AP14" s="44" t="s">
        <v>116</v>
      </c>
      <c r="AQ14" s="44" t="s">
        <v>116</v>
      </c>
      <c r="AR14" s="44" t="s">
        <v>116</v>
      </c>
      <c r="AS14" s="44" t="s">
        <v>116</v>
      </c>
      <c r="AT14" s="44" t="s">
        <v>116</v>
      </c>
      <c r="AU14" s="62" t="str">
        <f t="shared" ref="AU14:BJ14" si="4">IF(AE14="","",1)</f>
        <v/>
      </c>
      <c r="AV14" s="44" t="str">
        <f t="shared" si="4"/>
        <v/>
      </c>
      <c r="AW14" s="44" t="str">
        <f t="shared" si="4"/>
        <v/>
      </c>
      <c r="AX14" s="44" t="str">
        <f t="shared" si="4"/>
        <v/>
      </c>
      <c r="AY14" s="44" t="str">
        <f t="shared" si="4"/>
        <v/>
      </c>
      <c r="AZ14" s="44" t="str">
        <f t="shared" si="4"/>
        <v/>
      </c>
      <c r="BA14" s="44" t="str">
        <f t="shared" si="4"/>
        <v/>
      </c>
      <c r="BB14" s="44" t="str">
        <f t="shared" si="4"/>
        <v/>
      </c>
      <c r="BC14" s="44" t="str">
        <f t="shared" si="4"/>
        <v/>
      </c>
      <c r="BD14" s="44" t="str">
        <f t="shared" si="4"/>
        <v/>
      </c>
      <c r="BE14" s="44" t="str">
        <f t="shared" si="4"/>
        <v/>
      </c>
      <c r="BF14" s="44" t="str">
        <f t="shared" si="4"/>
        <v/>
      </c>
      <c r="BG14" s="44" t="str">
        <f t="shared" si="4"/>
        <v/>
      </c>
      <c r="BH14" s="44" t="str">
        <f t="shared" si="4"/>
        <v/>
      </c>
      <c r="BI14" s="44" t="str">
        <f t="shared" si="4"/>
        <v/>
      </c>
      <c r="BJ14" s="44" t="str">
        <f t="shared" si="4"/>
        <v/>
      </c>
      <c r="BK14" s="62"/>
      <c r="CA14" s="44">
        <f>SUM(BK14:BZ14)</f>
        <v>0</v>
      </c>
      <c r="CB14" s="44">
        <v>1000</v>
      </c>
      <c r="CC14" s="44">
        <v>0</v>
      </c>
      <c r="CD14" s="44">
        <v>0</v>
      </c>
      <c r="CE14" s="44">
        <v>0</v>
      </c>
      <c r="CF14" s="44">
        <v>0</v>
      </c>
      <c r="CG14" s="44">
        <v>0</v>
      </c>
      <c r="CH14" s="44">
        <f>IF(RIGHT(B14,1)="0",1,0)</f>
        <v>0</v>
      </c>
      <c r="CI14" s="44">
        <v>1</v>
      </c>
      <c r="CJ14" s="44">
        <v>0</v>
      </c>
      <c r="CK14" s="44">
        <v>0</v>
      </c>
      <c r="CL14" s="44">
        <v>0</v>
      </c>
      <c r="CM14" s="44">
        <v>0</v>
      </c>
      <c r="CN14" s="44">
        <v>0</v>
      </c>
      <c r="CO14" s="44">
        <v>0</v>
      </c>
      <c r="CP14" s="44">
        <v>0</v>
      </c>
      <c r="CQ14" s="44">
        <v>0</v>
      </c>
      <c r="CR14" s="44">
        <v>0</v>
      </c>
      <c r="CV14" s="44">
        <v>1</v>
      </c>
      <c r="CW14" s="44">
        <v>1</v>
      </c>
    </row>
    <row r="15" s="44" customFormat="1" customHeight="1" spans="1:101">
      <c r="A15" s="44">
        <v>1070</v>
      </c>
      <c r="B15" s="79" t="s">
        <v>120</v>
      </c>
      <c r="H15" s="44" t="s">
        <v>121</v>
      </c>
      <c r="I15" s="44" t="s">
        <v>122</v>
      </c>
      <c r="O15" s="77"/>
      <c r="P15" s="77"/>
      <c r="Q15" s="77"/>
      <c r="R15" s="77"/>
      <c r="S15" s="64"/>
      <c r="T15" s="64"/>
      <c r="U15" s="64"/>
      <c r="V15" s="64"/>
      <c r="W15" s="63"/>
      <c r="X15" s="63"/>
      <c r="Y15" s="63"/>
      <c r="Z15" s="63"/>
      <c r="AA15" s="78"/>
      <c r="AB15" s="78"/>
      <c r="AC15" s="78"/>
      <c r="AD15" s="78"/>
      <c r="AE15" s="48" t="s">
        <v>116</v>
      </c>
      <c r="AF15" s="44" t="s">
        <v>116</v>
      </c>
      <c r="AG15" s="44" t="s">
        <v>116</v>
      </c>
      <c r="AH15" s="44" t="s">
        <v>116</v>
      </c>
      <c r="AI15" s="44" t="s">
        <v>116</v>
      </c>
      <c r="AJ15" s="44" t="s">
        <v>116</v>
      </c>
      <c r="AK15" s="44" t="s">
        <v>116</v>
      </c>
      <c r="AL15" s="44" t="s">
        <v>116</v>
      </c>
      <c r="AM15" s="44" t="s">
        <v>116</v>
      </c>
      <c r="AN15" s="44" t="s">
        <v>116</v>
      </c>
      <c r="AO15" s="44" t="s">
        <v>116</v>
      </c>
      <c r="AP15" s="44" t="s">
        <v>116</v>
      </c>
      <c r="AQ15" s="44" t="s">
        <v>116</v>
      </c>
      <c r="AR15" s="44" t="s">
        <v>116</v>
      </c>
      <c r="AS15" s="44" t="s">
        <v>116</v>
      </c>
      <c r="AT15" s="44" t="s">
        <v>116</v>
      </c>
      <c r="AU15" s="62" t="str">
        <f t="shared" ref="AU15:BJ15" si="5">IF(AE15="","",1)</f>
        <v/>
      </c>
      <c r="AV15" s="44" t="str">
        <f t="shared" si="5"/>
        <v/>
      </c>
      <c r="AW15" s="44" t="str">
        <f t="shared" si="5"/>
        <v/>
      </c>
      <c r="AX15" s="44" t="str">
        <f t="shared" si="5"/>
        <v/>
      </c>
      <c r="AY15" s="44" t="str">
        <f t="shared" si="5"/>
        <v/>
      </c>
      <c r="AZ15" s="44" t="str">
        <f t="shared" si="5"/>
        <v/>
      </c>
      <c r="BA15" s="44" t="str">
        <f t="shared" si="5"/>
        <v/>
      </c>
      <c r="BB15" s="44" t="str">
        <f t="shared" si="5"/>
        <v/>
      </c>
      <c r="BC15" s="44" t="str">
        <f t="shared" si="5"/>
        <v/>
      </c>
      <c r="BD15" s="44" t="str">
        <f t="shared" si="5"/>
        <v/>
      </c>
      <c r="BE15" s="44" t="str">
        <f t="shared" si="5"/>
        <v/>
      </c>
      <c r="BF15" s="44" t="str">
        <f t="shared" si="5"/>
        <v/>
      </c>
      <c r="BG15" s="44" t="str">
        <f t="shared" si="5"/>
        <v/>
      </c>
      <c r="BH15" s="44" t="str">
        <f t="shared" si="5"/>
        <v/>
      </c>
      <c r="BI15" s="44" t="str">
        <f t="shared" si="5"/>
        <v/>
      </c>
      <c r="BJ15" s="44" t="str">
        <f t="shared" si="5"/>
        <v/>
      </c>
      <c r="BK15" s="62"/>
      <c r="CA15" s="44">
        <f>SUM(BK15:BZ15)</f>
        <v>0</v>
      </c>
      <c r="CB15" s="44">
        <v>1000</v>
      </c>
      <c r="CC15" s="44">
        <v>0</v>
      </c>
      <c r="CD15" s="44">
        <v>0</v>
      </c>
      <c r="CE15" s="44">
        <v>0</v>
      </c>
      <c r="CF15" s="44">
        <v>0</v>
      </c>
      <c r="CG15" s="44">
        <v>0</v>
      </c>
      <c r="CH15" s="44">
        <f>IF(RIGHT(B15,1)="0",1,0)</f>
        <v>0</v>
      </c>
      <c r="CI15" s="44">
        <v>1</v>
      </c>
      <c r="CJ15" s="44">
        <v>0</v>
      </c>
      <c r="CK15" s="44">
        <v>0</v>
      </c>
      <c r="CL15" s="44">
        <v>0</v>
      </c>
      <c r="CM15" s="44">
        <v>0</v>
      </c>
      <c r="CN15" s="44">
        <v>0</v>
      </c>
      <c r="CO15" s="44">
        <v>0</v>
      </c>
      <c r="CP15" s="44">
        <v>0</v>
      </c>
      <c r="CQ15" s="44">
        <v>0</v>
      </c>
      <c r="CR15" s="44">
        <v>0</v>
      </c>
      <c r="CV15" s="44">
        <v>1</v>
      </c>
      <c r="CW15" s="44">
        <v>1</v>
      </c>
    </row>
    <row r="16" s="44" customFormat="1" customHeight="1" spans="1:101">
      <c r="A16" s="44">
        <v>3134</v>
      </c>
      <c r="B16" s="79" t="s">
        <v>123</v>
      </c>
      <c r="O16" s="77">
        <v>200002</v>
      </c>
      <c r="P16" s="77">
        <v>1</v>
      </c>
      <c r="Q16" s="77">
        <v>0</v>
      </c>
      <c r="R16" s="77">
        <v>0</v>
      </c>
      <c r="S16" s="64">
        <v>0</v>
      </c>
      <c r="T16" s="64">
        <v>0</v>
      </c>
      <c r="U16" s="64">
        <v>0</v>
      </c>
      <c r="V16" s="64">
        <v>0</v>
      </c>
      <c r="W16" s="63">
        <v>0</v>
      </c>
      <c r="X16" s="63">
        <v>0</v>
      </c>
      <c r="Y16" s="63">
        <v>0</v>
      </c>
      <c r="Z16" s="63">
        <v>0</v>
      </c>
      <c r="AA16" s="78">
        <v>0</v>
      </c>
      <c r="AB16" s="78">
        <v>0</v>
      </c>
      <c r="AC16" s="78">
        <v>0</v>
      </c>
      <c r="AD16" s="78">
        <v>0</v>
      </c>
      <c r="AE16" s="48"/>
      <c r="AU16" s="62"/>
      <c r="BK16" s="62"/>
      <c r="CA16" s="44">
        <v>1000</v>
      </c>
      <c r="CB16" s="44">
        <v>1000</v>
      </c>
      <c r="CC16" s="44">
        <v>0</v>
      </c>
      <c r="CD16" s="44">
        <v>1</v>
      </c>
      <c r="CE16" s="44">
        <v>0</v>
      </c>
      <c r="CF16" s="44">
        <v>0</v>
      </c>
      <c r="CG16" s="44">
        <v>0</v>
      </c>
      <c r="CH16" s="44">
        <v>0</v>
      </c>
      <c r="CI16" s="44">
        <v>1</v>
      </c>
      <c r="CK16" s="44">
        <v>0</v>
      </c>
      <c r="CL16" s="44">
        <v>0</v>
      </c>
      <c r="CM16" s="44">
        <v>0</v>
      </c>
      <c r="CN16" s="44">
        <v>0</v>
      </c>
      <c r="CO16" s="44">
        <v>0</v>
      </c>
      <c r="CP16" s="44">
        <v>0</v>
      </c>
      <c r="CQ16" s="44">
        <v>0</v>
      </c>
      <c r="CR16" s="44">
        <v>0</v>
      </c>
      <c r="CV16" s="44">
        <v>0</v>
      </c>
      <c r="CW16" s="44">
        <v>0</v>
      </c>
    </row>
    <row r="17" s="44" customFormat="1" customHeight="1" spans="1:101">
      <c r="A17" s="44">
        <v>3135</v>
      </c>
      <c r="B17" s="79" t="s">
        <v>123</v>
      </c>
      <c r="O17" s="77">
        <v>0</v>
      </c>
      <c r="P17" s="77">
        <v>1</v>
      </c>
      <c r="Q17" s="77">
        <v>0</v>
      </c>
      <c r="R17" s="77">
        <v>0</v>
      </c>
      <c r="S17" s="64">
        <v>0</v>
      </c>
      <c r="T17" s="64">
        <v>0</v>
      </c>
      <c r="U17" s="64">
        <v>0</v>
      </c>
      <c r="V17" s="64">
        <v>0</v>
      </c>
      <c r="W17" s="63">
        <v>0</v>
      </c>
      <c r="X17" s="63">
        <v>0</v>
      </c>
      <c r="Y17" s="63">
        <v>0</v>
      </c>
      <c r="Z17" s="63">
        <v>0</v>
      </c>
      <c r="AA17" s="78">
        <v>0</v>
      </c>
      <c r="AB17" s="78">
        <v>0</v>
      </c>
      <c r="AC17" s="78">
        <v>0</v>
      </c>
      <c r="AD17" s="78">
        <v>0</v>
      </c>
      <c r="AE17" s="48">
        <v>200003</v>
      </c>
      <c r="AF17" s="44">
        <v>200006</v>
      </c>
      <c r="AU17" s="62">
        <v>1</v>
      </c>
      <c r="AV17" s="44">
        <v>1</v>
      </c>
      <c r="BK17" s="62">
        <v>120</v>
      </c>
      <c r="BL17" s="44">
        <v>80</v>
      </c>
      <c r="CA17" s="44">
        <v>1000</v>
      </c>
      <c r="CB17" s="44">
        <v>1000</v>
      </c>
      <c r="CC17" s="44">
        <v>0</v>
      </c>
      <c r="CD17" s="44">
        <v>1</v>
      </c>
      <c r="CE17" s="44">
        <v>0</v>
      </c>
      <c r="CF17" s="44">
        <v>0</v>
      </c>
      <c r="CG17" s="44">
        <v>0</v>
      </c>
      <c r="CH17" s="44">
        <v>0</v>
      </c>
      <c r="CI17" s="44">
        <v>1</v>
      </c>
      <c r="CK17" s="44">
        <v>0</v>
      </c>
      <c r="CL17" s="44">
        <v>0</v>
      </c>
      <c r="CM17" s="44">
        <v>0</v>
      </c>
      <c r="CN17" s="44">
        <v>0</v>
      </c>
      <c r="CO17" s="44">
        <v>0</v>
      </c>
      <c r="CP17" s="44">
        <v>0</v>
      </c>
      <c r="CQ17" s="44">
        <v>0</v>
      </c>
      <c r="CR17" s="44">
        <v>0</v>
      </c>
      <c r="CS17" s="44">
        <v>750</v>
      </c>
      <c r="CT17" s="44">
        <v>200</v>
      </c>
      <c r="CU17" s="44">
        <v>50</v>
      </c>
      <c r="CV17" s="44">
        <v>0</v>
      </c>
      <c r="CW17" s="44">
        <v>0</v>
      </c>
    </row>
    <row r="18" s="44" customFormat="1" customHeight="1" spans="1:101">
      <c r="A18" s="44">
        <v>3136</v>
      </c>
      <c r="B18" s="79" t="s">
        <v>123</v>
      </c>
      <c r="O18" s="77">
        <v>0</v>
      </c>
      <c r="P18" s="77">
        <v>1</v>
      </c>
      <c r="Q18" s="77">
        <v>0</v>
      </c>
      <c r="R18" s="77">
        <v>0</v>
      </c>
      <c r="S18" s="64">
        <v>0</v>
      </c>
      <c r="T18" s="64">
        <v>0</v>
      </c>
      <c r="U18" s="64">
        <v>0</v>
      </c>
      <c r="V18" s="64">
        <v>0</v>
      </c>
      <c r="W18" s="63">
        <v>0</v>
      </c>
      <c r="X18" s="63">
        <v>0</v>
      </c>
      <c r="Y18" s="63">
        <v>0</v>
      </c>
      <c r="Z18" s="63">
        <v>0</v>
      </c>
      <c r="AA18" s="78">
        <v>0</v>
      </c>
      <c r="AB18" s="78">
        <v>0</v>
      </c>
      <c r="AC18" s="78">
        <v>0</v>
      </c>
      <c r="AD18" s="78">
        <v>0</v>
      </c>
      <c r="AE18" s="48">
        <v>200004</v>
      </c>
      <c r="AF18" s="44">
        <v>200007</v>
      </c>
      <c r="AU18" s="62">
        <v>1</v>
      </c>
      <c r="AV18" s="44">
        <v>1</v>
      </c>
      <c r="BK18" s="62">
        <v>120</v>
      </c>
      <c r="BL18" s="44">
        <v>80</v>
      </c>
      <c r="CA18" s="44">
        <v>1000</v>
      </c>
      <c r="CB18" s="44">
        <v>1000</v>
      </c>
      <c r="CC18" s="44">
        <v>0</v>
      </c>
      <c r="CD18" s="44">
        <v>1</v>
      </c>
      <c r="CE18" s="44">
        <v>0</v>
      </c>
      <c r="CF18" s="44">
        <v>0</v>
      </c>
      <c r="CG18" s="44">
        <v>0</v>
      </c>
      <c r="CH18" s="44">
        <v>0</v>
      </c>
      <c r="CI18" s="44">
        <v>1</v>
      </c>
      <c r="CK18" s="44">
        <v>0</v>
      </c>
      <c r="CL18" s="44">
        <v>0</v>
      </c>
      <c r="CM18" s="44">
        <v>0</v>
      </c>
      <c r="CN18" s="44">
        <v>0</v>
      </c>
      <c r="CO18" s="44">
        <v>0</v>
      </c>
      <c r="CP18" s="44">
        <v>0</v>
      </c>
      <c r="CQ18" s="44">
        <v>0</v>
      </c>
      <c r="CR18" s="44">
        <v>0</v>
      </c>
      <c r="CS18" s="44">
        <v>750</v>
      </c>
      <c r="CT18" s="44">
        <v>200</v>
      </c>
      <c r="CU18" s="44">
        <v>50</v>
      </c>
      <c r="CV18" s="44">
        <v>0</v>
      </c>
      <c r="CW18" s="44">
        <v>0</v>
      </c>
    </row>
    <row r="19" s="44" customFormat="1" customHeight="1" spans="1:101">
      <c r="A19" s="44">
        <v>10001</v>
      </c>
      <c r="B19" s="79" t="s">
        <v>124</v>
      </c>
      <c r="H19" s="44" t="s">
        <v>125</v>
      </c>
      <c r="O19" s="77">
        <v>0</v>
      </c>
      <c r="P19" s="77">
        <v>0</v>
      </c>
      <c r="Q19" s="77">
        <v>0</v>
      </c>
      <c r="R19" s="77">
        <v>0</v>
      </c>
      <c r="S19" s="64">
        <v>0</v>
      </c>
      <c r="T19" s="64">
        <v>0</v>
      </c>
      <c r="U19" s="64">
        <v>0</v>
      </c>
      <c r="V19" s="64">
        <v>0</v>
      </c>
      <c r="W19" s="63">
        <v>0</v>
      </c>
      <c r="X19" s="63">
        <v>0</v>
      </c>
      <c r="Y19" s="63">
        <v>0</v>
      </c>
      <c r="Z19" s="63">
        <v>0</v>
      </c>
      <c r="AA19" s="78">
        <v>0</v>
      </c>
      <c r="AB19" s="78">
        <v>0</v>
      </c>
      <c r="AC19" s="78">
        <v>0</v>
      </c>
      <c r="AD19" s="78">
        <v>0</v>
      </c>
      <c r="AE19" s="48"/>
      <c r="AU19" s="62"/>
      <c r="BK19" s="62"/>
      <c r="CA19" s="44">
        <v>1000</v>
      </c>
      <c r="CB19" s="44">
        <v>1000</v>
      </c>
      <c r="CC19" s="44">
        <v>0</v>
      </c>
      <c r="CD19" s="44">
        <v>1</v>
      </c>
      <c r="CE19" s="44">
        <v>0</v>
      </c>
      <c r="CF19" s="44">
        <v>0</v>
      </c>
      <c r="CG19" s="44">
        <v>0</v>
      </c>
      <c r="CH19" s="44">
        <v>0</v>
      </c>
      <c r="CI19" s="44">
        <v>1</v>
      </c>
      <c r="CK19" s="44">
        <v>0</v>
      </c>
      <c r="CL19" s="44">
        <v>0</v>
      </c>
      <c r="CM19" s="44">
        <v>0</v>
      </c>
      <c r="CN19" s="44">
        <v>0</v>
      </c>
      <c r="CO19" s="44">
        <v>0</v>
      </c>
      <c r="CP19" s="44">
        <v>0</v>
      </c>
      <c r="CQ19" s="44">
        <v>1</v>
      </c>
      <c r="CR19" s="44">
        <v>0</v>
      </c>
      <c r="CV19" s="44">
        <v>0</v>
      </c>
      <c r="CW19" s="44">
        <v>0</v>
      </c>
    </row>
    <row r="20" s="44" customFormat="1" customHeight="1" spans="1:101">
      <c r="A20" s="44">
        <v>10002</v>
      </c>
      <c r="B20" s="44" t="s">
        <v>126</v>
      </c>
      <c r="O20" s="77">
        <v>200011</v>
      </c>
      <c r="P20" s="77">
        <v>1</v>
      </c>
      <c r="Q20" s="77">
        <v>0</v>
      </c>
      <c r="R20" s="77">
        <v>0</v>
      </c>
      <c r="S20" s="64">
        <v>0</v>
      </c>
      <c r="T20" s="64">
        <v>0</v>
      </c>
      <c r="U20" s="64">
        <v>0</v>
      </c>
      <c r="V20" s="64">
        <v>0</v>
      </c>
      <c r="W20" s="63">
        <v>0</v>
      </c>
      <c r="X20" s="63">
        <v>0</v>
      </c>
      <c r="Y20" s="63">
        <v>0</v>
      </c>
      <c r="Z20" s="63">
        <v>0</v>
      </c>
      <c r="AA20" s="78">
        <v>0</v>
      </c>
      <c r="AB20" s="78">
        <v>0</v>
      </c>
      <c r="AC20" s="78">
        <v>0</v>
      </c>
      <c r="AD20" s="78">
        <v>0</v>
      </c>
      <c r="AE20" s="48"/>
      <c r="AU20" s="62"/>
      <c r="BK20" s="62"/>
      <c r="CA20" s="44">
        <v>1000</v>
      </c>
      <c r="CB20" s="44">
        <v>1000</v>
      </c>
      <c r="CC20" s="44">
        <v>0</v>
      </c>
      <c r="CD20" s="44">
        <v>1</v>
      </c>
      <c r="CE20" s="44">
        <v>0</v>
      </c>
      <c r="CF20" s="44">
        <v>0</v>
      </c>
      <c r="CG20" s="44">
        <v>0</v>
      </c>
      <c r="CH20" s="44">
        <v>0</v>
      </c>
      <c r="CI20" s="44">
        <v>1</v>
      </c>
      <c r="CK20" s="44">
        <v>0</v>
      </c>
      <c r="CL20" s="44">
        <v>0</v>
      </c>
      <c r="CM20" s="44">
        <v>0</v>
      </c>
      <c r="CN20" s="44">
        <v>0</v>
      </c>
      <c r="CO20" s="44">
        <v>0</v>
      </c>
      <c r="CP20" s="44">
        <v>0</v>
      </c>
      <c r="CQ20" s="44">
        <v>1</v>
      </c>
      <c r="CR20" s="44">
        <v>0</v>
      </c>
      <c r="CV20" s="44">
        <v>0</v>
      </c>
      <c r="CW20" s="44">
        <v>0</v>
      </c>
    </row>
    <row r="21" s="44" customFormat="1" customHeight="1" spans="1:101">
      <c r="A21" s="44">
        <v>10003</v>
      </c>
      <c r="B21" s="44" t="s">
        <v>127</v>
      </c>
      <c r="O21" s="77">
        <v>200012</v>
      </c>
      <c r="P21" s="77">
        <v>1</v>
      </c>
      <c r="Q21" s="77">
        <v>0</v>
      </c>
      <c r="R21" s="77">
        <v>0</v>
      </c>
      <c r="S21" s="64">
        <v>0</v>
      </c>
      <c r="T21" s="64">
        <v>0</v>
      </c>
      <c r="U21" s="64">
        <v>0</v>
      </c>
      <c r="V21" s="64">
        <v>0</v>
      </c>
      <c r="W21" s="63">
        <v>0</v>
      </c>
      <c r="X21" s="63">
        <v>0</v>
      </c>
      <c r="Y21" s="63">
        <v>0</v>
      </c>
      <c r="Z21" s="63">
        <v>0</v>
      </c>
      <c r="AA21" s="78">
        <v>0</v>
      </c>
      <c r="AB21" s="78">
        <v>0</v>
      </c>
      <c r="AC21" s="78">
        <v>0</v>
      </c>
      <c r="AD21" s="78">
        <v>0</v>
      </c>
      <c r="AE21" s="48"/>
      <c r="AU21" s="62"/>
      <c r="BK21" s="62"/>
      <c r="CA21" s="44">
        <v>1000</v>
      </c>
      <c r="CB21" s="44">
        <v>1000</v>
      </c>
      <c r="CC21" s="44">
        <v>0</v>
      </c>
      <c r="CD21" s="44">
        <v>1</v>
      </c>
      <c r="CE21" s="44">
        <v>0</v>
      </c>
      <c r="CF21" s="44">
        <v>0</v>
      </c>
      <c r="CG21" s="44">
        <v>0</v>
      </c>
      <c r="CH21" s="44">
        <v>0</v>
      </c>
      <c r="CI21" s="44">
        <v>1</v>
      </c>
      <c r="CK21" s="44">
        <v>0</v>
      </c>
      <c r="CL21" s="44">
        <v>0</v>
      </c>
      <c r="CM21" s="44">
        <v>0</v>
      </c>
      <c r="CN21" s="44">
        <v>0</v>
      </c>
      <c r="CO21" s="44">
        <v>0</v>
      </c>
      <c r="CP21" s="44">
        <v>0</v>
      </c>
      <c r="CQ21" s="44">
        <v>1</v>
      </c>
      <c r="CR21" s="44">
        <v>0</v>
      </c>
      <c r="CV21" s="44">
        <v>0</v>
      </c>
      <c r="CW21" s="44">
        <v>0</v>
      </c>
    </row>
    <row r="22" s="44" customFormat="1" customHeight="1" spans="1:101">
      <c r="A22" s="44">
        <v>10004</v>
      </c>
      <c r="B22" s="44" t="s">
        <v>128</v>
      </c>
      <c r="O22" s="77">
        <v>200013</v>
      </c>
      <c r="P22" s="77">
        <v>1</v>
      </c>
      <c r="Q22" s="77">
        <v>0</v>
      </c>
      <c r="R22" s="77">
        <v>0</v>
      </c>
      <c r="S22" s="64">
        <v>0</v>
      </c>
      <c r="T22" s="64">
        <v>0</v>
      </c>
      <c r="U22" s="64">
        <v>0</v>
      </c>
      <c r="V22" s="64">
        <v>0</v>
      </c>
      <c r="W22" s="63">
        <v>0</v>
      </c>
      <c r="X22" s="63">
        <v>0</v>
      </c>
      <c r="Y22" s="63">
        <v>0</v>
      </c>
      <c r="Z22" s="63">
        <v>0</v>
      </c>
      <c r="AA22" s="78">
        <v>0</v>
      </c>
      <c r="AB22" s="78">
        <v>0</v>
      </c>
      <c r="AC22" s="78">
        <v>0</v>
      </c>
      <c r="AD22" s="78">
        <v>0</v>
      </c>
      <c r="AE22" s="48"/>
      <c r="AU22" s="62"/>
      <c r="BK22" s="62"/>
      <c r="CA22" s="44">
        <v>1000</v>
      </c>
      <c r="CB22" s="44">
        <v>1000</v>
      </c>
      <c r="CC22" s="44">
        <v>0</v>
      </c>
      <c r="CD22" s="44">
        <v>1</v>
      </c>
      <c r="CE22" s="44">
        <v>0</v>
      </c>
      <c r="CF22" s="44">
        <v>0</v>
      </c>
      <c r="CG22" s="44">
        <v>0</v>
      </c>
      <c r="CH22" s="44">
        <v>0</v>
      </c>
      <c r="CI22" s="44">
        <v>1</v>
      </c>
      <c r="CK22" s="44">
        <v>0</v>
      </c>
      <c r="CL22" s="44">
        <v>0</v>
      </c>
      <c r="CM22" s="44">
        <v>0</v>
      </c>
      <c r="CN22" s="44">
        <v>0</v>
      </c>
      <c r="CO22" s="44">
        <v>0</v>
      </c>
      <c r="CP22" s="44">
        <v>0</v>
      </c>
      <c r="CQ22" s="44">
        <v>1</v>
      </c>
      <c r="CR22" s="44">
        <v>0</v>
      </c>
      <c r="CV22" s="44">
        <v>0</v>
      </c>
      <c r="CW22" s="44">
        <v>0</v>
      </c>
    </row>
    <row r="23" s="44" customFormat="1" customHeight="1" spans="1:101">
      <c r="A23" s="44">
        <v>10005</v>
      </c>
      <c r="B23" s="79" t="s">
        <v>129</v>
      </c>
      <c r="O23" s="77">
        <v>0</v>
      </c>
      <c r="P23" s="77">
        <v>0</v>
      </c>
      <c r="Q23" s="77">
        <v>0</v>
      </c>
      <c r="R23" s="77">
        <v>0</v>
      </c>
      <c r="S23" s="64">
        <v>0</v>
      </c>
      <c r="T23" s="64">
        <v>0</v>
      </c>
      <c r="U23" s="64">
        <v>0</v>
      </c>
      <c r="V23" s="64">
        <v>0</v>
      </c>
      <c r="W23" s="63">
        <v>0</v>
      </c>
      <c r="X23" s="63">
        <v>0</v>
      </c>
      <c r="Y23" s="63">
        <v>0</v>
      </c>
      <c r="Z23" s="63">
        <v>0</v>
      </c>
      <c r="AA23" s="78">
        <v>0</v>
      </c>
      <c r="AB23" s="78">
        <v>0</v>
      </c>
      <c r="AC23" s="78">
        <v>0</v>
      </c>
      <c r="AD23" s="78">
        <v>0</v>
      </c>
      <c r="AE23" s="48">
        <v>200011</v>
      </c>
      <c r="AF23" s="44">
        <v>338000</v>
      </c>
      <c r="AG23" s="44">
        <v>200016</v>
      </c>
      <c r="AH23" s="44">
        <v>336010</v>
      </c>
      <c r="AI23" s="44">
        <v>200023</v>
      </c>
      <c r="AJ23" s="44">
        <v>200024</v>
      </c>
      <c r="AU23" s="62">
        <v>1</v>
      </c>
      <c r="AV23" s="44">
        <v>1</v>
      </c>
      <c r="AW23" s="44">
        <v>1</v>
      </c>
      <c r="AX23" s="44">
        <v>1</v>
      </c>
      <c r="AY23" s="44">
        <v>1</v>
      </c>
      <c r="AZ23" s="44">
        <v>1</v>
      </c>
      <c r="BK23" s="62">
        <v>50</v>
      </c>
      <c r="BL23" s="44">
        <v>150</v>
      </c>
      <c r="BM23" s="44">
        <v>15</v>
      </c>
      <c r="BN23" s="44">
        <v>5</v>
      </c>
      <c r="BO23" s="44">
        <v>600</v>
      </c>
      <c r="BP23" s="44">
        <v>400</v>
      </c>
      <c r="CA23" s="44">
        <v>1000</v>
      </c>
      <c r="CB23" s="44">
        <v>1220</v>
      </c>
      <c r="CC23" s="44">
        <v>0</v>
      </c>
      <c r="CD23" s="44">
        <v>1</v>
      </c>
      <c r="CE23" s="44">
        <v>0</v>
      </c>
      <c r="CF23" s="44">
        <v>0</v>
      </c>
      <c r="CG23" s="44">
        <v>0</v>
      </c>
      <c r="CH23" s="44">
        <v>0</v>
      </c>
      <c r="CI23" s="44">
        <v>1</v>
      </c>
      <c r="CK23" s="44">
        <v>0</v>
      </c>
      <c r="CL23" s="44">
        <v>0</v>
      </c>
      <c r="CM23" s="44">
        <v>0</v>
      </c>
      <c r="CN23" s="44">
        <v>0</v>
      </c>
      <c r="CO23" s="44">
        <v>0</v>
      </c>
      <c r="CP23" s="44">
        <v>0</v>
      </c>
      <c r="CQ23" s="44">
        <v>1</v>
      </c>
      <c r="CR23" s="44">
        <v>0</v>
      </c>
      <c r="CV23" s="44">
        <v>0</v>
      </c>
      <c r="CW23" s="44">
        <v>0</v>
      </c>
    </row>
    <row r="24" s="44" customFormat="1" customHeight="1" spans="1:101">
      <c r="A24" s="44">
        <v>10006</v>
      </c>
      <c r="B24" s="79" t="s">
        <v>130</v>
      </c>
      <c r="O24" s="77">
        <v>200073</v>
      </c>
      <c r="P24" s="77">
        <v>1</v>
      </c>
      <c r="Q24" s="77">
        <v>0</v>
      </c>
      <c r="R24" s="77">
        <v>0</v>
      </c>
      <c r="S24" s="64">
        <v>0</v>
      </c>
      <c r="T24" s="64">
        <v>0</v>
      </c>
      <c r="U24" s="64">
        <v>0</v>
      </c>
      <c r="V24" s="64">
        <v>0</v>
      </c>
      <c r="W24" s="63">
        <v>0</v>
      </c>
      <c r="X24" s="63">
        <v>0</v>
      </c>
      <c r="Y24" s="63">
        <v>0</v>
      </c>
      <c r="Z24" s="63">
        <v>0</v>
      </c>
      <c r="AA24" s="78">
        <v>0</v>
      </c>
      <c r="AB24" s="78">
        <v>0</v>
      </c>
      <c r="AC24" s="78">
        <v>0</v>
      </c>
      <c r="AD24" s="78">
        <v>0</v>
      </c>
      <c r="AE24" s="48"/>
      <c r="AU24" s="62"/>
      <c r="BK24" s="62"/>
      <c r="CA24" s="44">
        <v>1000</v>
      </c>
      <c r="CB24" s="44">
        <v>1000</v>
      </c>
      <c r="CC24" s="44">
        <v>0</v>
      </c>
      <c r="CD24" s="44">
        <v>1</v>
      </c>
      <c r="CE24" s="44">
        <v>0</v>
      </c>
      <c r="CF24" s="44">
        <v>0</v>
      </c>
      <c r="CG24" s="44">
        <v>0</v>
      </c>
      <c r="CH24" s="44">
        <v>0</v>
      </c>
      <c r="CI24" s="44">
        <v>1</v>
      </c>
      <c r="CK24" s="44">
        <v>0</v>
      </c>
      <c r="CL24" s="44">
        <v>0</v>
      </c>
      <c r="CM24" s="44">
        <v>0</v>
      </c>
      <c r="CN24" s="44">
        <v>0</v>
      </c>
      <c r="CO24" s="44">
        <v>0</v>
      </c>
      <c r="CP24" s="44">
        <v>0</v>
      </c>
      <c r="CQ24" s="44">
        <v>1</v>
      </c>
      <c r="CR24" s="44">
        <v>0</v>
      </c>
      <c r="CV24" s="44">
        <v>0</v>
      </c>
      <c r="CW24" s="44">
        <v>0</v>
      </c>
    </row>
    <row r="25" s="44" customFormat="1" customHeight="1" spans="1:101">
      <c r="A25" s="81">
        <v>11001</v>
      </c>
      <c r="B25" s="81" t="s">
        <v>131</v>
      </c>
      <c r="H25" s="44" t="s">
        <v>132</v>
      </c>
      <c r="O25" s="77">
        <v>0</v>
      </c>
      <c r="P25" s="77">
        <v>1</v>
      </c>
      <c r="Q25" s="77">
        <v>0</v>
      </c>
      <c r="R25" s="77">
        <v>0</v>
      </c>
      <c r="S25" s="64">
        <v>0</v>
      </c>
      <c r="T25" s="64">
        <v>0</v>
      </c>
      <c r="U25" s="64">
        <v>0</v>
      </c>
      <c r="V25" s="64">
        <v>0</v>
      </c>
      <c r="W25" s="63">
        <v>0</v>
      </c>
      <c r="X25" s="63">
        <v>0</v>
      </c>
      <c r="Y25" s="63">
        <v>0</v>
      </c>
      <c r="Z25" s="63">
        <v>0</v>
      </c>
      <c r="AA25" s="78">
        <v>0</v>
      </c>
      <c r="AB25" s="78">
        <v>0</v>
      </c>
      <c r="AC25" s="78">
        <v>0</v>
      </c>
      <c r="AD25" s="78">
        <v>0</v>
      </c>
      <c r="AE25" s="48"/>
      <c r="AU25" s="62"/>
      <c r="BK25" s="62"/>
      <c r="CA25" s="44">
        <v>1000</v>
      </c>
      <c r="CB25" s="44">
        <v>1000</v>
      </c>
      <c r="CC25" s="44">
        <v>0</v>
      </c>
      <c r="CD25" s="44">
        <v>1</v>
      </c>
      <c r="CE25" s="44">
        <v>0</v>
      </c>
      <c r="CF25" s="44">
        <v>0</v>
      </c>
      <c r="CG25" s="44">
        <v>0</v>
      </c>
      <c r="CH25" s="44">
        <v>1</v>
      </c>
      <c r="CI25" s="44">
        <v>1</v>
      </c>
      <c r="CK25" s="44">
        <v>0</v>
      </c>
      <c r="CL25" s="44">
        <v>0</v>
      </c>
      <c r="CM25" s="44">
        <v>0</v>
      </c>
      <c r="CN25" s="44">
        <v>0</v>
      </c>
      <c r="CO25" s="44">
        <v>0</v>
      </c>
      <c r="CP25" s="44">
        <v>0</v>
      </c>
      <c r="CQ25" s="44">
        <v>1</v>
      </c>
      <c r="CR25" s="44">
        <v>0</v>
      </c>
      <c r="CV25" s="44">
        <v>0</v>
      </c>
      <c r="CW25" s="44">
        <v>0</v>
      </c>
    </row>
    <row r="26" s="44" customFormat="1" customHeight="1" spans="1:101">
      <c r="A26" s="81">
        <v>11002</v>
      </c>
      <c r="B26" s="81" t="s">
        <v>133</v>
      </c>
      <c r="H26" s="44" t="s">
        <v>134</v>
      </c>
      <c r="O26" s="77">
        <v>0</v>
      </c>
      <c r="P26" s="77">
        <v>1</v>
      </c>
      <c r="Q26" s="77">
        <v>0</v>
      </c>
      <c r="R26" s="77">
        <v>0</v>
      </c>
      <c r="S26" s="64">
        <v>0</v>
      </c>
      <c r="T26" s="64">
        <v>0</v>
      </c>
      <c r="U26" s="64">
        <v>0</v>
      </c>
      <c r="V26" s="64">
        <v>0</v>
      </c>
      <c r="W26" s="63">
        <v>0</v>
      </c>
      <c r="X26" s="63">
        <v>0</v>
      </c>
      <c r="Y26" s="63">
        <v>0</v>
      </c>
      <c r="Z26" s="63">
        <v>0</v>
      </c>
      <c r="AA26" s="78">
        <v>0</v>
      </c>
      <c r="AB26" s="78">
        <v>0</v>
      </c>
      <c r="AC26" s="78">
        <v>0</v>
      </c>
      <c r="AD26" s="78">
        <v>0</v>
      </c>
      <c r="AE26" s="48"/>
      <c r="AU26" s="62"/>
      <c r="BK26" s="62"/>
      <c r="CA26" s="44">
        <v>1000</v>
      </c>
      <c r="CB26" s="44">
        <v>1000</v>
      </c>
      <c r="CC26" s="44">
        <v>0</v>
      </c>
      <c r="CD26" s="44">
        <v>1</v>
      </c>
      <c r="CE26" s="44">
        <v>0</v>
      </c>
      <c r="CF26" s="44">
        <v>0</v>
      </c>
      <c r="CG26" s="44">
        <v>0</v>
      </c>
      <c r="CH26" s="44">
        <v>1</v>
      </c>
      <c r="CI26" s="44">
        <v>1</v>
      </c>
      <c r="CK26" s="44">
        <v>0</v>
      </c>
      <c r="CL26" s="44">
        <v>0</v>
      </c>
      <c r="CM26" s="44">
        <v>0</v>
      </c>
      <c r="CN26" s="44">
        <v>0</v>
      </c>
      <c r="CO26" s="44">
        <v>0</v>
      </c>
      <c r="CP26" s="44">
        <v>0</v>
      </c>
      <c r="CQ26" s="44">
        <v>1</v>
      </c>
      <c r="CR26" s="44">
        <v>0</v>
      </c>
      <c r="CV26" s="44">
        <v>0</v>
      </c>
      <c r="CW26" s="44">
        <v>0</v>
      </c>
    </row>
    <row r="27" s="44" customFormat="1" customHeight="1" spans="1:101">
      <c r="A27" s="81">
        <v>11003</v>
      </c>
      <c r="B27" s="81" t="s">
        <v>135</v>
      </c>
      <c r="H27" s="44" t="s">
        <v>132</v>
      </c>
      <c r="O27" s="77">
        <v>0</v>
      </c>
      <c r="P27" s="77">
        <v>1</v>
      </c>
      <c r="Q27" s="77">
        <v>0</v>
      </c>
      <c r="R27" s="77">
        <v>0</v>
      </c>
      <c r="S27" s="64">
        <v>0</v>
      </c>
      <c r="T27" s="64">
        <v>0</v>
      </c>
      <c r="U27" s="64">
        <v>0</v>
      </c>
      <c r="V27" s="64">
        <v>0</v>
      </c>
      <c r="W27" s="63">
        <v>0</v>
      </c>
      <c r="X27" s="63">
        <v>0</v>
      </c>
      <c r="Y27" s="63">
        <v>0</v>
      </c>
      <c r="Z27" s="63">
        <v>0</v>
      </c>
      <c r="AA27" s="78">
        <v>0</v>
      </c>
      <c r="AB27" s="78">
        <v>0</v>
      </c>
      <c r="AC27" s="78">
        <v>0</v>
      </c>
      <c r="AD27" s="78">
        <v>0</v>
      </c>
      <c r="AE27" s="48"/>
      <c r="AU27" s="62"/>
      <c r="BK27" s="62"/>
      <c r="CA27" s="44">
        <v>1000</v>
      </c>
      <c r="CB27" s="44">
        <v>1000</v>
      </c>
      <c r="CC27" s="44">
        <v>0</v>
      </c>
      <c r="CD27" s="44">
        <v>1</v>
      </c>
      <c r="CE27" s="44">
        <v>0</v>
      </c>
      <c r="CF27" s="44">
        <v>0</v>
      </c>
      <c r="CG27" s="44">
        <v>0</v>
      </c>
      <c r="CH27" s="44">
        <v>1</v>
      </c>
      <c r="CI27" s="44">
        <v>1</v>
      </c>
      <c r="CK27" s="44">
        <v>0</v>
      </c>
      <c r="CL27" s="44">
        <v>0</v>
      </c>
      <c r="CM27" s="44">
        <v>0</v>
      </c>
      <c r="CN27" s="44">
        <v>0</v>
      </c>
      <c r="CO27" s="44">
        <v>0</v>
      </c>
      <c r="CP27" s="44">
        <v>0</v>
      </c>
      <c r="CQ27" s="44">
        <v>1</v>
      </c>
      <c r="CR27" s="44">
        <v>0</v>
      </c>
      <c r="CV27" s="44">
        <v>0</v>
      </c>
      <c r="CW27" s="44">
        <v>0</v>
      </c>
    </row>
    <row r="28" s="44" customFormat="1" customHeight="1" spans="1:101">
      <c r="A28" s="81">
        <v>11004</v>
      </c>
      <c r="B28" s="81" t="s">
        <v>136</v>
      </c>
      <c r="H28" s="44" t="s">
        <v>134</v>
      </c>
      <c r="O28" s="77">
        <v>0</v>
      </c>
      <c r="P28" s="77">
        <v>1</v>
      </c>
      <c r="Q28" s="77">
        <v>0</v>
      </c>
      <c r="R28" s="77">
        <v>0</v>
      </c>
      <c r="S28" s="64">
        <v>0</v>
      </c>
      <c r="T28" s="64">
        <v>0</v>
      </c>
      <c r="U28" s="64">
        <v>0</v>
      </c>
      <c r="V28" s="64">
        <v>0</v>
      </c>
      <c r="W28" s="63">
        <v>0</v>
      </c>
      <c r="X28" s="63">
        <v>0</v>
      </c>
      <c r="Y28" s="63">
        <v>0</v>
      </c>
      <c r="Z28" s="63">
        <v>0</v>
      </c>
      <c r="AA28" s="78">
        <v>0</v>
      </c>
      <c r="AB28" s="78">
        <v>0</v>
      </c>
      <c r="AC28" s="78">
        <v>0</v>
      </c>
      <c r="AD28" s="78">
        <v>0</v>
      </c>
      <c r="AE28" s="48"/>
      <c r="AU28" s="62"/>
      <c r="BK28" s="62"/>
      <c r="CA28" s="44">
        <v>1000</v>
      </c>
      <c r="CB28" s="44">
        <v>1000</v>
      </c>
      <c r="CC28" s="44">
        <v>0</v>
      </c>
      <c r="CD28" s="44">
        <v>1</v>
      </c>
      <c r="CE28" s="44">
        <v>0</v>
      </c>
      <c r="CF28" s="44">
        <v>0</v>
      </c>
      <c r="CG28" s="44">
        <v>0</v>
      </c>
      <c r="CH28" s="44">
        <v>1</v>
      </c>
      <c r="CI28" s="44">
        <v>1</v>
      </c>
      <c r="CK28" s="44">
        <v>0</v>
      </c>
      <c r="CL28" s="44">
        <v>0</v>
      </c>
      <c r="CM28" s="44">
        <v>0</v>
      </c>
      <c r="CN28" s="44">
        <v>0</v>
      </c>
      <c r="CO28" s="44">
        <v>0</v>
      </c>
      <c r="CP28" s="44">
        <v>0</v>
      </c>
      <c r="CQ28" s="44">
        <v>1</v>
      </c>
      <c r="CR28" s="44">
        <v>0</v>
      </c>
      <c r="CV28" s="44">
        <v>0</v>
      </c>
      <c r="CW28" s="44">
        <v>0</v>
      </c>
    </row>
    <row r="29" s="44" customFormat="1" customHeight="1" spans="1:101">
      <c r="A29" s="81">
        <v>11005</v>
      </c>
      <c r="B29" s="81" t="s">
        <v>137</v>
      </c>
      <c r="H29" s="44" t="s">
        <v>132</v>
      </c>
      <c r="K29" s="44">
        <v>200</v>
      </c>
      <c r="O29" s="77">
        <v>0</v>
      </c>
      <c r="P29" s="77">
        <v>1</v>
      </c>
      <c r="Q29" s="77">
        <v>0</v>
      </c>
      <c r="R29" s="77">
        <v>0</v>
      </c>
      <c r="S29" s="64">
        <v>0</v>
      </c>
      <c r="T29" s="64">
        <v>0</v>
      </c>
      <c r="U29" s="64">
        <v>0</v>
      </c>
      <c r="V29" s="64">
        <v>0</v>
      </c>
      <c r="W29" s="63">
        <v>0</v>
      </c>
      <c r="X29" s="63">
        <v>0</v>
      </c>
      <c r="Y29" s="63">
        <v>0</v>
      </c>
      <c r="Z29" s="63">
        <v>0</v>
      </c>
      <c r="AA29" s="78">
        <v>0</v>
      </c>
      <c r="AB29" s="78">
        <v>0</v>
      </c>
      <c r="AC29" s="78">
        <v>0</v>
      </c>
      <c r="AD29" s="78">
        <v>0</v>
      </c>
      <c r="AE29" s="48">
        <v>200011</v>
      </c>
      <c r="AF29" s="44">
        <v>200032</v>
      </c>
      <c r="AG29" s="44">
        <v>334100</v>
      </c>
      <c r="AH29" s="44">
        <v>334101</v>
      </c>
      <c r="AU29" s="62">
        <v>1</v>
      </c>
      <c r="AV29" s="44">
        <v>1</v>
      </c>
      <c r="AW29" s="44">
        <v>1</v>
      </c>
      <c r="AX29" s="44">
        <v>1</v>
      </c>
      <c r="BK29" s="62">
        <v>200</v>
      </c>
      <c r="BL29" s="44">
        <v>50</v>
      </c>
      <c r="BM29" s="44">
        <v>100</v>
      </c>
      <c r="BN29" s="44">
        <v>100</v>
      </c>
      <c r="CA29" s="44">
        <v>1000</v>
      </c>
      <c r="CB29" s="44">
        <v>1000</v>
      </c>
      <c r="CC29" s="44">
        <v>0</v>
      </c>
      <c r="CD29" s="44">
        <v>1</v>
      </c>
      <c r="CE29" s="44">
        <v>0</v>
      </c>
      <c r="CF29" s="44">
        <v>0</v>
      </c>
      <c r="CG29" s="44">
        <v>0</v>
      </c>
      <c r="CH29" s="44">
        <v>0</v>
      </c>
      <c r="CI29" s="44">
        <v>1</v>
      </c>
      <c r="CK29" s="44">
        <v>0</v>
      </c>
      <c r="CL29" s="44">
        <v>0</v>
      </c>
      <c r="CM29" s="44">
        <v>0</v>
      </c>
      <c r="CN29" s="44">
        <v>0</v>
      </c>
      <c r="CO29" s="44">
        <v>0</v>
      </c>
      <c r="CP29" s="44">
        <v>0</v>
      </c>
      <c r="CQ29" s="44">
        <v>1</v>
      </c>
      <c r="CR29" s="44">
        <v>0</v>
      </c>
      <c r="CV29" s="44">
        <v>0</v>
      </c>
      <c r="CW29" s="44">
        <v>0</v>
      </c>
    </row>
    <row r="30" s="44" customFormat="1" customHeight="1" spans="1:101">
      <c r="A30" s="81">
        <v>11006</v>
      </c>
      <c r="B30" s="81" t="s">
        <v>138</v>
      </c>
      <c r="H30" s="44" t="s">
        <v>134</v>
      </c>
      <c r="K30" s="44">
        <v>500</v>
      </c>
      <c r="O30" s="77">
        <v>0</v>
      </c>
      <c r="P30" s="77">
        <v>1</v>
      </c>
      <c r="Q30" s="77">
        <v>0</v>
      </c>
      <c r="R30" s="77">
        <v>0</v>
      </c>
      <c r="S30" s="64">
        <v>0</v>
      </c>
      <c r="T30" s="64">
        <v>0</v>
      </c>
      <c r="U30" s="64">
        <v>0</v>
      </c>
      <c r="V30" s="64">
        <v>0</v>
      </c>
      <c r="W30" s="63">
        <v>0</v>
      </c>
      <c r="X30" s="63">
        <v>0</v>
      </c>
      <c r="Y30" s="63">
        <v>0</v>
      </c>
      <c r="Z30" s="63">
        <v>0</v>
      </c>
      <c r="AA30" s="78">
        <v>0</v>
      </c>
      <c r="AB30" s="78">
        <v>0</v>
      </c>
      <c r="AC30" s="78">
        <v>0</v>
      </c>
      <c r="AD30" s="78">
        <v>0</v>
      </c>
      <c r="AE30" s="48">
        <v>200011</v>
      </c>
      <c r="AF30" s="44">
        <v>200032</v>
      </c>
      <c r="AG30" s="44">
        <v>334100</v>
      </c>
      <c r="AH30" s="44">
        <v>334101</v>
      </c>
      <c r="AU30" s="62">
        <v>1</v>
      </c>
      <c r="AV30" s="44">
        <v>1</v>
      </c>
      <c r="AW30" s="44">
        <v>1</v>
      </c>
      <c r="AX30" s="44">
        <v>1</v>
      </c>
      <c r="BK30" s="62">
        <v>200</v>
      </c>
      <c r="BL30" s="44">
        <v>50</v>
      </c>
      <c r="BM30" s="44">
        <v>100</v>
      </c>
      <c r="BN30" s="44">
        <v>100</v>
      </c>
      <c r="CA30" s="44">
        <v>1000</v>
      </c>
      <c r="CB30" s="44">
        <v>1000</v>
      </c>
      <c r="CC30" s="44">
        <v>0</v>
      </c>
      <c r="CD30" s="44">
        <v>1</v>
      </c>
      <c r="CE30" s="44">
        <v>0</v>
      </c>
      <c r="CF30" s="44">
        <v>0</v>
      </c>
      <c r="CG30" s="44">
        <v>0</v>
      </c>
      <c r="CH30" s="44">
        <v>0</v>
      </c>
      <c r="CI30" s="44">
        <v>1</v>
      </c>
      <c r="CK30" s="44">
        <v>0</v>
      </c>
      <c r="CL30" s="44">
        <v>0</v>
      </c>
      <c r="CM30" s="44">
        <v>0</v>
      </c>
      <c r="CN30" s="44">
        <v>0</v>
      </c>
      <c r="CO30" s="44">
        <v>0</v>
      </c>
      <c r="CP30" s="44">
        <v>0</v>
      </c>
      <c r="CQ30" s="44">
        <v>1</v>
      </c>
      <c r="CR30" s="44">
        <v>0</v>
      </c>
      <c r="CV30" s="44">
        <v>0</v>
      </c>
      <c r="CW30" s="44">
        <v>0</v>
      </c>
    </row>
    <row r="31" s="44" customFormat="1" customHeight="1" spans="1:101">
      <c r="A31" s="81">
        <v>11007</v>
      </c>
      <c r="B31" s="81" t="s">
        <v>139</v>
      </c>
      <c r="H31" s="44" t="s">
        <v>132</v>
      </c>
      <c r="K31" s="44">
        <v>200</v>
      </c>
      <c r="O31" s="77">
        <v>0</v>
      </c>
      <c r="P31" s="77">
        <v>1</v>
      </c>
      <c r="Q31" s="77">
        <v>0</v>
      </c>
      <c r="R31" s="77">
        <v>0</v>
      </c>
      <c r="S31" s="64">
        <v>0</v>
      </c>
      <c r="T31" s="64">
        <v>0</v>
      </c>
      <c r="U31" s="64">
        <v>0</v>
      </c>
      <c r="V31" s="64">
        <v>0</v>
      </c>
      <c r="W31" s="63">
        <v>0</v>
      </c>
      <c r="X31" s="63">
        <v>0</v>
      </c>
      <c r="Y31" s="63">
        <v>0</v>
      </c>
      <c r="Z31" s="63">
        <v>0</v>
      </c>
      <c r="AA31" s="78">
        <v>0</v>
      </c>
      <c r="AB31" s="78">
        <v>0</v>
      </c>
      <c r="AC31" s="78">
        <v>0</v>
      </c>
      <c r="AD31" s="78">
        <v>0</v>
      </c>
      <c r="AE31" s="48">
        <v>200011</v>
      </c>
      <c r="AF31" s="44">
        <v>200033</v>
      </c>
      <c r="AG31" s="44">
        <v>334100</v>
      </c>
      <c r="AH31" s="44">
        <v>334101</v>
      </c>
      <c r="AU31" s="62">
        <v>1</v>
      </c>
      <c r="AV31" s="44">
        <v>1</v>
      </c>
      <c r="AW31" s="44">
        <v>1</v>
      </c>
      <c r="AX31" s="44">
        <v>1</v>
      </c>
      <c r="BK31" s="62">
        <v>200</v>
      </c>
      <c r="BL31" s="44">
        <v>50</v>
      </c>
      <c r="BM31" s="44">
        <v>100</v>
      </c>
      <c r="BN31" s="44">
        <v>100</v>
      </c>
      <c r="CA31" s="44">
        <v>1000</v>
      </c>
      <c r="CB31" s="44">
        <v>1000</v>
      </c>
      <c r="CC31" s="44">
        <v>0</v>
      </c>
      <c r="CD31" s="44">
        <v>1</v>
      </c>
      <c r="CE31" s="44">
        <v>0</v>
      </c>
      <c r="CF31" s="44">
        <v>0</v>
      </c>
      <c r="CG31" s="44">
        <v>0</v>
      </c>
      <c r="CH31" s="44">
        <v>0</v>
      </c>
      <c r="CI31" s="44">
        <v>1</v>
      </c>
      <c r="CK31" s="44">
        <v>0</v>
      </c>
      <c r="CL31" s="44">
        <v>0</v>
      </c>
      <c r="CM31" s="44">
        <v>0</v>
      </c>
      <c r="CN31" s="44">
        <v>0</v>
      </c>
      <c r="CO31" s="44">
        <v>0</v>
      </c>
      <c r="CP31" s="44">
        <v>0</v>
      </c>
      <c r="CQ31" s="44">
        <v>1</v>
      </c>
      <c r="CR31" s="44">
        <v>0</v>
      </c>
      <c r="CV31" s="44">
        <v>0</v>
      </c>
      <c r="CW31" s="44">
        <v>0</v>
      </c>
    </row>
    <row r="32" s="44" customFormat="1" customHeight="1" spans="1:101">
      <c r="A32" s="81">
        <v>11008</v>
      </c>
      <c r="B32" s="81" t="s">
        <v>140</v>
      </c>
      <c r="H32" s="44" t="s">
        <v>134</v>
      </c>
      <c r="K32" s="44">
        <v>500</v>
      </c>
      <c r="O32" s="77">
        <v>0</v>
      </c>
      <c r="P32" s="77">
        <v>1</v>
      </c>
      <c r="Q32" s="77">
        <v>0</v>
      </c>
      <c r="R32" s="77">
        <v>0</v>
      </c>
      <c r="S32" s="64">
        <v>0</v>
      </c>
      <c r="T32" s="64">
        <v>0</v>
      </c>
      <c r="U32" s="64">
        <v>0</v>
      </c>
      <c r="V32" s="64">
        <v>0</v>
      </c>
      <c r="W32" s="63">
        <v>0</v>
      </c>
      <c r="X32" s="63">
        <v>0</v>
      </c>
      <c r="Y32" s="63">
        <v>0</v>
      </c>
      <c r="Z32" s="63">
        <v>0</v>
      </c>
      <c r="AA32" s="78">
        <v>0</v>
      </c>
      <c r="AB32" s="78">
        <v>0</v>
      </c>
      <c r="AC32" s="78">
        <v>0</v>
      </c>
      <c r="AD32" s="78">
        <v>0</v>
      </c>
      <c r="AE32" s="48">
        <v>200011</v>
      </c>
      <c r="AF32" s="44">
        <v>200033</v>
      </c>
      <c r="AG32" s="44">
        <v>334100</v>
      </c>
      <c r="AH32" s="44">
        <v>334101</v>
      </c>
      <c r="AU32" s="62">
        <v>1</v>
      </c>
      <c r="AV32" s="44">
        <v>1</v>
      </c>
      <c r="AW32" s="44">
        <v>1</v>
      </c>
      <c r="AX32" s="44">
        <v>1</v>
      </c>
      <c r="BK32" s="62">
        <v>200</v>
      </c>
      <c r="BL32" s="44">
        <v>50</v>
      </c>
      <c r="BM32" s="44">
        <v>100</v>
      </c>
      <c r="BN32" s="44">
        <v>100</v>
      </c>
      <c r="CA32" s="44">
        <v>1000</v>
      </c>
      <c r="CB32" s="44">
        <v>1000</v>
      </c>
      <c r="CC32" s="44">
        <v>0</v>
      </c>
      <c r="CD32" s="44">
        <v>1</v>
      </c>
      <c r="CE32" s="44">
        <v>0</v>
      </c>
      <c r="CF32" s="44">
        <v>0</v>
      </c>
      <c r="CG32" s="44">
        <v>0</v>
      </c>
      <c r="CH32" s="44">
        <v>0</v>
      </c>
      <c r="CI32" s="44">
        <v>1</v>
      </c>
      <c r="CK32" s="44">
        <v>0</v>
      </c>
      <c r="CL32" s="44">
        <v>0</v>
      </c>
      <c r="CM32" s="44">
        <v>0</v>
      </c>
      <c r="CN32" s="44">
        <v>0</v>
      </c>
      <c r="CO32" s="44">
        <v>0</v>
      </c>
      <c r="CP32" s="44">
        <v>0</v>
      </c>
      <c r="CQ32" s="44">
        <v>1</v>
      </c>
      <c r="CR32" s="44">
        <v>0</v>
      </c>
      <c r="CV32" s="44">
        <v>0</v>
      </c>
      <c r="CW32" s="44">
        <v>0</v>
      </c>
    </row>
    <row r="33" s="44" customFormat="1" customHeight="1" spans="1:101">
      <c r="A33" s="81">
        <v>11009</v>
      </c>
      <c r="B33" s="81" t="s">
        <v>141</v>
      </c>
      <c r="O33" s="77">
        <v>0</v>
      </c>
      <c r="P33" s="77">
        <v>1</v>
      </c>
      <c r="Q33" s="77">
        <v>0</v>
      </c>
      <c r="R33" s="77">
        <v>0</v>
      </c>
      <c r="S33" s="64">
        <v>0</v>
      </c>
      <c r="T33" s="64">
        <v>0</v>
      </c>
      <c r="U33" s="64">
        <v>0</v>
      </c>
      <c r="V33" s="64">
        <v>0</v>
      </c>
      <c r="W33" s="63">
        <v>0</v>
      </c>
      <c r="X33" s="63">
        <v>0</v>
      </c>
      <c r="Y33" s="63">
        <v>0</v>
      </c>
      <c r="Z33" s="63">
        <v>0</v>
      </c>
      <c r="AA33" s="78">
        <v>0</v>
      </c>
      <c r="AB33" s="78">
        <v>0</v>
      </c>
      <c r="AC33" s="78">
        <v>0</v>
      </c>
      <c r="AD33" s="78">
        <v>0</v>
      </c>
      <c r="AE33" s="48">
        <v>200017</v>
      </c>
      <c r="AF33" s="44">
        <v>200020</v>
      </c>
      <c r="AU33" s="62">
        <v>1</v>
      </c>
      <c r="AV33" s="44">
        <v>1</v>
      </c>
      <c r="BK33" s="62">
        <v>1000</v>
      </c>
      <c r="BL33" s="44">
        <v>300</v>
      </c>
      <c r="CA33" s="44">
        <v>1000</v>
      </c>
      <c r="CB33" s="44">
        <v>1000</v>
      </c>
      <c r="CC33" s="44">
        <v>0</v>
      </c>
      <c r="CD33" s="44">
        <v>1</v>
      </c>
      <c r="CE33" s="44">
        <v>0</v>
      </c>
      <c r="CF33" s="44">
        <v>0</v>
      </c>
      <c r="CG33" s="44">
        <v>0</v>
      </c>
      <c r="CH33" s="44">
        <v>0</v>
      </c>
      <c r="CI33" s="44">
        <v>1</v>
      </c>
      <c r="CJ33" s="44">
        <v>1</v>
      </c>
      <c r="CK33" s="44">
        <v>0</v>
      </c>
      <c r="CL33" s="44">
        <v>0</v>
      </c>
      <c r="CM33" s="44">
        <v>0</v>
      </c>
      <c r="CN33" s="44">
        <v>0</v>
      </c>
      <c r="CO33" s="44">
        <v>0</v>
      </c>
      <c r="CP33" s="44">
        <v>0</v>
      </c>
      <c r="CQ33" s="44">
        <v>1</v>
      </c>
      <c r="CR33" s="44">
        <v>0</v>
      </c>
      <c r="CS33" s="44">
        <v>1000</v>
      </c>
      <c r="CV33" s="44">
        <v>0</v>
      </c>
      <c r="CW33" s="44">
        <v>0</v>
      </c>
    </row>
    <row r="34" s="44" customFormat="1" customHeight="1" spans="1:101">
      <c r="A34" s="81">
        <v>11010</v>
      </c>
      <c r="B34" s="81" t="s">
        <v>142</v>
      </c>
      <c r="O34" s="77">
        <v>0</v>
      </c>
      <c r="P34" s="77">
        <v>1</v>
      </c>
      <c r="Q34" s="77">
        <v>0</v>
      </c>
      <c r="R34" s="77">
        <v>0</v>
      </c>
      <c r="S34" s="64">
        <v>0</v>
      </c>
      <c r="T34" s="64">
        <v>0</v>
      </c>
      <c r="U34" s="64">
        <v>0</v>
      </c>
      <c r="V34" s="64">
        <v>0</v>
      </c>
      <c r="W34" s="63">
        <v>0</v>
      </c>
      <c r="X34" s="63">
        <v>0</v>
      </c>
      <c r="Y34" s="63">
        <v>0</v>
      </c>
      <c r="Z34" s="63">
        <v>0</v>
      </c>
      <c r="AA34" s="78">
        <v>0</v>
      </c>
      <c r="AB34" s="78">
        <v>0</v>
      </c>
      <c r="AC34" s="78">
        <v>0</v>
      </c>
      <c r="AD34" s="78">
        <v>0</v>
      </c>
      <c r="AE34" s="48">
        <v>200025</v>
      </c>
      <c r="AF34" s="44">
        <v>200026</v>
      </c>
      <c r="AU34" s="62">
        <v>1</v>
      </c>
      <c r="AV34" s="44">
        <v>1</v>
      </c>
      <c r="BK34" s="62">
        <v>1000</v>
      </c>
      <c r="BL34" s="44">
        <v>600</v>
      </c>
      <c r="CA34" s="44">
        <v>1000</v>
      </c>
      <c r="CB34" s="44">
        <v>1000</v>
      </c>
      <c r="CC34" s="44">
        <v>0</v>
      </c>
      <c r="CD34" s="44">
        <v>1</v>
      </c>
      <c r="CE34" s="44">
        <v>0</v>
      </c>
      <c r="CF34" s="44">
        <v>0</v>
      </c>
      <c r="CG34" s="44">
        <v>0</v>
      </c>
      <c r="CH34" s="44">
        <v>0</v>
      </c>
      <c r="CI34" s="44">
        <v>1</v>
      </c>
      <c r="CJ34" s="44">
        <v>1</v>
      </c>
      <c r="CK34" s="44">
        <v>0</v>
      </c>
      <c r="CL34" s="44">
        <v>0</v>
      </c>
      <c r="CM34" s="44">
        <v>0</v>
      </c>
      <c r="CN34" s="44">
        <v>0</v>
      </c>
      <c r="CO34" s="44">
        <v>0</v>
      </c>
      <c r="CP34" s="44">
        <v>0</v>
      </c>
      <c r="CQ34" s="44">
        <v>1</v>
      </c>
      <c r="CR34" s="44">
        <v>0</v>
      </c>
      <c r="CS34" s="44">
        <v>1000</v>
      </c>
      <c r="CV34" s="44">
        <v>0</v>
      </c>
      <c r="CW34" s="44">
        <v>0</v>
      </c>
    </row>
    <row r="35" s="44" customFormat="1" customHeight="1" spans="1:101">
      <c r="A35" s="81">
        <v>11011</v>
      </c>
      <c r="B35" s="81" t="s">
        <v>143</v>
      </c>
      <c r="O35" s="77">
        <v>0</v>
      </c>
      <c r="P35" s="77">
        <v>1</v>
      </c>
      <c r="Q35" s="77">
        <v>0</v>
      </c>
      <c r="R35" s="77">
        <v>0</v>
      </c>
      <c r="S35" s="64">
        <v>0</v>
      </c>
      <c r="T35" s="64">
        <v>0</v>
      </c>
      <c r="U35" s="64">
        <v>0</v>
      </c>
      <c r="V35" s="64">
        <v>0</v>
      </c>
      <c r="W35" s="63">
        <v>0</v>
      </c>
      <c r="X35" s="63">
        <v>0</v>
      </c>
      <c r="Y35" s="63">
        <v>0</v>
      </c>
      <c r="Z35" s="63">
        <v>0</v>
      </c>
      <c r="AA35" s="78">
        <v>0</v>
      </c>
      <c r="AB35" s="78">
        <v>0</v>
      </c>
      <c r="AC35" s="78">
        <v>0</v>
      </c>
      <c r="AD35" s="78">
        <v>0</v>
      </c>
      <c r="AE35" s="48">
        <v>200025</v>
      </c>
      <c r="AF35" s="44">
        <v>200027</v>
      </c>
      <c r="AU35" s="62">
        <v>1</v>
      </c>
      <c r="AV35" s="44">
        <v>1</v>
      </c>
      <c r="BK35" s="62">
        <v>1000</v>
      </c>
      <c r="BL35" s="44">
        <v>650</v>
      </c>
      <c r="CA35" s="44">
        <v>1000</v>
      </c>
      <c r="CB35" s="44">
        <v>1000</v>
      </c>
      <c r="CC35" s="44">
        <v>0</v>
      </c>
      <c r="CD35" s="44">
        <v>1</v>
      </c>
      <c r="CE35" s="44">
        <v>0</v>
      </c>
      <c r="CF35" s="44">
        <v>0</v>
      </c>
      <c r="CG35" s="44">
        <v>0</v>
      </c>
      <c r="CH35" s="44">
        <v>0</v>
      </c>
      <c r="CI35" s="44">
        <v>1</v>
      </c>
      <c r="CJ35" s="44">
        <v>1</v>
      </c>
      <c r="CK35" s="44">
        <v>0</v>
      </c>
      <c r="CL35" s="44">
        <v>0</v>
      </c>
      <c r="CM35" s="44">
        <v>0</v>
      </c>
      <c r="CN35" s="44">
        <v>0</v>
      </c>
      <c r="CO35" s="44">
        <v>0</v>
      </c>
      <c r="CP35" s="44">
        <v>0</v>
      </c>
      <c r="CQ35" s="44">
        <v>1</v>
      </c>
      <c r="CR35" s="44">
        <v>0</v>
      </c>
      <c r="CS35" s="44">
        <v>1000</v>
      </c>
      <c r="CV35" s="44">
        <v>0</v>
      </c>
      <c r="CW35" s="44">
        <v>0</v>
      </c>
    </row>
    <row r="36" s="44" customFormat="1" customHeight="1" spans="1:101">
      <c r="A36" s="81">
        <v>11012</v>
      </c>
      <c r="B36" s="81" t="s">
        <v>144</v>
      </c>
      <c r="O36" s="77">
        <v>0</v>
      </c>
      <c r="P36" s="77">
        <v>1</v>
      </c>
      <c r="Q36" s="77">
        <v>0</v>
      </c>
      <c r="R36" s="77">
        <v>0</v>
      </c>
      <c r="S36" s="64">
        <v>0</v>
      </c>
      <c r="T36" s="64">
        <v>0</v>
      </c>
      <c r="U36" s="64">
        <v>0</v>
      </c>
      <c r="V36" s="64">
        <v>0</v>
      </c>
      <c r="W36" s="63">
        <v>0</v>
      </c>
      <c r="X36" s="63">
        <v>0</v>
      </c>
      <c r="Y36" s="63">
        <v>0</v>
      </c>
      <c r="Z36" s="63">
        <v>0</v>
      </c>
      <c r="AA36" s="78">
        <v>0</v>
      </c>
      <c r="AB36" s="78">
        <v>0</v>
      </c>
      <c r="AC36" s="78">
        <v>0</v>
      </c>
      <c r="AD36" s="78">
        <v>0</v>
      </c>
      <c r="AE36" s="48">
        <v>200017</v>
      </c>
      <c r="AF36" s="44">
        <v>200020</v>
      </c>
      <c r="AU36" s="62">
        <v>1</v>
      </c>
      <c r="AV36" s="44">
        <v>1</v>
      </c>
      <c r="BK36" s="62">
        <v>1000</v>
      </c>
      <c r="BL36" s="44">
        <v>300</v>
      </c>
      <c r="CA36" s="44">
        <v>1000</v>
      </c>
      <c r="CB36" s="44">
        <v>1000</v>
      </c>
      <c r="CC36" s="44">
        <v>0</v>
      </c>
      <c r="CD36" s="44">
        <v>1</v>
      </c>
      <c r="CE36" s="44">
        <v>0</v>
      </c>
      <c r="CF36" s="44">
        <v>0</v>
      </c>
      <c r="CG36" s="44">
        <v>0</v>
      </c>
      <c r="CH36" s="44">
        <v>0</v>
      </c>
      <c r="CI36" s="44">
        <v>1</v>
      </c>
      <c r="CJ36" s="44">
        <v>1</v>
      </c>
      <c r="CK36" s="44">
        <v>0</v>
      </c>
      <c r="CL36" s="44">
        <v>0</v>
      </c>
      <c r="CM36" s="44">
        <v>0</v>
      </c>
      <c r="CN36" s="44">
        <v>0</v>
      </c>
      <c r="CO36" s="44">
        <v>0</v>
      </c>
      <c r="CP36" s="44">
        <v>0</v>
      </c>
      <c r="CQ36" s="44">
        <v>1</v>
      </c>
      <c r="CR36" s="44">
        <v>0</v>
      </c>
      <c r="CS36" s="44">
        <v>1000</v>
      </c>
      <c r="CV36" s="44">
        <v>0</v>
      </c>
      <c r="CW36" s="44">
        <v>0</v>
      </c>
    </row>
    <row r="37" s="44" customFormat="1" customHeight="1" spans="1:101">
      <c r="A37" s="81">
        <v>11013</v>
      </c>
      <c r="B37" s="81" t="s">
        <v>145</v>
      </c>
      <c r="O37" s="77">
        <v>0</v>
      </c>
      <c r="P37" s="77">
        <v>1</v>
      </c>
      <c r="Q37" s="77">
        <v>0</v>
      </c>
      <c r="R37" s="77">
        <v>0</v>
      </c>
      <c r="S37" s="64">
        <v>0</v>
      </c>
      <c r="T37" s="64">
        <v>0</v>
      </c>
      <c r="U37" s="64">
        <v>0</v>
      </c>
      <c r="V37" s="64">
        <v>0</v>
      </c>
      <c r="W37" s="63">
        <v>0</v>
      </c>
      <c r="X37" s="63">
        <v>0</v>
      </c>
      <c r="Y37" s="63">
        <v>0</v>
      </c>
      <c r="Z37" s="63">
        <v>0</v>
      </c>
      <c r="AA37" s="78">
        <v>0</v>
      </c>
      <c r="AB37" s="78">
        <v>0</v>
      </c>
      <c r="AC37" s="78">
        <v>0</v>
      </c>
      <c r="AD37" s="78">
        <v>0</v>
      </c>
      <c r="AE37" s="48">
        <v>200025</v>
      </c>
      <c r="AF37" s="44">
        <v>200026</v>
      </c>
      <c r="AU37" s="62">
        <v>1</v>
      </c>
      <c r="AV37" s="44">
        <v>1</v>
      </c>
      <c r="BK37" s="62">
        <v>1000</v>
      </c>
      <c r="BL37" s="44">
        <v>600</v>
      </c>
      <c r="CA37" s="44">
        <v>1000</v>
      </c>
      <c r="CB37" s="44">
        <v>1000</v>
      </c>
      <c r="CC37" s="44">
        <v>0</v>
      </c>
      <c r="CD37" s="44">
        <v>1</v>
      </c>
      <c r="CE37" s="44">
        <v>0</v>
      </c>
      <c r="CF37" s="44">
        <v>0</v>
      </c>
      <c r="CG37" s="44">
        <v>0</v>
      </c>
      <c r="CH37" s="44">
        <v>0</v>
      </c>
      <c r="CI37" s="44">
        <v>1</v>
      </c>
      <c r="CJ37" s="44">
        <v>1</v>
      </c>
      <c r="CK37" s="44">
        <v>0</v>
      </c>
      <c r="CL37" s="44">
        <v>0</v>
      </c>
      <c r="CM37" s="44">
        <v>0</v>
      </c>
      <c r="CN37" s="44">
        <v>0</v>
      </c>
      <c r="CO37" s="44">
        <v>0</v>
      </c>
      <c r="CP37" s="44">
        <v>0</v>
      </c>
      <c r="CQ37" s="44">
        <v>1</v>
      </c>
      <c r="CR37" s="44">
        <v>0</v>
      </c>
      <c r="CS37" s="44">
        <v>1000</v>
      </c>
      <c r="CV37" s="44">
        <v>0</v>
      </c>
      <c r="CW37" s="44">
        <v>0</v>
      </c>
    </row>
    <row r="38" s="44" customFormat="1" customHeight="1" spans="1:101">
      <c r="A38" s="81">
        <v>11014</v>
      </c>
      <c r="B38" s="81" t="s">
        <v>146</v>
      </c>
      <c r="O38" s="77">
        <v>0</v>
      </c>
      <c r="P38" s="77">
        <v>1</v>
      </c>
      <c r="Q38" s="77">
        <v>0</v>
      </c>
      <c r="R38" s="77">
        <v>0</v>
      </c>
      <c r="S38" s="64">
        <v>0</v>
      </c>
      <c r="T38" s="64">
        <v>0</v>
      </c>
      <c r="U38" s="64">
        <v>0</v>
      </c>
      <c r="V38" s="64">
        <v>0</v>
      </c>
      <c r="W38" s="63">
        <v>0</v>
      </c>
      <c r="X38" s="63">
        <v>0</v>
      </c>
      <c r="Y38" s="63">
        <v>0</v>
      </c>
      <c r="Z38" s="63">
        <v>0</v>
      </c>
      <c r="AA38" s="78">
        <v>0</v>
      </c>
      <c r="AB38" s="78">
        <v>0</v>
      </c>
      <c r="AC38" s="78">
        <v>0</v>
      </c>
      <c r="AD38" s="78">
        <v>0</v>
      </c>
      <c r="AE38" s="48">
        <v>200025</v>
      </c>
      <c r="AF38" s="44">
        <v>200027</v>
      </c>
      <c r="AU38" s="62">
        <v>1</v>
      </c>
      <c r="AV38" s="44">
        <v>1</v>
      </c>
      <c r="BK38" s="62">
        <v>1000</v>
      </c>
      <c r="BL38" s="44">
        <v>650</v>
      </c>
      <c r="CA38" s="44">
        <v>1000</v>
      </c>
      <c r="CB38" s="44">
        <v>1000</v>
      </c>
      <c r="CC38" s="44">
        <v>0</v>
      </c>
      <c r="CD38" s="44">
        <v>1</v>
      </c>
      <c r="CE38" s="44">
        <v>0</v>
      </c>
      <c r="CF38" s="44">
        <v>0</v>
      </c>
      <c r="CG38" s="44">
        <v>0</v>
      </c>
      <c r="CH38" s="44">
        <v>0</v>
      </c>
      <c r="CI38" s="44">
        <v>1</v>
      </c>
      <c r="CJ38" s="44">
        <v>1</v>
      </c>
      <c r="CK38" s="44">
        <v>0</v>
      </c>
      <c r="CL38" s="44">
        <v>0</v>
      </c>
      <c r="CM38" s="44">
        <v>0</v>
      </c>
      <c r="CN38" s="44">
        <v>0</v>
      </c>
      <c r="CO38" s="44">
        <v>0</v>
      </c>
      <c r="CP38" s="44">
        <v>0</v>
      </c>
      <c r="CQ38" s="44">
        <v>1</v>
      </c>
      <c r="CR38" s="44">
        <v>0</v>
      </c>
      <c r="CS38" s="44">
        <v>1000</v>
      </c>
      <c r="CV38" s="44">
        <v>0</v>
      </c>
      <c r="CW38" s="44">
        <v>0</v>
      </c>
    </row>
    <row r="39" s="44" customFormat="1" customHeight="1" spans="1:101">
      <c r="A39" s="81">
        <v>11015</v>
      </c>
      <c r="B39" s="81" t="s">
        <v>147</v>
      </c>
      <c r="O39" s="77">
        <v>0</v>
      </c>
      <c r="P39" s="77">
        <v>1</v>
      </c>
      <c r="Q39" s="77">
        <v>0</v>
      </c>
      <c r="R39" s="77">
        <v>0</v>
      </c>
      <c r="S39" s="64">
        <v>0</v>
      </c>
      <c r="T39" s="64">
        <v>0</v>
      </c>
      <c r="U39" s="64">
        <v>0</v>
      </c>
      <c r="V39" s="64">
        <v>0</v>
      </c>
      <c r="W39" s="63">
        <v>0</v>
      </c>
      <c r="X39" s="63">
        <v>0</v>
      </c>
      <c r="Y39" s="63">
        <v>0</v>
      </c>
      <c r="Z39" s="63">
        <v>0</v>
      </c>
      <c r="AA39" s="78">
        <v>0</v>
      </c>
      <c r="AB39" s="78">
        <v>0</v>
      </c>
      <c r="AC39" s="78">
        <v>0</v>
      </c>
      <c r="AD39" s="78">
        <v>0</v>
      </c>
      <c r="AE39" s="48">
        <v>200030</v>
      </c>
      <c r="AF39" s="44">
        <v>200031</v>
      </c>
      <c r="AU39" s="62">
        <v>1</v>
      </c>
      <c r="AV39" s="44">
        <v>1</v>
      </c>
      <c r="BK39" s="62">
        <v>400</v>
      </c>
      <c r="BL39" s="44">
        <v>200</v>
      </c>
      <c r="CA39" s="44">
        <v>1000</v>
      </c>
      <c r="CB39" s="44">
        <v>1000</v>
      </c>
      <c r="CC39" s="44">
        <v>0</v>
      </c>
      <c r="CD39" s="44">
        <v>1</v>
      </c>
      <c r="CE39" s="44">
        <v>0</v>
      </c>
      <c r="CF39" s="44">
        <v>0</v>
      </c>
      <c r="CG39" s="44">
        <v>0</v>
      </c>
      <c r="CH39" s="44">
        <v>0</v>
      </c>
      <c r="CI39" s="44">
        <v>1</v>
      </c>
      <c r="CJ39" s="44">
        <v>1</v>
      </c>
      <c r="CK39" s="44">
        <v>0</v>
      </c>
      <c r="CL39" s="44">
        <v>0</v>
      </c>
      <c r="CM39" s="44">
        <v>0</v>
      </c>
      <c r="CN39" s="44">
        <v>0</v>
      </c>
      <c r="CO39" s="44">
        <v>0</v>
      </c>
      <c r="CP39" s="44">
        <v>0</v>
      </c>
      <c r="CQ39" s="44">
        <v>1</v>
      </c>
      <c r="CR39" s="44">
        <v>0</v>
      </c>
      <c r="CS39" s="44">
        <v>1000</v>
      </c>
      <c r="CV39" s="44">
        <v>0</v>
      </c>
      <c r="CW39" s="44">
        <v>0</v>
      </c>
    </row>
    <row r="40" s="44" customFormat="1" customHeight="1" spans="1:101">
      <c r="A40" s="81">
        <v>11016</v>
      </c>
      <c r="B40" s="81" t="s">
        <v>148</v>
      </c>
      <c r="O40" s="77">
        <v>0</v>
      </c>
      <c r="P40" s="77">
        <v>1</v>
      </c>
      <c r="Q40" s="77">
        <v>0</v>
      </c>
      <c r="R40" s="77">
        <v>0</v>
      </c>
      <c r="S40" s="64">
        <v>0</v>
      </c>
      <c r="T40" s="64">
        <v>0</v>
      </c>
      <c r="U40" s="64">
        <v>0</v>
      </c>
      <c r="V40" s="64">
        <v>0</v>
      </c>
      <c r="W40" s="63">
        <v>0</v>
      </c>
      <c r="X40" s="63">
        <v>0</v>
      </c>
      <c r="Y40" s="63">
        <v>0</v>
      </c>
      <c r="Z40" s="63">
        <v>0</v>
      </c>
      <c r="AA40" s="78">
        <v>0</v>
      </c>
      <c r="AB40" s="78">
        <v>0</v>
      </c>
      <c r="AC40" s="78">
        <v>0</v>
      </c>
      <c r="AD40" s="78">
        <v>0</v>
      </c>
      <c r="AE40" s="48">
        <v>200030</v>
      </c>
      <c r="AF40" s="44">
        <v>200031</v>
      </c>
      <c r="AU40" s="62">
        <v>1</v>
      </c>
      <c r="AV40" s="44">
        <v>1</v>
      </c>
      <c r="BK40" s="62">
        <v>400</v>
      </c>
      <c r="BL40" s="44">
        <v>200</v>
      </c>
      <c r="CA40" s="44">
        <v>1000</v>
      </c>
      <c r="CB40" s="44">
        <v>1000</v>
      </c>
      <c r="CC40" s="44">
        <v>0</v>
      </c>
      <c r="CD40" s="44">
        <v>1</v>
      </c>
      <c r="CE40" s="44">
        <v>0</v>
      </c>
      <c r="CF40" s="44">
        <v>0</v>
      </c>
      <c r="CG40" s="44">
        <v>0</v>
      </c>
      <c r="CH40" s="44">
        <v>0</v>
      </c>
      <c r="CI40" s="44">
        <v>1</v>
      </c>
      <c r="CJ40" s="44">
        <v>1</v>
      </c>
      <c r="CK40" s="44">
        <v>0</v>
      </c>
      <c r="CL40" s="44">
        <v>0</v>
      </c>
      <c r="CM40" s="44">
        <v>0</v>
      </c>
      <c r="CN40" s="44">
        <v>0</v>
      </c>
      <c r="CO40" s="44">
        <v>0</v>
      </c>
      <c r="CP40" s="44">
        <v>0</v>
      </c>
      <c r="CQ40" s="44">
        <v>1</v>
      </c>
      <c r="CR40" s="44">
        <v>0</v>
      </c>
      <c r="CS40" s="44">
        <v>1000</v>
      </c>
      <c r="CV40" s="44">
        <v>0</v>
      </c>
      <c r="CW40" s="44">
        <v>0</v>
      </c>
    </row>
    <row r="41" s="44" customFormat="1" customHeight="1" spans="1:101">
      <c r="A41" s="44">
        <v>11017</v>
      </c>
      <c r="B41" s="44" t="s">
        <v>149</v>
      </c>
      <c r="O41" s="77">
        <v>0</v>
      </c>
      <c r="P41" s="77">
        <v>1</v>
      </c>
      <c r="Q41" s="77">
        <v>0</v>
      </c>
      <c r="R41" s="77">
        <v>0</v>
      </c>
      <c r="S41" s="64">
        <v>0</v>
      </c>
      <c r="T41" s="64">
        <v>0</v>
      </c>
      <c r="U41" s="64">
        <v>0</v>
      </c>
      <c r="V41" s="64">
        <v>0</v>
      </c>
      <c r="W41" s="63">
        <v>0</v>
      </c>
      <c r="X41" s="63">
        <v>0</v>
      </c>
      <c r="Y41" s="63">
        <v>0</v>
      </c>
      <c r="Z41" s="63">
        <v>0</v>
      </c>
      <c r="AA41" s="78">
        <v>0</v>
      </c>
      <c r="AB41" s="78">
        <v>0</v>
      </c>
      <c r="AC41" s="78">
        <v>0</v>
      </c>
      <c r="AD41" s="78">
        <v>0</v>
      </c>
      <c r="AE41" s="48">
        <v>200011</v>
      </c>
      <c r="AF41" s="44">
        <v>200032</v>
      </c>
      <c r="AG41" s="44">
        <v>360000</v>
      </c>
      <c r="AH41" s="44">
        <v>32037</v>
      </c>
      <c r="AI41" s="44">
        <v>32038</v>
      </c>
      <c r="AU41" s="62">
        <v>1</v>
      </c>
      <c r="AV41" s="44">
        <v>1</v>
      </c>
      <c r="AW41" s="44">
        <v>1</v>
      </c>
      <c r="AX41" s="44">
        <v>1</v>
      </c>
      <c r="AY41" s="44">
        <v>1</v>
      </c>
      <c r="BK41" s="62">
        <v>20</v>
      </c>
      <c r="BL41" s="44">
        <v>20</v>
      </c>
      <c r="BM41" s="44">
        <v>40</v>
      </c>
      <c r="BN41" s="44">
        <v>40</v>
      </c>
      <c r="BO41" s="44">
        <v>40</v>
      </c>
      <c r="CA41" s="44">
        <v>1000</v>
      </c>
      <c r="CB41" s="44">
        <v>160</v>
      </c>
      <c r="CC41" s="44">
        <v>0</v>
      </c>
      <c r="CD41" s="44">
        <v>1</v>
      </c>
      <c r="CE41" s="44">
        <v>0</v>
      </c>
      <c r="CF41" s="44">
        <v>0</v>
      </c>
      <c r="CG41" s="44">
        <v>0</v>
      </c>
      <c r="CH41" s="44">
        <v>0</v>
      </c>
      <c r="CI41" s="44">
        <v>1</v>
      </c>
      <c r="CK41" s="44">
        <v>0</v>
      </c>
      <c r="CL41" s="44">
        <v>0</v>
      </c>
      <c r="CM41" s="44">
        <v>0</v>
      </c>
      <c r="CN41" s="44">
        <v>0</v>
      </c>
      <c r="CO41" s="44">
        <v>0</v>
      </c>
      <c r="CP41" s="44">
        <v>0</v>
      </c>
      <c r="CQ41" s="44">
        <v>1</v>
      </c>
      <c r="CR41" s="44">
        <v>0</v>
      </c>
      <c r="CV41" s="44">
        <v>0</v>
      </c>
      <c r="CW41" s="44">
        <v>0</v>
      </c>
    </row>
    <row r="42" s="44" customFormat="1" customHeight="1" spans="1:101">
      <c r="A42" s="44">
        <v>11018</v>
      </c>
      <c r="B42" s="44" t="s">
        <v>150</v>
      </c>
      <c r="O42" s="77">
        <v>0</v>
      </c>
      <c r="P42" s="77">
        <v>1</v>
      </c>
      <c r="Q42" s="77">
        <v>0</v>
      </c>
      <c r="R42" s="77">
        <v>0</v>
      </c>
      <c r="S42" s="64">
        <v>0</v>
      </c>
      <c r="T42" s="64">
        <v>0</v>
      </c>
      <c r="U42" s="64">
        <v>0</v>
      </c>
      <c r="V42" s="64">
        <v>0</v>
      </c>
      <c r="W42" s="63">
        <v>0</v>
      </c>
      <c r="X42" s="63">
        <v>0</v>
      </c>
      <c r="Y42" s="63">
        <v>0</v>
      </c>
      <c r="Z42" s="63">
        <v>0</v>
      </c>
      <c r="AA42" s="78">
        <v>0</v>
      </c>
      <c r="AB42" s="78">
        <v>0</v>
      </c>
      <c r="AC42" s="78">
        <v>0</v>
      </c>
      <c r="AD42" s="78">
        <v>0</v>
      </c>
      <c r="AE42" s="48">
        <v>200011</v>
      </c>
      <c r="AF42" s="44">
        <v>200032</v>
      </c>
      <c r="AG42" s="44">
        <v>360000</v>
      </c>
      <c r="AH42" s="44">
        <v>32037</v>
      </c>
      <c r="AI42" s="44">
        <v>32038</v>
      </c>
      <c r="AJ42" s="44">
        <v>32014</v>
      </c>
      <c r="AK42" s="44">
        <v>32015</v>
      </c>
      <c r="AL42" s="44">
        <v>310100</v>
      </c>
      <c r="AM42" s="44">
        <v>310101</v>
      </c>
      <c r="AU42" s="62">
        <v>1</v>
      </c>
      <c r="AV42" s="44">
        <v>1</v>
      </c>
      <c r="AW42" s="44">
        <v>1</v>
      </c>
      <c r="AX42" s="44">
        <v>1</v>
      </c>
      <c r="AY42" s="44">
        <v>1</v>
      </c>
      <c r="AZ42" s="44">
        <v>1</v>
      </c>
      <c r="BA42" s="44">
        <v>1</v>
      </c>
      <c r="BB42" s="44">
        <v>1</v>
      </c>
      <c r="BC42" s="44">
        <v>1</v>
      </c>
      <c r="BK42" s="62">
        <v>20</v>
      </c>
      <c r="BL42" s="44">
        <v>20</v>
      </c>
      <c r="BM42" s="44">
        <v>40</v>
      </c>
      <c r="BN42" s="44">
        <v>30</v>
      </c>
      <c r="BO42" s="44">
        <v>30</v>
      </c>
      <c r="BP42" s="44">
        <v>14</v>
      </c>
      <c r="BQ42" s="44">
        <v>14</v>
      </c>
      <c r="BR42" s="44">
        <v>15</v>
      </c>
      <c r="BS42" s="44">
        <v>5</v>
      </c>
      <c r="CA42" s="44">
        <v>1000</v>
      </c>
      <c r="CB42" s="44">
        <v>200</v>
      </c>
      <c r="CC42" s="44">
        <v>0</v>
      </c>
      <c r="CD42" s="44">
        <v>1</v>
      </c>
      <c r="CE42" s="44">
        <v>0</v>
      </c>
      <c r="CF42" s="44">
        <v>0</v>
      </c>
      <c r="CG42" s="44">
        <v>0</v>
      </c>
      <c r="CH42" s="44">
        <v>0</v>
      </c>
      <c r="CI42" s="44">
        <v>1</v>
      </c>
      <c r="CK42" s="44">
        <v>0</v>
      </c>
      <c r="CL42" s="44">
        <v>0</v>
      </c>
      <c r="CM42" s="44">
        <v>0</v>
      </c>
      <c r="CN42" s="44">
        <v>0</v>
      </c>
      <c r="CO42" s="44">
        <v>0</v>
      </c>
      <c r="CP42" s="44">
        <v>0</v>
      </c>
      <c r="CQ42" s="44">
        <v>1</v>
      </c>
      <c r="CR42" s="44">
        <v>0</v>
      </c>
      <c r="CV42" s="44">
        <v>0</v>
      </c>
      <c r="CW42" s="44">
        <v>0</v>
      </c>
    </row>
    <row r="43" s="44" customFormat="1" customHeight="1" spans="1:101">
      <c r="A43" s="44">
        <v>11019</v>
      </c>
      <c r="B43" s="44" t="s">
        <v>151</v>
      </c>
      <c r="O43" s="77">
        <v>0</v>
      </c>
      <c r="P43" s="77">
        <v>1</v>
      </c>
      <c r="Q43" s="77">
        <v>0</v>
      </c>
      <c r="R43" s="77">
        <v>0</v>
      </c>
      <c r="S43" s="64">
        <v>0</v>
      </c>
      <c r="T43" s="64">
        <v>0</v>
      </c>
      <c r="U43" s="64">
        <v>0</v>
      </c>
      <c r="V43" s="64">
        <v>0</v>
      </c>
      <c r="W43" s="63">
        <v>0</v>
      </c>
      <c r="X43" s="63">
        <v>0</v>
      </c>
      <c r="Y43" s="63">
        <v>0</v>
      </c>
      <c r="Z43" s="63">
        <v>0</v>
      </c>
      <c r="AA43" s="78">
        <v>0</v>
      </c>
      <c r="AB43" s="78">
        <v>0</v>
      </c>
      <c r="AC43" s="78">
        <v>0</v>
      </c>
      <c r="AD43" s="78">
        <v>0</v>
      </c>
      <c r="AE43" s="48">
        <v>200011</v>
      </c>
      <c r="AF43" s="44">
        <v>200033</v>
      </c>
      <c r="AG43" s="44">
        <v>360000</v>
      </c>
      <c r="AH43" s="44">
        <v>32037</v>
      </c>
      <c r="AI43" s="44">
        <v>32038</v>
      </c>
      <c r="AU43" s="62">
        <v>1</v>
      </c>
      <c r="AV43" s="44">
        <v>1</v>
      </c>
      <c r="AW43" s="44">
        <v>1</v>
      </c>
      <c r="AX43" s="44">
        <v>1</v>
      </c>
      <c r="AY43" s="44">
        <v>1</v>
      </c>
      <c r="BK43" s="62">
        <v>20</v>
      </c>
      <c r="BL43" s="44">
        <v>20</v>
      </c>
      <c r="BM43" s="44">
        <v>40</v>
      </c>
      <c r="BN43" s="44">
        <v>40</v>
      </c>
      <c r="BO43" s="44">
        <v>40</v>
      </c>
      <c r="CA43" s="44">
        <v>1000</v>
      </c>
      <c r="CB43" s="44">
        <v>160</v>
      </c>
      <c r="CC43" s="44">
        <v>0</v>
      </c>
      <c r="CD43" s="44">
        <v>1</v>
      </c>
      <c r="CE43" s="44">
        <v>0</v>
      </c>
      <c r="CF43" s="44">
        <v>0</v>
      </c>
      <c r="CG43" s="44">
        <v>0</v>
      </c>
      <c r="CH43" s="44">
        <v>0</v>
      </c>
      <c r="CI43" s="44">
        <v>1</v>
      </c>
      <c r="CK43" s="44">
        <v>0</v>
      </c>
      <c r="CL43" s="44">
        <v>0</v>
      </c>
      <c r="CM43" s="44">
        <v>0</v>
      </c>
      <c r="CN43" s="44">
        <v>0</v>
      </c>
      <c r="CO43" s="44">
        <v>0</v>
      </c>
      <c r="CP43" s="44">
        <v>0</v>
      </c>
      <c r="CQ43" s="44">
        <v>1</v>
      </c>
      <c r="CR43" s="44">
        <v>0</v>
      </c>
      <c r="CV43" s="44">
        <v>0</v>
      </c>
      <c r="CW43" s="44">
        <v>0</v>
      </c>
    </row>
    <row r="44" s="44" customFormat="1" customHeight="1" spans="1:101">
      <c r="A44" s="44">
        <v>11020</v>
      </c>
      <c r="B44" s="44" t="s">
        <v>152</v>
      </c>
      <c r="O44" s="77">
        <v>0</v>
      </c>
      <c r="P44" s="77">
        <v>1</v>
      </c>
      <c r="Q44" s="77">
        <v>0</v>
      </c>
      <c r="R44" s="77">
        <v>0</v>
      </c>
      <c r="S44" s="64">
        <v>0</v>
      </c>
      <c r="T44" s="64">
        <v>0</v>
      </c>
      <c r="U44" s="64">
        <v>0</v>
      </c>
      <c r="V44" s="64">
        <v>0</v>
      </c>
      <c r="W44" s="63">
        <v>0</v>
      </c>
      <c r="X44" s="63">
        <v>0</v>
      </c>
      <c r="Y44" s="63">
        <v>0</v>
      </c>
      <c r="Z44" s="63">
        <v>0</v>
      </c>
      <c r="AA44" s="78">
        <v>0</v>
      </c>
      <c r="AB44" s="78">
        <v>0</v>
      </c>
      <c r="AC44" s="78">
        <v>0</v>
      </c>
      <c r="AD44" s="78">
        <v>0</v>
      </c>
      <c r="AE44" s="48">
        <v>200011</v>
      </c>
      <c r="AF44" s="44">
        <v>200033</v>
      </c>
      <c r="AG44" s="44">
        <v>360000</v>
      </c>
      <c r="AH44" s="44">
        <v>32037</v>
      </c>
      <c r="AI44" s="44">
        <v>32038</v>
      </c>
      <c r="AJ44" s="44">
        <v>32014</v>
      </c>
      <c r="AK44" s="44">
        <v>32015</v>
      </c>
      <c r="AL44" s="44">
        <v>310100</v>
      </c>
      <c r="AM44" s="44">
        <v>310101</v>
      </c>
      <c r="AU44" s="62">
        <v>1</v>
      </c>
      <c r="AV44" s="44">
        <v>1</v>
      </c>
      <c r="AW44" s="44">
        <v>1</v>
      </c>
      <c r="AX44" s="44">
        <v>1</v>
      </c>
      <c r="AY44" s="44">
        <v>1</v>
      </c>
      <c r="AZ44" s="44">
        <v>1</v>
      </c>
      <c r="BA44" s="44">
        <v>1</v>
      </c>
      <c r="BB44" s="44">
        <v>1</v>
      </c>
      <c r="BC44" s="44">
        <v>1</v>
      </c>
      <c r="BK44" s="62">
        <v>20</v>
      </c>
      <c r="BL44" s="44">
        <v>20</v>
      </c>
      <c r="BM44" s="44">
        <v>40</v>
      </c>
      <c r="BN44" s="44">
        <v>30</v>
      </c>
      <c r="BO44" s="44">
        <v>30</v>
      </c>
      <c r="BP44" s="44">
        <v>14</v>
      </c>
      <c r="BQ44" s="44">
        <v>14</v>
      </c>
      <c r="BR44" s="44">
        <v>15</v>
      </c>
      <c r="BS44" s="44">
        <v>5</v>
      </c>
      <c r="CA44" s="44">
        <v>1000</v>
      </c>
      <c r="CB44" s="44">
        <v>200</v>
      </c>
      <c r="CC44" s="44">
        <v>0</v>
      </c>
      <c r="CD44" s="44">
        <v>1</v>
      </c>
      <c r="CE44" s="44">
        <v>0</v>
      </c>
      <c r="CF44" s="44">
        <v>0</v>
      </c>
      <c r="CG44" s="44">
        <v>0</v>
      </c>
      <c r="CH44" s="44">
        <v>0</v>
      </c>
      <c r="CI44" s="44">
        <v>1</v>
      </c>
      <c r="CK44" s="44">
        <v>0</v>
      </c>
      <c r="CL44" s="44">
        <v>0</v>
      </c>
      <c r="CM44" s="44">
        <v>0</v>
      </c>
      <c r="CN44" s="44">
        <v>0</v>
      </c>
      <c r="CO44" s="44">
        <v>0</v>
      </c>
      <c r="CP44" s="44">
        <v>0</v>
      </c>
      <c r="CQ44" s="44">
        <v>1</v>
      </c>
      <c r="CR44" s="44">
        <v>0</v>
      </c>
      <c r="CV44" s="44">
        <v>0</v>
      </c>
      <c r="CW44" s="44">
        <v>0</v>
      </c>
    </row>
    <row r="45" s="44" customFormat="1" customHeight="1" spans="1:102">
      <c r="A45" s="81">
        <v>11021</v>
      </c>
      <c r="B45" s="82" t="s">
        <v>153</v>
      </c>
      <c r="H45" s="44" t="s">
        <v>154</v>
      </c>
      <c r="O45" s="77">
        <v>0</v>
      </c>
      <c r="P45" s="77">
        <v>1</v>
      </c>
      <c r="Q45" s="77">
        <v>0</v>
      </c>
      <c r="R45" s="77">
        <v>0</v>
      </c>
      <c r="S45" s="64">
        <v>0</v>
      </c>
      <c r="T45" s="64">
        <v>0</v>
      </c>
      <c r="U45" s="64">
        <v>0</v>
      </c>
      <c r="V45" s="64">
        <v>0</v>
      </c>
      <c r="W45" s="63">
        <v>0</v>
      </c>
      <c r="X45" s="63">
        <v>0</v>
      </c>
      <c r="Y45" s="63">
        <v>0</v>
      </c>
      <c r="Z45" s="63">
        <v>0</v>
      </c>
      <c r="AA45" s="78">
        <v>0</v>
      </c>
      <c r="AB45" s="78">
        <v>0</v>
      </c>
      <c r="AC45" s="78">
        <v>0</v>
      </c>
      <c r="AD45" s="78">
        <v>0</v>
      </c>
      <c r="AE45" s="48"/>
      <c r="AU45" s="62"/>
      <c r="BK45" s="62"/>
      <c r="CA45" s="44">
        <v>1000</v>
      </c>
      <c r="CB45" s="44">
        <v>1000</v>
      </c>
      <c r="CC45" s="44">
        <v>0</v>
      </c>
      <c r="CD45" s="44">
        <v>1</v>
      </c>
      <c r="CE45" s="44">
        <v>0</v>
      </c>
      <c r="CF45" s="44">
        <v>0</v>
      </c>
      <c r="CG45" s="44">
        <v>0</v>
      </c>
      <c r="CH45" s="44">
        <v>0</v>
      </c>
      <c r="CI45" s="44">
        <v>1</v>
      </c>
      <c r="CK45" s="44">
        <v>0</v>
      </c>
      <c r="CL45" s="44">
        <v>0</v>
      </c>
      <c r="CM45" s="44">
        <v>0</v>
      </c>
      <c r="CN45" s="44">
        <v>0</v>
      </c>
      <c r="CO45" s="44">
        <v>0</v>
      </c>
      <c r="CP45" s="44">
        <v>0</v>
      </c>
      <c r="CQ45" s="44">
        <v>1</v>
      </c>
      <c r="CR45" s="44">
        <v>0</v>
      </c>
      <c r="CV45" s="44">
        <v>0</v>
      </c>
      <c r="CW45" s="44">
        <v>0</v>
      </c>
      <c r="CX45" s="44">
        <v>166127</v>
      </c>
    </row>
    <row r="46" s="44" customFormat="1" customHeight="1" spans="1:101">
      <c r="A46" s="81">
        <v>11022</v>
      </c>
      <c r="B46" s="82" t="s">
        <v>155</v>
      </c>
      <c r="H46" s="44" t="s">
        <v>154</v>
      </c>
      <c r="O46" s="77">
        <v>0</v>
      </c>
      <c r="P46" s="77">
        <v>1</v>
      </c>
      <c r="Q46" s="77">
        <v>0</v>
      </c>
      <c r="R46" s="77">
        <v>0</v>
      </c>
      <c r="S46" s="64">
        <v>0</v>
      </c>
      <c r="T46" s="64">
        <v>0</v>
      </c>
      <c r="U46" s="64">
        <v>0</v>
      </c>
      <c r="V46" s="64">
        <v>0</v>
      </c>
      <c r="W46" s="63">
        <v>0</v>
      </c>
      <c r="X46" s="63">
        <v>0</v>
      </c>
      <c r="Y46" s="63">
        <v>0</v>
      </c>
      <c r="Z46" s="63">
        <v>0</v>
      </c>
      <c r="AA46" s="78">
        <v>0</v>
      </c>
      <c r="AB46" s="78">
        <v>0</v>
      </c>
      <c r="AC46" s="78">
        <v>0</v>
      </c>
      <c r="AD46" s="78">
        <v>0</v>
      </c>
      <c r="AE46" s="48"/>
      <c r="AU46" s="62"/>
      <c r="BK46" s="62"/>
      <c r="CA46" s="44">
        <v>1000</v>
      </c>
      <c r="CB46" s="44">
        <v>1000</v>
      </c>
      <c r="CC46" s="44">
        <v>0</v>
      </c>
      <c r="CD46" s="44">
        <v>1</v>
      </c>
      <c r="CE46" s="44">
        <v>0</v>
      </c>
      <c r="CF46" s="44">
        <v>0</v>
      </c>
      <c r="CG46" s="44">
        <v>0</v>
      </c>
      <c r="CH46" s="44">
        <v>0</v>
      </c>
      <c r="CI46" s="44">
        <v>1</v>
      </c>
      <c r="CK46" s="44">
        <v>0</v>
      </c>
      <c r="CL46" s="44">
        <v>0</v>
      </c>
      <c r="CM46" s="44">
        <v>0</v>
      </c>
      <c r="CN46" s="44">
        <v>0</v>
      </c>
      <c r="CO46" s="44">
        <v>0</v>
      </c>
      <c r="CP46" s="44">
        <v>0</v>
      </c>
      <c r="CQ46" s="44">
        <v>1</v>
      </c>
      <c r="CR46" s="44">
        <v>0</v>
      </c>
      <c r="CV46" s="44">
        <v>0</v>
      </c>
      <c r="CW46" s="44">
        <v>0</v>
      </c>
    </row>
    <row r="47" s="44" customFormat="1" customHeight="1" spans="1:101">
      <c r="A47" s="81">
        <v>11101</v>
      </c>
      <c r="B47" s="82" t="s">
        <v>156</v>
      </c>
      <c r="E47" s="44">
        <v>300</v>
      </c>
      <c r="F47" s="44">
        <v>5000000</v>
      </c>
      <c r="H47" s="44" t="s">
        <v>157</v>
      </c>
      <c r="O47" s="77">
        <v>0</v>
      </c>
      <c r="P47" s="77">
        <v>1</v>
      </c>
      <c r="Q47" s="77">
        <v>0</v>
      </c>
      <c r="R47" s="77">
        <v>0</v>
      </c>
      <c r="S47" s="64">
        <v>0</v>
      </c>
      <c r="T47" s="64">
        <v>0</v>
      </c>
      <c r="U47" s="64">
        <v>0</v>
      </c>
      <c r="V47" s="64">
        <v>0</v>
      </c>
      <c r="W47" s="63">
        <v>0</v>
      </c>
      <c r="X47" s="63">
        <v>0</v>
      </c>
      <c r="Y47" s="63">
        <v>0</v>
      </c>
      <c r="Z47" s="63">
        <v>0</v>
      </c>
      <c r="AA47" s="78">
        <v>0</v>
      </c>
      <c r="AB47" s="78">
        <v>0</v>
      </c>
      <c r="AC47" s="78">
        <v>0</v>
      </c>
      <c r="AD47" s="78">
        <v>0</v>
      </c>
      <c r="AE47" s="48"/>
      <c r="AU47" s="62"/>
      <c r="BK47" s="62"/>
      <c r="CA47" s="44">
        <v>1000</v>
      </c>
      <c r="CB47" s="44">
        <v>1000</v>
      </c>
      <c r="CC47" s="44">
        <v>0</v>
      </c>
      <c r="CD47" s="44">
        <v>1</v>
      </c>
      <c r="CE47" s="44">
        <v>0</v>
      </c>
      <c r="CF47" s="44">
        <v>0</v>
      </c>
      <c r="CG47" s="44">
        <v>0</v>
      </c>
      <c r="CH47" s="44">
        <v>0</v>
      </c>
      <c r="CI47" s="44">
        <v>1</v>
      </c>
      <c r="CK47" s="44">
        <v>0</v>
      </c>
      <c r="CL47" s="44">
        <v>0</v>
      </c>
      <c r="CM47" s="44">
        <v>0</v>
      </c>
      <c r="CN47" s="44">
        <v>0</v>
      </c>
      <c r="CO47" s="44">
        <v>0</v>
      </c>
      <c r="CP47" s="44">
        <v>0</v>
      </c>
      <c r="CQ47" s="44">
        <v>1</v>
      </c>
      <c r="CR47" s="44">
        <v>0</v>
      </c>
      <c r="CV47" s="44">
        <v>0</v>
      </c>
      <c r="CW47" s="44">
        <v>0</v>
      </c>
    </row>
    <row r="48" s="44" customFormat="1" customHeight="1" spans="1:101">
      <c r="A48" s="81">
        <v>11102</v>
      </c>
      <c r="B48" s="82" t="s">
        <v>158</v>
      </c>
      <c r="E48" s="44">
        <v>300</v>
      </c>
      <c r="F48" s="44">
        <v>5000001</v>
      </c>
      <c r="H48" s="44" t="s">
        <v>157</v>
      </c>
      <c r="O48" s="77">
        <v>0</v>
      </c>
      <c r="P48" s="77">
        <v>1</v>
      </c>
      <c r="Q48" s="77">
        <v>0</v>
      </c>
      <c r="R48" s="77">
        <v>0</v>
      </c>
      <c r="S48" s="64">
        <v>0</v>
      </c>
      <c r="T48" s="64">
        <v>0</v>
      </c>
      <c r="U48" s="64">
        <v>0</v>
      </c>
      <c r="V48" s="64">
        <v>0</v>
      </c>
      <c r="W48" s="63">
        <v>0</v>
      </c>
      <c r="X48" s="63">
        <v>0</v>
      </c>
      <c r="Y48" s="63">
        <v>0</v>
      </c>
      <c r="Z48" s="63">
        <v>0</v>
      </c>
      <c r="AA48" s="78">
        <v>0</v>
      </c>
      <c r="AB48" s="78">
        <v>0</v>
      </c>
      <c r="AC48" s="78">
        <v>0</v>
      </c>
      <c r="AD48" s="78">
        <v>0</v>
      </c>
      <c r="AE48" s="48"/>
      <c r="AU48" s="62"/>
      <c r="BK48" s="62"/>
      <c r="CA48" s="44">
        <v>1000</v>
      </c>
      <c r="CB48" s="44">
        <v>1000</v>
      </c>
      <c r="CC48" s="44">
        <v>0</v>
      </c>
      <c r="CD48" s="44">
        <v>1</v>
      </c>
      <c r="CE48" s="44">
        <v>0</v>
      </c>
      <c r="CF48" s="44">
        <v>0</v>
      </c>
      <c r="CG48" s="44">
        <v>0</v>
      </c>
      <c r="CH48" s="44">
        <v>0</v>
      </c>
      <c r="CI48" s="44">
        <v>1</v>
      </c>
      <c r="CK48" s="44">
        <v>0</v>
      </c>
      <c r="CL48" s="44">
        <v>0</v>
      </c>
      <c r="CM48" s="44">
        <v>0</v>
      </c>
      <c r="CN48" s="44">
        <v>0</v>
      </c>
      <c r="CO48" s="44">
        <v>0</v>
      </c>
      <c r="CP48" s="44">
        <v>0</v>
      </c>
      <c r="CQ48" s="44">
        <v>1</v>
      </c>
      <c r="CR48" s="44">
        <v>0</v>
      </c>
      <c r="CV48" s="44">
        <v>0</v>
      </c>
      <c r="CW48" s="44">
        <v>0</v>
      </c>
    </row>
    <row r="49" s="44" customFormat="1" customHeight="1" spans="1:101">
      <c r="A49" s="81">
        <v>11103</v>
      </c>
      <c r="B49" s="82" t="s">
        <v>159</v>
      </c>
      <c r="E49" s="44">
        <v>300</v>
      </c>
      <c r="F49" s="44">
        <v>5000002</v>
      </c>
      <c r="H49" s="44" t="s">
        <v>160</v>
      </c>
      <c r="O49" s="77">
        <v>0</v>
      </c>
      <c r="P49" s="77">
        <v>1</v>
      </c>
      <c r="Q49" s="77">
        <v>0</v>
      </c>
      <c r="R49" s="77">
        <v>0</v>
      </c>
      <c r="S49" s="64">
        <v>0</v>
      </c>
      <c r="T49" s="64">
        <v>0</v>
      </c>
      <c r="U49" s="64">
        <v>0</v>
      </c>
      <c r="V49" s="64">
        <v>0</v>
      </c>
      <c r="W49" s="63">
        <v>0</v>
      </c>
      <c r="X49" s="63">
        <v>0</v>
      </c>
      <c r="Y49" s="63">
        <v>0</v>
      </c>
      <c r="Z49" s="63">
        <v>0</v>
      </c>
      <c r="AA49" s="78">
        <v>0</v>
      </c>
      <c r="AB49" s="78">
        <v>0</v>
      </c>
      <c r="AC49" s="78">
        <v>0</v>
      </c>
      <c r="AD49" s="78">
        <v>0</v>
      </c>
      <c r="AE49" s="48"/>
      <c r="AU49" s="62"/>
      <c r="BK49" s="62"/>
      <c r="CA49" s="44">
        <v>1000</v>
      </c>
      <c r="CB49" s="44">
        <v>1000</v>
      </c>
      <c r="CC49" s="44">
        <v>0</v>
      </c>
      <c r="CD49" s="44">
        <v>1</v>
      </c>
      <c r="CE49" s="44">
        <v>0</v>
      </c>
      <c r="CF49" s="44">
        <v>0</v>
      </c>
      <c r="CG49" s="44">
        <v>0</v>
      </c>
      <c r="CH49" s="44">
        <v>0</v>
      </c>
      <c r="CI49" s="44">
        <v>1</v>
      </c>
      <c r="CK49" s="44">
        <v>0</v>
      </c>
      <c r="CL49" s="44">
        <v>0</v>
      </c>
      <c r="CM49" s="44">
        <v>0</v>
      </c>
      <c r="CN49" s="44">
        <v>0</v>
      </c>
      <c r="CO49" s="44">
        <v>0</v>
      </c>
      <c r="CP49" s="44">
        <v>0</v>
      </c>
      <c r="CQ49" s="44">
        <v>1</v>
      </c>
      <c r="CR49" s="44">
        <v>0</v>
      </c>
      <c r="CV49" s="44">
        <v>0</v>
      </c>
      <c r="CW49" s="44">
        <v>0</v>
      </c>
    </row>
    <row r="50" s="44" customFormat="1" customHeight="1" spans="1:101">
      <c r="A50" s="44">
        <v>11104</v>
      </c>
      <c r="B50" s="79" t="s">
        <v>161</v>
      </c>
      <c r="O50" s="77">
        <v>0</v>
      </c>
      <c r="P50" s="77">
        <v>0</v>
      </c>
      <c r="Q50" s="77">
        <v>0</v>
      </c>
      <c r="R50" s="77">
        <v>0</v>
      </c>
      <c r="S50" s="64">
        <v>0</v>
      </c>
      <c r="T50" s="64">
        <v>0</v>
      </c>
      <c r="U50" s="64">
        <v>0</v>
      </c>
      <c r="V50" s="64">
        <v>0</v>
      </c>
      <c r="W50" s="63">
        <v>0</v>
      </c>
      <c r="X50" s="63">
        <v>0</v>
      </c>
      <c r="Y50" s="63">
        <v>0</v>
      </c>
      <c r="Z50" s="63">
        <v>0</v>
      </c>
      <c r="AA50" s="78">
        <v>0</v>
      </c>
      <c r="AB50" s="78">
        <v>0</v>
      </c>
      <c r="AC50" s="78">
        <v>0</v>
      </c>
      <c r="AD50" s="78">
        <v>0</v>
      </c>
      <c r="AE50" s="48">
        <v>200011</v>
      </c>
      <c r="AF50" s="44">
        <v>200012</v>
      </c>
      <c r="AG50" s="44">
        <v>200013</v>
      </c>
      <c r="AH50" s="44">
        <v>200014</v>
      </c>
      <c r="AI50" s="44">
        <v>200016</v>
      </c>
      <c r="AU50" s="62">
        <v>1</v>
      </c>
      <c r="AV50" s="44">
        <v>1</v>
      </c>
      <c r="AW50" s="44">
        <v>1</v>
      </c>
      <c r="AX50" s="44">
        <v>1</v>
      </c>
      <c r="AY50" s="44">
        <v>1</v>
      </c>
      <c r="BK50" s="62">
        <v>20</v>
      </c>
      <c r="BL50" s="44">
        <v>20</v>
      </c>
      <c r="BM50" s="44">
        <v>20</v>
      </c>
      <c r="BN50" s="44">
        <v>20</v>
      </c>
      <c r="BO50" s="44">
        <v>5</v>
      </c>
      <c r="CA50" s="44">
        <v>1000</v>
      </c>
      <c r="CB50" s="44">
        <v>85</v>
      </c>
      <c r="CC50" s="44">
        <v>0</v>
      </c>
      <c r="CD50" s="44">
        <v>1</v>
      </c>
      <c r="CE50" s="44" t="s">
        <v>162</v>
      </c>
      <c r="CF50" s="44">
        <v>160480</v>
      </c>
      <c r="CG50" s="44">
        <v>0</v>
      </c>
      <c r="CH50" s="44">
        <v>0</v>
      </c>
      <c r="CI50" s="44">
        <v>1</v>
      </c>
      <c r="CK50" s="44">
        <v>0</v>
      </c>
      <c r="CL50" s="44">
        <v>0</v>
      </c>
      <c r="CM50" s="44">
        <v>0</v>
      </c>
      <c r="CN50" s="44">
        <v>0</v>
      </c>
      <c r="CO50" s="44">
        <v>0</v>
      </c>
      <c r="CP50" s="44">
        <v>0</v>
      </c>
      <c r="CQ50" s="44">
        <v>1</v>
      </c>
      <c r="CR50" s="44">
        <v>0</v>
      </c>
      <c r="CV50" s="44">
        <v>0</v>
      </c>
      <c r="CW50" s="44">
        <v>0</v>
      </c>
    </row>
    <row r="51" s="44" customFormat="1" customHeight="1" spans="1:101">
      <c r="A51" s="44">
        <v>11105</v>
      </c>
      <c r="B51" s="79" t="s">
        <v>163</v>
      </c>
      <c r="E51" s="44">
        <v>5</v>
      </c>
      <c r="H51" s="44" t="s">
        <v>164</v>
      </c>
      <c r="O51" s="77">
        <v>0</v>
      </c>
      <c r="P51" s="77">
        <v>0</v>
      </c>
      <c r="Q51" s="77">
        <v>0</v>
      </c>
      <c r="R51" s="77">
        <v>0</v>
      </c>
      <c r="S51" s="64">
        <v>0</v>
      </c>
      <c r="T51" s="64">
        <v>0</v>
      </c>
      <c r="U51" s="64">
        <v>0</v>
      </c>
      <c r="V51" s="64">
        <v>0</v>
      </c>
      <c r="W51" s="63">
        <v>0</v>
      </c>
      <c r="X51" s="63">
        <v>0</v>
      </c>
      <c r="Y51" s="63">
        <v>0</v>
      </c>
      <c r="Z51" s="63">
        <v>0</v>
      </c>
      <c r="AA51" s="78">
        <v>0</v>
      </c>
      <c r="AB51" s="78">
        <v>0</v>
      </c>
      <c r="AC51" s="78">
        <v>0</v>
      </c>
      <c r="AD51" s="78">
        <v>0</v>
      </c>
      <c r="AE51" s="48"/>
      <c r="AU51" s="62"/>
      <c r="BK51" s="62"/>
      <c r="CA51" s="44">
        <v>1000</v>
      </c>
      <c r="CB51" s="44">
        <v>1000</v>
      </c>
      <c r="CC51" s="44">
        <v>0</v>
      </c>
      <c r="CD51" s="44">
        <v>1</v>
      </c>
      <c r="CE51" s="44" t="s">
        <v>162</v>
      </c>
      <c r="CF51" s="44">
        <v>160480</v>
      </c>
      <c r="CG51" s="44">
        <v>0</v>
      </c>
      <c r="CH51" s="44">
        <v>0</v>
      </c>
      <c r="CI51" s="44">
        <v>1</v>
      </c>
      <c r="CK51" s="44">
        <v>0</v>
      </c>
      <c r="CL51" s="44">
        <v>0</v>
      </c>
      <c r="CM51" s="44">
        <v>0</v>
      </c>
      <c r="CN51" s="44">
        <v>0</v>
      </c>
      <c r="CO51" s="44">
        <v>0</v>
      </c>
      <c r="CP51" s="44">
        <v>0</v>
      </c>
      <c r="CQ51" s="44">
        <v>1</v>
      </c>
      <c r="CR51" s="44">
        <v>0</v>
      </c>
      <c r="CV51" s="44">
        <v>0</v>
      </c>
      <c r="CW51" s="44">
        <v>0</v>
      </c>
    </row>
    <row r="52" s="44" customFormat="1" customHeight="1" spans="1:101">
      <c r="A52" s="81">
        <v>11201</v>
      </c>
      <c r="B52" s="82" t="s">
        <v>165</v>
      </c>
      <c r="O52" s="77">
        <v>0</v>
      </c>
      <c r="P52" s="77">
        <v>1</v>
      </c>
      <c r="Q52" s="77">
        <v>0</v>
      </c>
      <c r="R52" s="77">
        <v>0</v>
      </c>
      <c r="S52" s="64">
        <v>0</v>
      </c>
      <c r="T52" s="64">
        <v>0</v>
      </c>
      <c r="U52" s="64">
        <v>0</v>
      </c>
      <c r="V52" s="64">
        <v>0</v>
      </c>
      <c r="W52" s="63">
        <v>0</v>
      </c>
      <c r="X52" s="63">
        <v>0</v>
      </c>
      <c r="Y52" s="63">
        <v>0</v>
      </c>
      <c r="Z52" s="63">
        <v>0</v>
      </c>
      <c r="AA52" s="78">
        <v>0</v>
      </c>
      <c r="AB52" s="78">
        <v>0</v>
      </c>
      <c r="AC52" s="78">
        <v>0</v>
      </c>
      <c r="AD52" s="78">
        <v>0</v>
      </c>
      <c r="AE52" s="48">
        <v>200034</v>
      </c>
      <c r="AF52" s="44">
        <v>200035</v>
      </c>
      <c r="AG52" s="44">
        <v>200036</v>
      </c>
      <c r="AU52" s="62">
        <v>1</v>
      </c>
      <c r="AV52" s="44">
        <v>1</v>
      </c>
      <c r="AW52" s="44">
        <v>1</v>
      </c>
      <c r="BK52" s="62">
        <v>90</v>
      </c>
      <c r="BL52" s="44">
        <v>25</v>
      </c>
      <c r="BM52" s="44">
        <v>25</v>
      </c>
      <c r="CA52" s="44">
        <v>1000</v>
      </c>
      <c r="CB52" s="44">
        <v>1000</v>
      </c>
      <c r="CC52" s="44">
        <v>0</v>
      </c>
      <c r="CD52" s="44">
        <v>1</v>
      </c>
      <c r="CE52" s="44">
        <v>0</v>
      </c>
      <c r="CF52" s="44">
        <v>0</v>
      </c>
      <c r="CG52" s="44">
        <v>0</v>
      </c>
      <c r="CH52" s="44">
        <v>0</v>
      </c>
      <c r="CI52" s="44">
        <v>1</v>
      </c>
      <c r="CJ52" s="44">
        <v>1</v>
      </c>
      <c r="CK52" s="44">
        <v>0</v>
      </c>
      <c r="CL52" s="44">
        <v>0</v>
      </c>
      <c r="CM52" s="44">
        <v>0</v>
      </c>
      <c r="CN52" s="44">
        <v>0</v>
      </c>
      <c r="CO52" s="44">
        <v>0</v>
      </c>
      <c r="CP52" s="44">
        <v>0</v>
      </c>
      <c r="CQ52" s="44">
        <v>0</v>
      </c>
      <c r="CR52" s="44">
        <v>0</v>
      </c>
      <c r="CS52" s="44">
        <v>1000</v>
      </c>
      <c r="CV52" s="44">
        <v>0</v>
      </c>
      <c r="CW52" s="44">
        <v>0</v>
      </c>
    </row>
    <row r="53" s="44" customFormat="1" customHeight="1" spans="1:101">
      <c r="A53" s="81">
        <v>11202</v>
      </c>
      <c r="B53" s="82" t="s">
        <v>166</v>
      </c>
      <c r="O53" s="77">
        <v>334100</v>
      </c>
      <c r="P53" s="77">
        <v>1</v>
      </c>
      <c r="Q53" s="77">
        <v>0</v>
      </c>
      <c r="R53" s="77">
        <v>0</v>
      </c>
      <c r="S53" s="64">
        <v>0</v>
      </c>
      <c r="T53" s="64">
        <v>0</v>
      </c>
      <c r="U53" s="64">
        <v>0</v>
      </c>
      <c r="V53" s="64">
        <v>0</v>
      </c>
      <c r="W53" s="63">
        <v>0</v>
      </c>
      <c r="X53" s="63">
        <v>0</v>
      </c>
      <c r="Y53" s="63">
        <v>0</v>
      </c>
      <c r="Z53" s="63">
        <v>0</v>
      </c>
      <c r="AA53" s="78">
        <v>0</v>
      </c>
      <c r="AB53" s="78">
        <v>0</v>
      </c>
      <c r="AC53" s="78">
        <v>0</v>
      </c>
      <c r="AD53" s="78">
        <v>0</v>
      </c>
      <c r="AE53" s="48"/>
      <c r="AU53" s="62"/>
      <c r="BK53" s="62"/>
      <c r="CA53" s="44">
        <v>1000</v>
      </c>
      <c r="CB53" s="44">
        <v>1000</v>
      </c>
      <c r="CC53" s="44">
        <v>0</v>
      </c>
      <c r="CD53" s="44">
        <v>1</v>
      </c>
      <c r="CE53" s="44">
        <v>0</v>
      </c>
      <c r="CF53" s="44">
        <v>0</v>
      </c>
      <c r="CG53" s="44">
        <v>0</v>
      </c>
      <c r="CH53" s="44">
        <v>0</v>
      </c>
      <c r="CI53" s="44">
        <v>1</v>
      </c>
      <c r="CK53" s="44">
        <v>0</v>
      </c>
      <c r="CL53" s="44">
        <v>0</v>
      </c>
      <c r="CM53" s="44">
        <v>0</v>
      </c>
      <c r="CN53" s="44">
        <v>0</v>
      </c>
      <c r="CO53" s="44">
        <v>0</v>
      </c>
      <c r="CP53" s="44">
        <v>0</v>
      </c>
      <c r="CQ53" s="44">
        <v>0</v>
      </c>
      <c r="CR53" s="44">
        <v>0</v>
      </c>
      <c r="CV53" s="44">
        <v>0</v>
      </c>
      <c r="CW53" s="44">
        <v>0</v>
      </c>
    </row>
    <row r="54" s="44" customFormat="1" customHeight="1" spans="1:101">
      <c r="A54" s="81">
        <v>11203</v>
      </c>
      <c r="B54" s="82" t="s">
        <v>167</v>
      </c>
      <c r="O54" s="77">
        <v>0</v>
      </c>
      <c r="P54" s="77">
        <v>1</v>
      </c>
      <c r="Q54" s="77">
        <v>0</v>
      </c>
      <c r="R54" s="77">
        <v>0</v>
      </c>
      <c r="S54" s="64">
        <v>0</v>
      </c>
      <c r="T54" s="64">
        <v>0</v>
      </c>
      <c r="U54" s="64">
        <v>0</v>
      </c>
      <c r="V54" s="64">
        <v>0</v>
      </c>
      <c r="W54" s="63">
        <v>0</v>
      </c>
      <c r="X54" s="63">
        <v>0</v>
      </c>
      <c r="Y54" s="63">
        <v>0</v>
      </c>
      <c r="Z54" s="63">
        <v>0</v>
      </c>
      <c r="AA54" s="78">
        <v>0</v>
      </c>
      <c r="AB54" s="78">
        <v>0</v>
      </c>
      <c r="AC54" s="78">
        <v>0</v>
      </c>
      <c r="AD54" s="78">
        <v>0</v>
      </c>
      <c r="AE54" s="48">
        <v>337009</v>
      </c>
      <c r="AU54" s="62">
        <v>1</v>
      </c>
      <c r="BK54" s="62">
        <v>1000</v>
      </c>
      <c r="CA54" s="44">
        <v>1000</v>
      </c>
      <c r="CB54" s="44">
        <v>1000</v>
      </c>
      <c r="CC54" s="44">
        <v>0</v>
      </c>
      <c r="CD54" s="44">
        <v>1</v>
      </c>
      <c r="CE54" s="44">
        <v>0</v>
      </c>
      <c r="CF54" s="44">
        <v>0</v>
      </c>
      <c r="CG54" s="44">
        <v>0</v>
      </c>
      <c r="CH54" s="44">
        <v>0</v>
      </c>
      <c r="CI54" s="44">
        <v>1</v>
      </c>
      <c r="CK54" s="44">
        <v>0</v>
      </c>
      <c r="CL54" s="44">
        <v>0</v>
      </c>
      <c r="CM54" s="44">
        <v>0</v>
      </c>
      <c r="CN54" s="44">
        <v>0</v>
      </c>
      <c r="CO54" s="44">
        <v>0</v>
      </c>
      <c r="CP54" s="44">
        <v>0</v>
      </c>
      <c r="CQ54" s="44">
        <v>0</v>
      </c>
      <c r="CR54" s="44">
        <v>0</v>
      </c>
      <c r="CV54" s="44">
        <v>0</v>
      </c>
      <c r="CW54" s="44">
        <v>0</v>
      </c>
    </row>
    <row r="55" s="44" customFormat="1" customHeight="1" spans="1:101">
      <c r="A55" s="81">
        <v>11204</v>
      </c>
      <c r="B55" s="82" t="s">
        <v>168</v>
      </c>
      <c r="H55" s="44" t="s">
        <v>169</v>
      </c>
      <c r="I55" s="44" t="s">
        <v>170</v>
      </c>
      <c r="K55" s="44" t="s">
        <v>171</v>
      </c>
      <c r="O55" s="77">
        <v>0</v>
      </c>
      <c r="P55" s="77">
        <v>1</v>
      </c>
      <c r="Q55" s="77">
        <v>0</v>
      </c>
      <c r="R55" s="77">
        <v>0</v>
      </c>
      <c r="S55" s="64">
        <v>0</v>
      </c>
      <c r="T55" s="64">
        <v>0</v>
      </c>
      <c r="U55" s="64">
        <v>0</v>
      </c>
      <c r="V55" s="64">
        <v>0</v>
      </c>
      <c r="W55" s="63">
        <v>0</v>
      </c>
      <c r="X55" s="63">
        <v>0</v>
      </c>
      <c r="Y55" s="63">
        <v>0</v>
      </c>
      <c r="Z55" s="63">
        <v>0</v>
      </c>
      <c r="AA55" s="78">
        <v>0</v>
      </c>
      <c r="AB55" s="78">
        <v>0</v>
      </c>
      <c r="AC55" s="78">
        <v>0</v>
      </c>
      <c r="AD55" s="78">
        <v>0</v>
      </c>
      <c r="AE55" s="48"/>
      <c r="AU55" s="62"/>
      <c r="BK55" s="62"/>
      <c r="CA55" s="44">
        <v>1000</v>
      </c>
      <c r="CB55" s="44">
        <v>1000</v>
      </c>
      <c r="CC55" s="44">
        <v>0</v>
      </c>
      <c r="CD55" s="44">
        <v>1</v>
      </c>
      <c r="CE55" s="44">
        <v>0</v>
      </c>
      <c r="CF55" s="44">
        <v>0</v>
      </c>
      <c r="CG55" s="44">
        <v>0</v>
      </c>
      <c r="CH55" s="44">
        <v>1</v>
      </c>
      <c r="CI55" s="44">
        <v>1</v>
      </c>
      <c r="CK55" s="44">
        <v>0</v>
      </c>
      <c r="CL55" s="44">
        <v>0</v>
      </c>
      <c r="CM55" s="44">
        <v>0</v>
      </c>
      <c r="CN55" s="44">
        <v>0</v>
      </c>
      <c r="CO55" s="44">
        <v>0</v>
      </c>
      <c r="CP55" s="44">
        <v>0</v>
      </c>
      <c r="CQ55" s="44">
        <v>0</v>
      </c>
      <c r="CR55" s="44">
        <v>0</v>
      </c>
      <c r="CV55" s="44">
        <v>0</v>
      </c>
      <c r="CW55" s="44">
        <v>0</v>
      </c>
    </row>
    <row r="56" s="44" customFormat="1" customHeight="1" spans="1:101">
      <c r="A56" s="81">
        <v>11205</v>
      </c>
      <c r="B56" s="82" t="s">
        <v>172</v>
      </c>
      <c r="O56" s="77">
        <v>0</v>
      </c>
      <c r="P56" s="77">
        <v>1</v>
      </c>
      <c r="Q56" s="77">
        <v>0</v>
      </c>
      <c r="R56" s="77">
        <v>0</v>
      </c>
      <c r="S56" s="64">
        <v>0</v>
      </c>
      <c r="T56" s="64">
        <v>0</v>
      </c>
      <c r="U56" s="64">
        <v>0</v>
      </c>
      <c r="V56" s="64">
        <v>0</v>
      </c>
      <c r="W56" s="63">
        <v>0</v>
      </c>
      <c r="X56" s="63">
        <v>0</v>
      </c>
      <c r="Y56" s="63">
        <v>0</v>
      </c>
      <c r="Z56" s="63">
        <v>0</v>
      </c>
      <c r="AA56" s="78">
        <v>0</v>
      </c>
      <c r="AB56" s="78">
        <v>0</v>
      </c>
      <c r="AC56" s="78">
        <v>0</v>
      </c>
      <c r="AD56" s="78">
        <v>0</v>
      </c>
      <c r="AE56" s="48">
        <v>200017</v>
      </c>
      <c r="AF56" s="44">
        <v>200020</v>
      </c>
      <c r="AU56" s="62">
        <v>1</v>
      </c>
      <c r="AV56" s="44">
        <v>1</v>
      </c>
      <c r="BK56" s="62">
        <v>1000</v>
      </c>
      <c r="BL56" s="44">
        <v>300</v>
      </c>
      <c r="CA56" s="44">
        <v>1000</v>
      </c>
      <c r="CB56" s="44">
        <v>1000</v>
      </c>
      <c r="CC56" s="44">
        <v>0</v>
      </c>
      <c r="CD56" s="44">
        <v>1</v>
      </c>
      <c r="CE56" s="44">
        <v>0</v>
      </c>
      <c r="CF56" s="44">
        <v>0</v>
      </c>
      <c r="CG56" s="44">
        <v>0</v>
      </c>
      <c r="CH56" s="44">
        <v>0</v>
      </c>
      <c r="CI56" s="44">
        <v>1</v>
      </c>
      <c r="CJ56" s="44">
        <v>1</v>
      </c>
      <c r="CK56" s="44">
        <v>0</v>
      </c>
      <c r="CL56" s="44">
        <v>0</v>
      </c>
      <c r="CM56" s="44">
        <v>0</v>
      </c>
      <c r="CN56" s="44">
        <v>0</v>
      </c>
      <c r="CO56" s="44">
        <v>0</v>
      </c>
      <c r="CP56" s="44">
        <v>0</v>
      </c>
      <c r="CQ56" s="44">
        <v>0</v>
      </c>
      <c r="CR56" s="44">
        <v>0</v>
      </c>
      <c r="CS56" s="44">
        <v>1000</v>
      </c>
      <c r="CV56" s="44">
        <v>0</v>
      </c>
      <c r="CW56" s="44">
        <v>0</v>
      </c>
    </row>
    <row r="57" s="44" customFormat="1" customHeight="1" spans="1:101">
      <c r="A57" s="81">
        <v>11206</v>
      </c>
      <c r="B57" s="82" t="s">
        <v>173</v>
      </c>
      <c r="O57" s="77">
        <v>0</v>
      </c>
      <c r="P57" s="77">
        <v>1</v>
      </c>
      <c r="Q57" s="77">
        <v>0</v>
      </c>
      <c r="R57" s="77">
        <v>0</v>
      </c>
      <c r="S57" s="64">
        <v>0</v>
      </c>
      <c r="T57" s="64">
        <v>0</v>
      </c>
      <c r="U57" s="64">
        <v>0</v>
      </c>
      <c r="V57" s="64">
        <v>0</v>
      </c>
      <c r="W57" s="63">
        <v>0</v>
      </c>
      <c r="X57" s="63">
        <v>0</v>
      </c>
      <c r="Y57" s="63">
        <v>0</v>
      </c>
      <c r="Z57" s="63">
        <v>0</v>
      </c>
      <c r="AA57" s="78">
        <v>0</v>
      </c>
      <c r="AB57" s="78">
        <v>0</v>
      </c>
      <c r="AC57" s="78">
        <v>0</v>
      </c>
      <c r="AD57" s="78">
        <v>0</v>
      </c>
      <c r="AE57" s="48">
        <v>200025</v>
      </c>
      <c r="AF57" s="44">
        <v>200026</v>
      </c>
      <c r="AU57" s="62">
        <v>1</v>
      </c>
      <c r="AV57" s="44">
        <v>1</v>
      </c>
      <c r="BK57" s="62">
        <v>1000</v>
      </c>
      <c r="BL57" s="44">
        <v>600</v>
      </c>
      <c r="CA57" s="44">
        <v>1000</v>
      </c>
      <c r="CB57" s="44">
        <v>1000</v>
      </c>
      <c r="CC57" s="44">
        <v>0</v>
      </c>
      <c r="CD57" s="44">
        <v>1</v>
      </c>
      <c r="CE57" s="44">
        <v>0</v>
      </c>
      <c r="CF57" s="44">
        <v>0</v>
      </c>
      <c r="CG57" s="44">
        <v>0</v>
      </c>
      <c r="CH57" s="44">
        <v>0</v>
      </c>
      <c r="CI57" s="44">
        <v>1</v>
      </c>
      <c r="CJ57" s="44">
        <v>1</v>
      </c>
      <c r="CK57" s="44">
        <v>0</v>
      </c>
      <c r="CL57" s="44">
        <v>0</v>
      </c>
      <c r="CM57" s="44">
        <v>0</v>
      </c>
      <c r="CN57" s="44">
        <v>0</v>
      </c>
      <c r="CO57" s="44">
        <v>0</v>
      </c>
      <c r="CP57" s="44">
        <v>0</v>
      </c>
      <c r="CQ57" s="44">
        <v>0</v>
      </c>
      <c r="CR57" s="44">
        <v>0</v>
      </c>
      <c r="CS57" s="44">
        <v>1000</v>
      </c>
      <c r="CV57" s="44">
        <v>0</v>
      </c>
      <c r="CW57" s="44">
        <v>0</v>
      </c>
    </row>
    <row r="58" s="44" customFormat="1" customHeight="1" spans="1:101">
      <c r="A58" s="81">
        <v>11207</v>
      </c>
      <c r="B58" s="82" t="s">
        <v>174</v>
      </c>
      <c r="O58" s="77">
        <v>0</v>
      </c>
      <c r="P58" s="77">
        <v>1</v>
      </c>
      <c r="Q58" s="77">
        <v>0</v>
      </c>
      <c r="R58" s="77">
        <v>0</v>
      </c>
      <c r="S58" s="64">
        <v>0</v>
      </c>
      <c r="T58" s="64">
        <v>0</v>
      </c>
      <c r="U58" s="64">
        <v>0</v>
      </c>
      <c r="V58" s="64">
        <v>0</v>
      </c>
      <c r="W58" s="63">
        <v>0</v>
      </c>
      <c r="X58" s="63">
        <v>0</v>
      </c>
      <c r="Y58" s="63">
        <v>0</v>
      </c>
      <c r="Z58" s="63">
        <v>0</v>
      </c>
      <c r="AA58" s="78">
        <v>0</v>
      </c>
      <c r="AB58" s="78">
        <v>0</v>
      </c>
      <c r="AC58" s="78">
        <v>0</v>
      </c>
      <c r="AD58" s="78">
        <v>0</v>
      </c>
      <c r="AE58" s="48">
        <v>200028</v>
      </c>
      <c r="AF58" s="44">
        <v>200029</v>
      </c>
      <c r="AU58" s="62">
        <v>1</v>
      </c>
      <c r="AV58" s="44">
        <v>1</v>
      </c>
      <c r="BK58" s="62">
        <v>650</v>
      </c>
      <c r="BL58" s="44">
        <v>370</v>
      </c>
      <c r="CA58" s="44">
        <v>1000</v>
      </c>
      <c r="CB58" s="44">
        <v>1000</v>
      </c>
      <c r="CC58" s="44">
        <v>0</v>
      </c>
      <c r="CD58" s="44">
        <v>1</v>
      </c>
      <c r="CE58" s="44">
        <v>0</v>
      </c>
      <c r="CF58" s="44">
        <v>0</v>
      </c>
      <c r="CG58" s="44">
        <v>0</v>
      </c>
      <c r="CH58" s="44">
        <v>0</v>
      </c>
      <c r="CI58" s="44">
        <v>1</v>
      </c>
      <c r="CJ58" s="44">
        <v>1</v>
      </c>
      <c r="CK58" s="44">
        <v>0</v>
      </c>
      <c r="CL58" s="44">
        <v>0</v>
      </c>
      <c r="CM58" s="44">
        <v>0</v>
      </c>
      <c r="CN58" s="44">
        <v>0</v>
      </c>
      <c r="CO58" s="44">
        <v>0</v>
      </c>
      <c r="CP58" s="44">
        <v>0</v>
      </c>
      <c r="CQ58" s="44">
        <v>0</v>
      </c>
      <c r="CR58" s="44">
        <v>0</v>
      </c>
      <c r="CS58" s="44">
        <v>1000</v>
      </c>
      <c r="CV58" s="44">
        <v>0</v>
      </c>
      <c r="CW58" s="44">
        <v>0</v>
      </c>
    </row>
    <row r="59" s="44" customFormat="1" customHeight="1" spans="1:101">
      <c r="A59" s="81">
        <v>11208</v>
      </c>
      <c r="B59" s="82" t="s">
        <v>175</v>
      </c>
      <c r="O59" s="77">
        <v>0</v>
      </c>
      <c r="P59" s="77">
        <v>1</v>
      </c>
      <c r="Q59" s="77">
        <v>0</v>
      </c>
      <c r="R59" s="77">
        <v>0</v>
      </c>
      <c r="S59" s="64">
        <v>0</v>
      </c>
      <c r="T59" s="64">
        <v>0</v>
      </c>
      <c r="U59" s="64">
        <v>0</v>
      </c>
      <c r="V59" s="64">
        <v>0</v>
      </c>
      <c r="W59" s="63">
        <v>0</v>
      </c>
      <c r="X59" s="63">
        <v>0</v>
      </c>
      <c r="Y59" s="63">
        <v>0</v>
      </c>
      <c r="Z59" s="63">
        <v>0</v>
      </c>
      <c r="AA59" s="78">
        <v>0</v>
      </c>
      <c r="AB59" s="78">
        <v>0</v>
      </c>
      <c r="AC59" s="78">
        <v>0</v>
      </c>
      <c r="AD59" s="78">
        <v>0</v>
      </c>
      <c r="AE59" s="48">
        <v>200030</v>
      </c>
      <c r="AF59" s="44">
        <v>200031</v>
      </c>
      <c r="AU59" s="62">
        <v>1</v>
      </c>
      <c r="AV59" s="44">
        <v>1</v>
      </c>
      <c r="BK59" s="62">
        <v>400</v>
      </c>
      <c r="BL59" s="44">
        <v>200</v>
      </c>
      <c r="CA59" s="44">
        <v>1000</v>
      </c>
      <c r="CB59" s="44">
        <v>1000</v>
      </c>
      <c r="CC59" s="44">
        <v>0</v>
      </c>
      <c r="CD59" s="44">
        <v>1</v>
      </c>
      <c r="CE59" s="44">
        <v>0</v>
      </c>
      <c r="CF59" s="44">
        <v>0</v>
      </c>
      <c r="CG59" s="44">
        <v>0</v>
      </c>
      <c r="CH59" s="44">
        <v>0</v>
      </c>
      <c r="CI59" s="44">
        <v>1</v>
      </c>
      <c r="CJ59" s="44">
        <v>1</v>
      </c>
      <c r="CK59" s="44">
        <v>0</v>
      </c>
      <c r="CL59" s="44">
        <v>0</v>
      </c>
      <c r="CM59" s="44">
        <v>0</v>
      </c>
      <c r="CN59" s="44">
        <v>0</v>
      </c>
      <c r="CO59" s="44">
        <v>0</v>
      </c>
      <c r="CP59" s="44">
        <v>0</v>
      </c>
      <c r="CQ59" s="44">
        <v>0</v>
      </c>
      <c r="CR59" s="44">
        <v>0</v>
      </c>
      <c r="CS59" s="44">
        <v>1000</v>
      </c>
      <c r="CV59" s="44">
        <v>0</v>
      </c>
      <c r="CW59" s="44">
        <v>0</v>
      </c>
    </row>
    <row r="60" s="44" customFormat="1" customHeight="1" spans="1:101">
      <c r="A60" s="81">
        <v>11209</v>
      </c>
      <c r="B60" s="82" t="s">
        <v>176</v>
      </c>
      <c r="H60" s="44" t="s">
        <v>177</v>
      </c>
      <c r="K60" s="44">
        <v>20</v>
      </c>
      <c r="O60" s="77">
        <v>0</v>
      </c>
      <c r="P60" s="77">
        <v>1</v>
      </c>
      <c r="Q60" s="77">
        <v>0</v>
      </c>
      <c r="R60" s="77">
        <v>0</v>
      </c>
      <c r="S60" s="64">
        <v>0</v>
      </c>
      <c r="T60" s="64">
        <v>0</v>
      </c>
      <c r="U60" s="64">
        <v>0</v>
      </c>
      <c r="V60" s="64">
        <v>0</v>
      </c>
      <c r="W60" s="63">
        <v>0</v>
      </c>
      <c r="X60" s="63">
        <v>0</v>
      </c>
      <c r="Y60" s="63">
        <v>0</v>
      </c>
      <c r="Z60" s="63">
        <v>0</v>
      </c>
      <c r="AA60" s="78">
        <v>0</v>
      </c>
      <c r="AB60" s="78">
        <v>0</v>
      </c>
      <c r="AC60" s="78">
        <v>0</v>
      </c>
      <c r="AD60" s="78">
        <v>0</v>
      </c>
      <c r="AE60" s="48"/>
      <c r="AU60" s="62"/>
      <c r="BK60" s="62"/>
      <c r="CA60" s="44">
        <v>1000</v>
      </c>
      <c r="CB60" s="44">
        <v>1000</v>
      </c>
      <c r="CC60" s="44">
        <v>0</v>
      </c>
      <c r="CD60" s="44">
        <v>1</v>
      </c>
      <c r="CE60" s="44">
        <v>0</v>
      </c>
      <c r="CF60" s="44">
        <v>0</v>
      </c>
      <c r="CG60" s="44">
        <v>0</v>
      </c>
      <c r="CH60" s="44">
        <v>0</v>
      </c>
      <c r="CI60" s="44">
        <v>1</v>
      </c>
      <c r="CK60" s="44">
        <v>0</v>
      </c>
      <c r="CL60" s="44">
        <v>0</v>
      </c>
      <c r="CM60" s="44">
        <v>0</v>
      </c>
      <c r="CN60" s="44">
        <v>0</v>
      </c>
      <c r="CO60" s="44">
        <v>0</v>
      </c>
      <c r="CP60" s="44">
        <v>0</v>
      </c>
      <c r="CQ60" s="44">
        <v>0</v>
      </c>
      <c r="CR60" s="44">
        <v>0</v>
      </c>
      <c r="CV60" s="44">
        <v>0</v>
      </c>
      <c r="CW60" s="44">
        <v>0</v>
      </c>
    </row>
    <row r="61" s="44" customFormat="1" customHeight="1" spans="1:101">
      <c r="A61" s="81">
        <v>11401</v>
      </c>
      <c r="B61" s="82" t="s">
        <v>178</v>
      </c>
      <c r="H61" s="44" t="s">
        <v>179</v>
      </c>
      <c r="I61" s="44" t="s">
        <v>180</v>
      </c>
      <c r="K61" s="44" t="s">
        <v>181</v>
      </c>
      <c r="O61" s="77">
        <v>0</v>
      </c>
      <c r="P61" s="77">
        <v>1</v>
      </c>
      <c r="Q61" s="77">
        <v>0</v>
      </c>
      <c r="R61" s="77">
        <v>0</v>
      </c>
      <c r="S61" s="64">
        <v>0</v>
      </c>
      <c r="T61" s="64">
        <v>0</v>
      </c>
      <c r="U61" s="64">
        <v>0</v>
      </c>
      <c r="V61" s="64">
        <v>0</v>
      </c>
      <c r="W61" s="63">
        <v>0</v>
      </c>
      <c r="X61" s="63">
        <v>0</v>
      </c>
      <c r="Y61" s="63">
        <v>0</v>
      </c>
      <c r="Z61" s="63">
        <v>0</v>
      </c>
      <c r="AA61" s="78">
        <v>0</v>
      </c>
      <c r="AB61" s="78">
        <v>0</v>
      </c>
      <c r="AC61" s="78">
        <v>0</v>
      </c>
      <c r="AD61" s="78">
        <v>0</v>
      </c>
      <c r="AE61" s="48">
        <v>200034</v>
      </c>
      <c r="AF61" s="44">
        <v>200035</v>
      </c>
      <c r="AG61" s="44">
        <v>200036</v>
      </c>
      <c r="AH61" s="44">
        <v>310102</v>
      </c>
      <c r="AU61" s="62">
        <v>1</v>
      </c>
      <c r="AV61" s="44">
        <v>1</v>
      </c>
      <c r="AW61" s="44">
        <v>1</v>
      </c>
      <c r="AX61" s="44">
        <v>1</v>
      </c>
      <c r="BK61" s="62">
        <v>30</v>
      </c>
      <c r="BL61" s="44">
        <v>10</v>
      </c>
      <c r="BM61" s="44">
        <v>10</v>
      </c>
      <c r="BN61" s="44">
        <v>287</v>
      </c>
      <c r="CA61" s="44">
        <v>1000</v>
      </c>
      <c r="CB61" s="44">
        <v>1000</v>
      </c>
      <c r="CC61" s="44">
        <v>0</v>
      </c>
      <c r="CD61" s="44">
        <v>1</v>
      </c>
      <c r="CE61" s="44">
        <v>0</v>
      </c>
      <c r="CF61" s="44">
        <v>0</v>
      </c>
      <c r="CG61" s="44">
        <v>0</v>
      </c>
      <c r="CH61" s="44">
        <v>1</v>
      </c>
      <c r="CI61" s="44">
        <v>1</v>
      </c>
      <c r="CK61" s="44">
        <v>0</v>
      </c>
      <c r="CL61" s="44">
        <v>0</v>
      </c>
      <c r="CM61" s="44">
        <v>0</v>
      </c>
      <c r="CN61" s="44">
        <v>0</v>
      </c>
      <c r="CO61" s="44">
        <v>0</v>
      </c>
      <c r="CP61" s="44">
        <v>0</v>
      </c>
      <c r="CQ61" s="44">
        <v>0</v>
      </c>
      <c r="CR61" s="44">
        <v>0</v>
      </c>
      <c r="CV61" s="44">
        <v>0</v>
      </c>
      <c r="CW61" s="44">
        <v>0</v>
      </c>
    </row>
    <row r="62" s="44" customFormat="1" customHeight="1" spans="1:101">
      <c r="A62" s="81">
        <v>11402</v>
      </c>
      <c r="B62" s="82" t="s">
        <v>182</v>
      </c>
      <c r="H62" s="44" t="s">
        <v>183</v>
      </c>
      <c r="I62" s="44" t="s">
        <v>184</v>
      </c>
      <c r="K62" s="44" t="s">
        <v>185</v>
      </c>
      <c r="O62" s="77">
        <v>334100</v>
      </c>
      <c r="P62" s="77">
        <v>1</v>
      </c>
      <c r="Q62" s="77">
        <v>0</v>
      </c>
      <c r="R62" s="77">
        <v>0</v>
      </c>
      <c r="S62" s="64">
        <v>0</v>
      </c>
      <c r="T62" s="64">
        <v>0</v>
      </c>
      <c r="U62" s="64">
        <v>0</v>
      </c>
      <c r="V62" s="64">
        <v>0</v>
      </c>
      <c r="W62" s="63">
        <v>0</v>
      </c>
      <c r="X62" s="63">
        <v>0</v>
      </c>
      <c r="Y62" s="63">
        <v>0</v>
      </c>
      <c r="Z62" s="63">
        <v>0</v>
      </c>
      <c r="AA62" s="78">
        <v>0</v>
      </c>
      <c r="AB62" s="78">
        <v>0</v>
      </c>
      <c r="AC62" s="78">
        <v>0</v>
      </c>
      <c r="AD62" s="78">
        <v>0</v>
      </c>
      <c r="AE62" s="48">
        <v>200034</v>
      </c>
      <c r="AF62" s="44">
        <v>200035</v>
      </c>
      <c r="AG62" s="44">
        <v>200036</v>
      </c>
      <c r="AH62" s="44">
        <v>200014</v>
      </c>
      <c r="AI62" s="44">
        <v>200016</v>
      </c>
      <c r="AU62" s="62">
        <v>1</v>
      </c>
      <c r="AV62" s="44">
        <v>1</v>
      </c>
      <c r="AW62" s="44">
        <v>1</v>
      </c>
      <c r="AX62" s="44">
        <v>1</v>
      </c>
      <c r="AY62" s="44">
        <v>1</v>
      </c>
      <c r="BK62" s="62">
        <v>300</v>
      </c>
      <c r="BL62" s="44">
        <v>100</v>
      </c>
      <c r="BM62" s="44">
        <v>100</v>
      </c>
      <c r="BN62" s="44">
        <v>50</v>
      </c>
      <c r="BO62" s="44">
        <v>30</v>
      </c>
      <c r="CA62" s="44">
        <v>1000</v>
      </c>
      <c r="CB62" s="44">
        <v>1000</v>
      </c>
      <c r="CC62" s="44">
        <v>0</v>
      </c>
      <c r="CD62" s="44">
        <v>1</v>
      </c>
      <c r="CE62" s="44">
        <v>0</v>
      </c>
      <c r="CF62" s="44">
        <v>0</v>
      </c>
      <c r="CG62" s="44">
        <v>0</v>
      </c>
      <c r="CH62" s="44">
        <v>0</v>
      </c>
      <c r="CI62" s="44">
        <v>1</v>
      </c>
      <c r="CK62" s="44">
        <v>0</v>
      </c>
      <c r="CL62" s="44">
        <v>0</v>
      </c>
      <c r="CM62" s="44">
        <v>0</v>
      </c>
      <c r="CN62" s="44">
        <v>0</v>
      </c>
      <c r="CO62" s="44">
        <v>0</v>
      </c>
      <c r="CP62" s="44">
        <v>0</v>
      </c>
      <c r="CQ62" s="44">
        <v>0</v>
      </c>
      <c r="CR62" s="44">
        <v>0</v>
      </c>
      <c r="CV62" s="44">
        <v>0</v>
      </c>
      <c r="CW62" s="44">
        <v>0</v>
      </c>
    </row>
    <row r="63" s="44" customFormat="1" customHeight="1" spans="1:101">
      <c r="A63" s="81">
        <v>11403</v>
      </c>
      <c r="B63" s="82" t="s">
        <v>186</v>
      </c>
      <c r="O63" s="77">
        <v>0</v>
      </c>
      <c r="P63" s="77">
        <v>1</v>
      </c>
      <c r="Q63" s="77">
        <v>0</v>
      </c>
      <c r="R63" s="77">
        <v>0</v>
      </c>
      <c r="S63" s="64">
        <v>0</v>
      </c>
      <c r="T63" s="64">
        <v>0</v>
      </c>
      <c r="U63" s="64">
        <v>0</v>
      </c>
      <c r="V63" s="64">
        <v>0</v>
      </c>
      <c r="W63" s="63">
        <v>0</v>
      </c>
      <c r="X63" s="63">
        <v>0</v>
      </c>
      <c r="Y63" s="63">
        <v>0</v>
      </c>
      <c r="Z63" s="63">
        <v>0</v>
      </c>
      <c r="AA63" s="78">
        <v>0</v>
      </c>
      <c r="AB63" s="78">
        <v>0</v>
      </c>
      <c r="AC63" s="78">
        <v>0</v>
      </c>
      <c r="AD63" s="78">
        <v>0</v>
      </c>
      <c r="AE63" s="48">
        <v>200017</v>
      </c>
      <c r="AF63" s="44">
        <v>200020</v>
      </c>
      <c r="AU63" s="62">
        <v>1</v>
      </c>
      <c r="AV63" s="44">
        <v>1</v>
      </c>
      <c r="BK63" s="62">
        <v>1000</v>
      </c>
      <c r="BL63" s="44">
        <v>300</v>
      </c>
      <c r="CA63" s="44">
        <v>1000</v>
      </c>
      <c r="CB63" s="44">
        <v>1000</v>
      </c>
      <c r="CC63" s="44">
        <v>0</v>
      </c>
      <c r="CD63" s="44">
        <v>1</v>
      </c>
      <c r="CE63" s="44">
        <v>0</v>
      </c>
      <c r="CF63" s="44">
        <v>0</v>
      </c>
      <c r="CG63" s="44">
        <v>0</v>
      </c>
      <c r="CH63" s="44">
        <v>0</v>
      </c>
      <c r="CI63" s="44">
        <v>1</v>
      </c>
      <c r="CJ63" s="44">
        <v>1</v>
      </c>
      <c r="CK63" s="44">
        <v>0</v>
      </c>
      <c r="CL63" s="44">
        <v>0</v>
      </c>
      <c r="CM63" s="44">
        <v>0</v>
      </c>
      <c r="CN63" s="44">
        <v>0</v>
      </c>
      <c r="CO63" s="44">
        <v>0</v>
      </c>
      <c r="CP63" s="44">
        <v>0</v>
      </c>
      <c r="CQ63" s="44">
        <v>0</v>
      </c>
      <c r="CR63" s="44">
        <v>0</v>
      </c>
      <c r="CS63" s="44">
        <v>1000</v>
      </c>
      <c r="CV63" s="44">
        <v>0</v>
      </c>
      <c r="CW63" s="44">
        <v>0</v>
      </c>
    </row>
    <row r="64" s="44" customFormat="1" customHeight="1" spans="1:101">
      <c r="A64" s="81">
        <v>11404</v>
      </c>
      <c r="B64" s="82" t="s">
        <v>187</v>
      </c>
      <c r="O64" s="77">
        <v>0</v>
      </c>
      <c r="P64" s="77">
        <v>1</v>
      </c>
      <c r="Q64" s="77">
        <v>0</v>
      </c>
      <c r="R64" s="77">
        <v>0</v>
      </c>
      <c r="S64" s="64">
        <v>0</v>
      </c>
      <c r="T64" s="64">
        <v>0</v>
      </c>
      <c r="U64" s="64">
        <v>0</v>
      </c>
      <c r="V64" s="64">
        <v>0</v>
      </c>
      <c r="W64" s="63">
        <v>0</v>
      </c>
      <c r="X64" s="63">
        <v>0</v>
      </c>
      <c r="Y64" s="63">
        <v>0</v>
      </c>
      <c r="Z64" s="63">
        <v>0</v>
      </c>
      <c r="AA64" s="78">
        <v>0</v>
      </c>
      <c r="AB64" s="78">
        <v>0</v>
      </c>
      <c r="AC64" s="78">
        <v>0</v>
      </c>
      <c r="AD64" s="78">
        <v>0</v>
      </c>
      <c r="AE64" s="48">
        <v>200025</v>
      </c>
      <c r="AF64" s="44">
        <v>200026</v>
      </c>
      <c r="AU64" s="62">
        <v>1</v>
      </c>
      <c r="AV64" s="44">
        <v>1</v>
      </c>
      <c r="BK64" s="62">
        <v>1000</v>
      </c>
      <c r="BL64" s="44">
        <v>600</v>
      </c>
      <c r="CA64" s="44">
        <v>1000</v>
      </c>
      <c r="CB64" s="44">
        <v>1000</v>
      </c>
      <c r="CC64" s="44">
        <v>0</v>
      </c>
      <c r="CD64" s="44">
        <v>1</v>
      </c>
      <c r="CE64" s="44">
        <v>0</v>
      </c>
      <c r="CF64" s="44">
        <v>0</v>
      </c>
      <c r="CG64" s="44">
        <v>0</v>
      </c>
      <c r="CH64" s="44">
        <v>0</v>
      </c>
      <c r="CI64" s="44">
        <v>1</v>
      </c>
      <c r="CJ64" s="44">
        <v>1</v>
      </c>
      <c r="CK64" s="44">
        <v>0</v>
      </c>
      <c r="CL64" s="44">
        <v>0</v>
      </c>
      <c r="CM64" s="44">
        <v>0</v>
      </c>
      <c r="CN64" s="44">
        <v>0</v>
      </c>
      <c r="CO64" s="44">
        <v>0</v>
      </c>
      <c r="CP64" s="44">
        <v>0</v>
      </c>
      <c r="CQ64" s="44">
        <v>0</v>
      </c>
      <c r="CR64" s="44">
        <v>0</v>
      </c>
      <c r="CS64" s="44">
        <v>1000</v>
      </c>
      <c r="CV64" s="44">
        <v>0</v>
      </c>
      <c r="CW64" s="44">
        <v>0</v>
      </c>
    </row>
    <row r="65" s="44" customFormat="1" customHeight="1" spans="1:101">
      <c r="A65" s="81">
        <v>11405</v>
      </c>
      <c r="B65" s="82" t="s">
        <v>188</v>
      </c>
      <c r="O65" s="77">
        <v>0</v>
      </c>
      <c r="P65" s="77">
        <v>1</v>
      </c>
      <c r="Q65" s="77">
        <v>0</v>
      </c>
      <c r="R65" s="77">
        <v>0</v>
      </c>
      <c r="S65" s="64">
        <v>0</v>
      </c>
      <c r="T65" s="64">
        <v>0</v>
      </c>
      <c r="U65" s="64">
        <v>0</v>
      </c>
      <c r="V65" s="64">
        <v>0</v>
      </c>
      <c r="W65" s="63">
        <v>0</v>
      </c>
      <c r="X65" s="63">
        <v>0</v>
      </c>
      <c r="Y65" s="63">
        <v>0</v>
      </c>
      <c r="Z65" s="63">
        <v>0</v>
      </c>
      <c r="AA65" s="78">
        <v>0</v>
      </c>
      <c r="AB65" s="78">
        <v>0</v>
      </c>
      <c r="AC65" s="78">
        <v>0</v>
      </c>
      <c r="AD65" s="78">
        <v>0</v>
      </c>
      <c r="AE65" s="48">
        <v>200028</v>
      </c>
      <c r="AF65" s="44">
        <v>200029</v>
      </c>
      <c r="AU65" s="62">
        <v>1</v>
      </c>
      <c r="AV65" s="44">
        <v>1</v>
      </c>
      <c r="BK65" s="62">
        <v>650</v>
      </c>
      <c r="BL65" s="44">
        <v>370</v>
      </c>
      <c r="CA65" s="44">
        <v>1000</v>
      </c>
      <c r="CB65" s="44">
        <v>1000</v>
      </c>
      <c r="CC65" s="44">
        <v>0</v>
      </c>
      <c r="CD65" s="44">
        <v>1</v>
      </c>
      <c r="CE65" s="44">
        <v>0</v>
      </c>
      <c r="CF65" s="44">
        <v>0</v>
      </c>
      <c r="CG65" s="44">
        <v>0</v>
      </c>
      <c r="CH65" s="44">
        <v>0</v>
      </c>
      <c r="CI65" s="44">
        <v>1</v>
      </c>
      <c r="CJ65" s="44">
        <v>1</v>
      </c>
      <c r="CK65" s="44">
        <v>0</v>
      </c>
      <c r="CL65" s="44">
        <v>0</v>
      </c>
      <c r="CM65" s="44">
        <v>0</v>
      </c>
      <c r="CN65" s="44">
        <v>0</v>
      </c>
      <c r="CO65" s="44">
        <v>0</v>
      </c>
      <c r="CP65" s="44">
        <v>0</v>
      </c>
      <c r="CQ65" s="44">
        <v>0</v>
      </c>
      <c r="CR65" s="44">
        <v>0</v>
      </c>
      <c r="CS65" s="44">
        <v>1000</v>
      </c>
      <c r="CV65" s="44">
        <v>0</v>
      </c>
      <c r="CW65" s="44">
        <v>0</v>
      </c>
    </row>
    <row r="66" s="44" customFormat="1" customHeight="1" spans="1:101">
      <c r="A66" s="81">
        <v>11406</v>
      </c>
      <c r="B66" s="82" t="s">
        <v>189</v>
      </c>
      <c r="O66" s="77">
        <v>0</v>
      </c>
      <c r="P66" s="77">
        <v>1</v>
      </c>
      <c r="Q66" s="77">
        <v>0</v>
      </c>
      <c r="R66" s="77">
        <v>0</v>
      </c>
      <c r="S66" s="64">
        <v>0</v>
      </c>
      <c r="T66" s="64">
        <v>0</v>
      </c>
      <c r="U66" s="64">
        <v>0</v>
      </c>
      <c r="V66" s="64">
        <v>0</v>
      </c>
      <c r="W66" s="63">
        <v>0</v>
      </c>
      <c r="X66" s="63">
        <v>0</v>
      </c>
      <c r="Y66" s="63">
        <v>0</v>
      </c>
      <c r="Z66" s="63">
        <v>0</v>
      </c>
      <c r="AA66" s="78">
        <v>0</v>
      </c>
      <c r="AB66" s="78">
        <v>0</v>
      </c>
      <c r="AC66" s="78">
        <v>0</v>
      </c>
      <c r="AD66" s="78">
        <v>0</v>
      </c>
      <c r="AE66" s="48">
        <v>200030</v>
      </c>
      <c r="AF66" s="44">
        <v>200031</v>
      </c>
      <c r="AU66" s="62">
        <v>1</v>
      </c>
      <c r="AV66" s="44">
        <v>1</v>
      </c>
      <c r="BK66" s="62">
        <v>400</v>
      </c>
      <c r="BL66" s="44">
        <v>200</v>
      </c>
      <c r="CA66" s="44">
        <v>1000</v>
      </c>
      <c r="CB66" s="44">
        <v>1000</v>
      </c>
      <c r="CC66" s="44">
        <v>0</v>
      </c>
      <c r="CD66" s="44">
        <v>1</v>
      </c>
      <c r="CE66" s="44">
        <v>0</v>
      </c>
      <c r="CF66" s="44">
        <v>0</v>
      </c>
      <c r="CG66" s="44">
        <v>0</v>
      </c>
      <c r="CH66" s="44">
        <v>0</v>
      </c>
      <c r="CI66" s="44">
        <v>1</v>
      </c>
      <c r="CJ66" s="44">
        <v>1</v>
      </c>
      <c r="CK66" s="44">
        <v>0</v>
      </c>
      <c r="CL66" s="44">
        <v>0</v>
      </c>
      <c r="CM66" s="44">
        <v>0</v>
      </c>
      <c r="CN66" s="44">
        <v>0</v>
      </c>
      <c r="CO66" s="44">
        <v>0</v>
      </c>
      <c r="CP66" s="44">
        <v>0</v>
      </c>
      <c r="CQ66" s="44">
        <v>0</v>
      </c>
      <c r="CR66" s="44">
        <v>0</v>
      </c>
      <c r="CS66" s="44">
        <v>1000</v>
      </c>
      <c r="CV66" s="44">
        <v>0</v>
      </c>
      <c r="CW66" s="44">
        <v>0</v>
      </c>
    </row>
    <row r="67" s="45" customFormat="1" customHeight="1" spans="1:102">
      <c r="A67" s="81">
        <v>11407</v>
      </c>
      <c r="B67" s="82" t="s">
        <v>190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77">
        <v>0</v>
      </c>
      <c r="P67" s="77">
        <v>1</v>
      </c>
      <c r="Q67" s="77">
        <v>0</v>
      </c>
      <c r="R67" s="77">
        <v>0</v>
      </c>
      <c r="S67" s="64">
        <v>0</v>
      </c>
      <c r="T67" s="64">
        <v>0</v>
      </c>
      <c r="U67" s="64">
        <v>0</v>
      </c>
      <c r="V67" s="64">
        <v>0</v>
      </c>
      <c r="W67" s="63">
        <v>0</v>
      </c>
      <c r="X67" s="63">
        <v>0</v>
      </c>
      <c r="Y67" s="63">
        <v>0</v>
      </c>
      <c r="Z67" s="63">
        <v>0</v>
      </c>
      <c r="AA67" s="78">
        <v>0</v>
      </c>
      <c r="AB67" s="78">
        <v>0</v>
      </c>
      <c r="AC67" s="78">
        <v>0</v>
      </c>
      <c r="AD67" s="78">
        <v>0</v>
      </c>
      <c r="AE67" s="48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62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62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>
        <v>1000</v>
      </c>
      <c r="CB67" s="44">
        <v>1000</v>
      </c>
      <c r="CC67" s="44">
        <v>0</v>
      </c>
      <c r="CD67" s="44">
        <v>1</v>
      </c>
      <c r="CE67" s="44">
        <v>0</v>
      </c>
      <c r="CF67" s="44">
        <v>0</v>
      </c>
      <c r="CG67" s="44">
        <v>0</v>
      </c>
      <c r="CH67" s="44">
        <v>0</v>
      </c>
      <c r="CI67" s="44">
        <v>1</v>
      </c>
      <c r="CJ67" s="44"/>
      <c r="CK67" s="44">
        <v>0</v>
      </c>
      <c r="CL67" s="44">
        <v>0</v>
      </c>
      <c r="CM67" s="44">
        <v>0</v>
      </c>
      <c r="CN67" s="44">
        <v>0</v>
      </c>
      <c r="CO67" s="44">
        <v>0</v>
      </c>
      <c r="CP67" s="44">
        <v>0</v>
      </c>
      <c r="CQ67" s="44">
        <v>1</v>
      </c>
      <c r="CR67" s="44">
        <v>0</v>
      </c>
      <c r="CS67" s="44"/>
      <c r="CT67" s="44"/>
      <c r="CU67" s="44"/>
      <c r="CV67" s="44">
        <v>0</v>
      </c>
      <c r="CW67" s="44">
        <v>0</v>
      </c>
      <c r="CX67" s="44"/>
    </row>
    <row r="68" s="45" customFormat="1" customHeight="1" spans="1:102">
      <c r="A68" s="81">
        <v>11408</v>
      </c>
      <c r="B68" s="82" t="s">
        <v>191</v>
      </c>
      <c r="C68" s="44"/>
      <c r="D68" s="44"/>
      <c r="E68" s="44"/>
      <c r="F68" s="44"/>
      <c r="G68" s="44"/>
      <c r="H68" s="44" t="s">
        <v>180</v>
      </c>
      <c r="I68" s="44"/>
      <c r="J68" s="44"/>
      <c r="K68" s="44"/>
      <c r="L68" s="44"/>
      <c r="M68" s="44"/>
      <c r="N68" s="44"/>
      <c r="O68" s="77">
        <v>0</v>
      </c>
      <c r="P68" s="77">
        <v>1</v>
      </c>
      <c r="Q68" s="77">
        <v>0</v>
      </c>
      <c r="R68" s="77">
        <v>0</v>
      </c>
      <c r="S68" s="64">
        <v>0</v>
      </c>
      <c r="T68" s="64">
        <v>0</v>
      </c>
      <c r="U68" s="64">
        <v>0</v>
      </c>
      <c r="V68" s="64">
        <v>0</v>
      </c>
      <c r="W68" s="63">
        <v>0</v>
      </c>
      <c r="X68" s="63">
        <v>0</v>
      </c>
      <c r="Y68" s="63">
        <v>0</v>
      </c>
      <c r="Z68" s="63">
        <v>0</v>
      </c>
      <c r="AA68" s="78">
        <v>0</v>
      </c>
      <c r="AB68" s="78">
        <v>0</v>
      </c>
      <c r="AC68" s="78">
        <v>0</v>
      </c>
      <c r="AD68" s="78">
        <v>0</v>
      </c>
      <c r="AE68" s="48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62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62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>
        <v>1000</v>
      </c>
      <c r="CB68" s="44">
        <v>1000</v>
      </c>
      <c r="CC68" s="44">
        <v>0</v>
      </c>
      <c r="CD68" s="44">
        <v>1</v>
      </c>
      <c r="CE68" s="44">
        <v>0</v>
      </c>
      <c r="CF68" s="44">
        <v>0</v>
      </c>
      <c r="CG68" s="44">
        <v>0</v>
      </c>
      <c r="CH68" s="44">
        <v>0</v>
      </c>
      <c r="CI68" s="44">
        <v>1</v>
      </c>
      <c r="CJ68" s="44"/>
      <c r="CK68" s="44">
        <v>0</v>
      </c>
      <c r="CL68" s="44">
        <v>0</v>
      </c>
      <c r="CM68" s="44">
        <v>0</v>
      </c>
      <c r="CN68" s="44">
        <v>0</v>
      </c>
      <c r="CO68" s="44">
        <v>0</v>
      </c>
      <c r="CP68" s="44">
        <v>0</v>
      </c>
      <c r="CQ68" s="44">
        <v>1</v>
      </c>
      <c r="CR68" s="44">
        <v>0</v>
      </c>
      <c r="CS68" s="44"/>
      <c r="CT68" s="44"/>
      <c r="CU68" s="44"/>
      <c r="CV68" s="44">
        <v>0</v>
      </c>
      <c r="CW68" s="44">
        <v>0</v>
      </c>
      <c r="CX68" s="44"/>
    </row>
    <row r="69" s="45" customFormat="1" customHeight="1" spans="1:102">
      <c r="A69" s="81">
        <v>11409</v>
      </c>
      <c r="B69" s="82" t="s">
        <v>192</v>
      </c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77">
        <v>0</v>
      </c>
      <c r="P69" s="77">
        <v>1</v>
      </c>
      <c r="Q69" s="77">
        <v>0</v>
      </c>
      <c r="R69" s="77">
        <v>0</v>
      </c>
      <c r="S69" s="64">
        <v>0</v>
      </c>
      <c r="T69" s="64">
        <v>0</v>
      </c>
      <c r="U69" s="64">
        <v>0</v>
      </c>
      <c r="V69" s="64">
        <v>0</v>
      </c>
      <c r="W69" s="63">
        <v>0</v>
      </c>
      <c r="X69" s="63">
        <v>0</v>
      </c>
      <c r="Y69" s="63">
        <v>0</v>
      </c>
      <c r="Z69" s="63">
        <v>0</v>
      </c>
      <c r="AA69" s="78">
        <v>0</v>
      </c>
      <c r="AB69" s="78">
        <v>0</v>
      </c>
      <c r="AC69" s="78">
        <v>0</v>
      </c>
      <c r="AD69" s="78">
        <v>0</v>
      </c>
      <c r="AE69" s="48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62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62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>
        <v>1000</v>
      </c>
      <c r="CB69" s="44">
        <v>1000</v>
      </c>
      <c r="CC69" s="44">
        <v>0</v>
      </c>
      <c r="CD69" s="44">
        <v>1</v>
      </c>
      <c r="CE69" s="44">
        <v>0</v>
      </c>
      <c r="CF69" s="44">
        <v>0</v>
      </c>
      <c r="CG69" s="44">
        <v>0</v>
      </c>
      <c r="CH69" s="44">
        <v>0</v>
      </c>
      <c r="CI69" s="44">
        <v>1</v>
      </c>
      <c r="CJ69" s="44"/>
      <c r="CK69" s="44">
        <v>0</v>
      </c>
      <c r="CL69" s="44">
        <v>0</v>
      </c>
      <c r="CM69" s="44">
        <v>0</v>
      </c>
      <c r="CN69" s="44">
        <v>0</v>
      </c>
      <c r="CO69" s="44">
        <v>0</v>
      </c>
      <c r="CP69" s="44">
        <v>0</v>
      </c>
      <c r="CQ69" s="44">
        <v>1</v>
      </c>
      <c r="CR69" s="44">
        <v>0</v>
      </c>
      <c r="CS69" s="44"/>
      <c r="CT69" s="44"/>
      <c r="CU69" s="44"/>
      <c r="CV69" s="44">
        <v>0</v>
      </c>
      <c r="CW69" s="44">
        <v>0</v>
      </c>
      <c r="CX69" s="44"/>
    </row>
    <row r="70" s="44" customFormat="1" customHeight="1" spans="1:101">
      <c r="A70" s="81">
        <v>11410</v>
      </c>
      <c r="B70" s="82" t="s">
        <v>193</v>
      </c>
      <c r="H70" s="44" t="s">
        <v>194</v>
      </c>
      <c r="O70" s="77">
        <v>0</v>
      </c>
      <c r="P70" s="77">
        <v>1</v>
      </c>
      <c r="Q70" s="77">
        <v>0</v>
      </c>
      <c r="R70" s="77">
        <v>0</v>
      </c>
      <c r="S70" s="64">
        <v>0</v>
      </c>
      <c r="T70" s="64">
        <v>0</v>
      </c>
      <c r="U70" s="64">
        <v>0</v>
      </c>
      <c r="V70" s="64">
        <v>0</v>
      </c>
      <c r="W70" s="63">
        <v>0</v>
      </c>
      <c r="X70" s="63">
        <v>0</v>
      </c>
      <c r="Y70" s="63">
        <v>0</v>
      </c>
      <c r="Z70" s="63">
        <v>0</v>
      </c>
      <c r="AA70" s="78">
        <v>0</v>
      </c>
      <c r="AB70" s="78">
        <v>0</v>
      </c>
      <c r="AC70" s="78">
        <v>0</v>
      </c>
      <c r="AD70" s="78">
        <v>0</v>
      </c>
      <c r="AE70" s="48"/>
      <c r="AU70" s="62"/>
      <c r="BK70" s="62"/>
      <c r="CA70" s="44">
        <v>1000</v>
      </c>
      <c r="CB70" s="44">
        <v>1000</v>
      </c>
      <c r="CC70" s="44">
        <v>0</v>
      </c>
      <c r="CD70" s="44">
        <v>1</v>
      </c>
      <c r="CE70" s="44">
        <v>0</v>
      </c>
      <c r="CF70" s="44">
        <v>0</v>
      </c>
      <c r="CG70" s="44">
        <v>0</v>
      </c>
      <c r="CH70" s="44">
        <v>0</v>
      </c>
      <c r="CI70" s="44">
        <v>1</v>
      </c>
      <c r="CK70" s="44">
        <v>0</v>
      </c>
      <c r="CL70" s="44">
        <v>0</v>
      </c>
      <c r="CM70" s="44">
        <v>0</v>
      </c>
      <c r="CN70" s="44">
        <v>0</v>
      </c>
      <c r="CO70" s="44">
        <v>0</v>
      </c>
      <c r="CP70" s="44">
        <v>0</v>
      </c>
      <c r="CQ70" s="44">
        <v>1</v>
      </c>
      <c r="CR70" s="44">
        <v>0</v>
      </c>
      <c r="CV70" s="44">
        <v>0</v>
      </c>
      <c r="CW70" s="44">
        <v>0</v>
      </c>
    </row>
    <row r="71" s="44" customFormat="1" customHeight="1" spans="1:101">
      <c r="A71" s="81">
        <v>11411</v>
      </c>
      <c r="B71" s="82" t="s">
        <v>195</v>
      </c>
      <c r="O71" s="77">
        <v>0</v>
      </c>
      <c r="P71" s="77">
        <v>1</v>
      </c>
      <c r="Q71" s="77">
        <v>0</v>
      </c>
      <c r="R71" s="77">
        <v>0</v>
      </c>
      <c r="S71" s="64">
        <v>0</v>
      </c>
      <c r="T71" s="64">
        <v>0</v>
      </c>
      <c r="U71" s="64">
        <v>0</v>
      </c>
      <c r="V71" s="64">
        <v>0</v>
      </c>
      <c r="W71" s="63">
        <v>0</v>
      </c>
      <c r="X71" s="63">
        <v>0</v>
      </c>
      <c r="Y71" s="63">
        <v>0</v>
      </c>
      <c r="Z71" s="63">
        <v>0</v>
      </c>
      <c r="AA71" s="78">
        <v>0</v>
      </c>
      <c r="AB71" s="78">
        <v>0</v>
      </c>
      <c r="AC71" s="78">
        <v>0</v>
      </c>
      <c r="AD71" s="78">
        <v>0</v>
      </c>
      <c r="AE71" s="48">
        <v>200011</v>
      </c>
      <c r="AF71" s="44">
        <v>200037</v>
      </c>
      <c r="AG71" s="44">
        <v>200042</v>
      </c>
      <c r="AH71" s="44">
        <v>200034</v>
      </c>
      <c r="AI71" s="44">
        <v>310000</v>
      </c>
      <c r="AJ71" s="44">
        <v>310001</v>
      </c>
      <c r="AK71" s="44">
        <v>310102</v>
      </c>
      <c r="AL71" s="44">
        <v>200014</v>
      </c>
      <c r="AM71" s="44">
        <v>360000</v>
      </c>
      <c r="AN71" s="44">
        <v>200049</v>
      </c>
      <c r="AO71" s="44">
        <v>200015</v>
      </c>
      <c r="AU71" s="62">
        <v>1</v>
      </c>
      <c r="AV71" s="44">
        <v>1</v>
      </c>
      <c r="AW71" s="44">
        <v>1</v>
      </c>
      <c r="AX71" s="44">
        <v>1</v>
      </c>
      <c r="AY71" s="44">
        <v>1</v>
      </c>
      <c r="AZ71" s="44">
        <v>1</v>
      </c>
      <c r="BA71" s="44">
        <v>1</v>
      </c>
      <c r="BB71" s="44">
        <v>1</v>
      </c>
      <c r="BC71" s="44">
        <v>1</v>
      </c>
      <c r="BD71" s="44">
        <v>1</v>
      </c>
      <c r="BE71" s="44">
        <v>1</v>
      </c>
      <c r="BK71" s="62">
        <v>74</v>
      </c>
      <c r="BL71" s="44">
        <v>148</v>
      </c>
      <c r="BM71" s="44">
        <v>45</v>
      </c>
      <c r="BN71" s="44">
        <v>133</v>
      </c>
      <c r="BO71" s="44">
        <v>111</v>
      </c>
      <c r="BP71" s="44">
        <v>45</v>
      </c>
      <c r="BQ71" s="44">
        <v>178</v>
      </c>
      <c r="BR71" s="44">
        <v>89</v>
      </c>
      <c r="BS71" s="44">
        <v>133</v>
      </c>
      <c r="BT71" s="44">
        <v>22</v>
      </c>
      <c r="BU71" s="44">
        <v>22</v>
      </c>
      <c r="CA71" s="44">
        <v>1000</v>
      </c>
      <c r="CB71" s="44">
        <v>1000</v>
      </c>
      <c r="CC71" s="44">
        <v>0</v>
      </c>
      <c r="CD71" s="44">
        <v>1</v>
      </c>
      <c r="CE71" s="44">
        <v>0</v>
      </c>
      <c r="CF71" s="44">
        <v>0</v>
      </c>
      <c r="CG71" s="44">
        <v>0</v>
      </c>
      <c r="CH71" s="44">
        <v>0</v>
      </c>
      <c r="CI71" s="44">
        <v>1</v>
      </c>
      <c r="CK71" s="44">
        <v>0</v>
      </c>
      <c r="CL71" s="44">
        <v>0</v>
      </c>
      <c r="CM71" s="44">
        <v>0</v>
      </c>
      <c r="CN71" s="44">
        <v>0</v>
      </c>
      <c r="CO71" s="44">
        <v>0</v>
      </c>
      <c r="CP71" s="44">
        <v>0</v>
      </c>
      <c r="CQ71" s="44">
        <v>1</v>
      </c>
      <c r="CR71" s="44">
        <v>0</v>
      </c>
      <c r="CV71" s="44">
        <v>0</v>
      </c>
      <c r="CW71" s="44">
        <v>0</v>
      </c>
    </row>
    <row r="72" s="44" customFormat="1" customHeight="1" spans="1:101">
      <c r="A72" s="81">
        <v>11412</v>
      </c>
      <c r="B72" s="82" t="s">
        <v>196</v>
      </c>
      <c r="O72" s="77">
        <v>0</v>
      </c>
      <c r="P72" s="77">
        <v>1</v>
      </c>
      <c r="Q72" s="77">
        <v>0</v>
      </c>
      <c r="R72" s="77">
        <v>0</v>
      </c>
      <c r="S72" s="64">
        <v>0</v>
      </c>
      <c r="T72" s="64">
        <v>0</v>
      </c>
      <c r="U72" s="64">
        <v>0</v>
      </c>
      <c r="V72" s="64">
        <v>0</v>
      </c>
      <c r="W72" s="63">
        <v>0</v>
      </c>
      <c r="X72" s="63">
        <v>0</v>
      </c>
      <c r="Y72" s="63">
        <v>0</v>
      </c>
      <c r="Z72" s="63">
        <v>0</v>
      </c>
      <c r="AA72" s="78">
        <v>0</v>
      </c>
      <c r="AB72" s="78">
        <v>0</v>
      </c>
      <c r="AC72" s="78">
        <v>0</v>
      </c>
      <c r="AD72" s="78">
        <v>0</v>
      </c>
      <c r="AE72" s="48">
        <v>200011</v>
      </c>
      <c r="AF72" s="44">
        <v>200038</v>
      </c>
      <c r="AG72" s="44">
        <v>200043</v>
      </c>
      <c r="AH72" s="44">
        <v>200034</v>
      </c>
      <c r="AI72" s="44">
        <v>310000</v>
      </c>
      <c r="AJ72" s="44">
        <v>310001</v>
      </c>
      <c r="AK72" s="44">
        <v>310102</v>
      </c>
      <c r="AL72" s="44">
        <v>200014</v>
      </c>
      <c r="AM72" s="44">
        <v>360000</v>
      </c>
      <c r="AN72" s="44">
        <v>200049</v>
      </c>
      <c r="AO72" s="44">
        <v>200015</v>
      </c>
      <c r="AU72" s="62">
        <v>1</v>
      </c>
      <c r="AV72" s="44">
        <v>1</v>
      </c>
      <c r="AW72" s="44">
        <v>1</v>
      </c>
      <c r="AX72" s="44">
        <v>1</v>
      </c>
      <c r="AY72" s="44">
        <v>1</v>
      </c>
      <c r="AZ72" s="44">
        <v>1</v>
      </c>
      <c r="BA72" s="44">
        <v>1</v>
      </c>
      <c r="BB72" s="44">
        <v>1</v>
      </c>
      <c r="BC72" s="44">
        <v>1</v>
      </c>
      <c r="BD72" s="44">
        <v>1</v>
      </c>
      <c r="BE72" s="44">
        <v>1</v>
      </c>
      <c r="BK72" s="62">
        <v>74</v>
      </c>
      <c r="BL72" s="44">
        <v>148</v>
      </c>
      <c r="BM72" s="44">
        <v>45</v>
      </c>
      <c r="BN72" s="44">
        <v>133</v>
      </c>
      <c r="BO72" s="44">
        <v>111</v>
      </c>
      <c r="BP72" s="44">
        <v>45</v>
      </c>
      <c r="BQ72" s="44">
        <v>178</v>
      </c>
      <c r="BR72" s="44">
        <v>89</v>
      </c>
      <c r="BS72" s="44">
        <v>133</v>
      </c>
      <c r="BT72" s="44">
        <v>22</v>
      </c>
      <c r="BU72" s="44">
        <v>22</v>
      </c>
      <c r="CA72" s="44">
        <v>1000</v>
      </c>
      <c r="CB72" s="44">
        <v>1000</v>
      </c>
      <c r="CC72" s="44">
        <v>0</v>
      </c>
      <c r="CD72" s="44">
        <v>1</v>
      </c>
      <c r="CE72" s="44">
        <v>0</v>
      </c>
      <c r="CF72" s="44">
        <v>0</v>
      </c>
      <c r="CG72" s="44">
        <v>0</v>
      </c>
      <c r="CH72" s="44">
        <v>0</v>
      </c>
      <c r="CI72" s="44">
        <v>1</v>
      </c>
      <c r="CK72" s="44">
        <v>0</v>
      </c>
      <c r="CL72" s="44">
        <v>0</v>
      </c>
      <c r="CM72" s="44">
        <v>0</v>
      </c>
      <c r="CN72" s="44">
        <v>0</v>
      </c>
      <c r="CO72" s="44">
        <v>0</v>
      </c>
      <c r="CP72" s="44">
        <v>0</v>
      </c>
      <c r="CQ72" s="44">
        <v>1</v>
      </c>
      <c r="CR72" s="44">
        <v>0</v>
      </c>
      <c r="CV72" s="44">
        <v>0</v>
      </c>
      <c r="CW72" s="44">
        <v>0</v>
      </c>
    </row>
    <row r="73" s="44" customFormat="1" customHeight="1" spans="1:101">
      <c r="A73" s="81">
        <v>11413</v>
      </c>
      <c r="B73" s="82" t="s">
        <v>197</v>
      </c>
      <c r="O73" s="77">
        <v>0</v>
      </c>
      <c r="P73" s="77">
        <v>1</v>
      </c>
      <c r="Q73" s="77">
        <v>0</v>
      </c>
      <c r="R73" s="77">
        <v>0</v>
      </c>
      <c r="S73" s="64">
        <v>0</v>
      </c>
      <c r="T73" s="64">
        <v>0</v>
      </c>
      <c r="U73" s="64">
        <v>0</v>
      </c>
      <c r="V73" s="64">
        <v>0</v>
      </c>
      <c r="W73" s="63">
        <v>0</v>
      </c>
      <c r="X73" s="63">
        <v>0</v>
      </c>
      <c r="Y73" s="63">
        <v>0</v>
      </c>
      <c r="Z73" s="63">
        <v>0</v>
      </c>
      <c r="AA73" s="78">
        <v>0</v>
      </c>
      <c r="AB73" s="78">
        <v>0</v>
      </c>
      <c r="AC73" s="78">
        <v>0</v>
      </c>
      <c r="AD73" s="78">
        <v>0</v>
      </c>
      <c r="AE73" s="48">
        <v>200011</v>
      </c>
      <c r="AF73" s="44">
        <v>200039</v>
      </c>
      <c r="AG73" s="44">
        <v>200044</v>
      </c>
      <c r="AH73" s="44">
        <v>200047</v>
      </c>
      <c r="AI73" s="44">
        <v>310000</v>
      </c>
      <c r="AJ73" s="44">
        <v>310001</v>
      </c>
      <c r="AK73" s="44">
        <v>310102</v>
      </c>
      <c r="AL73" s="44">
        <v>200014</v>
      </c>
      <c r="AM73" s="44">
        <v>360000</v>
      </c>
      <c r="AN73" s="44">
        <v>200049</v>
      </c>
      <c r="AO73" s="44">
        <v>200015</v>
      </c>
      <c r="AU73" s="62">
        <v>1</v>
      </c>
      <c r="AV73" s="44">
        <v>1</v>
      </c>
      <c r="AW73" s="44">
        <v>1</v>
      </c>
      <c r="AX73" s="44">
        <v>1</v>
      </c>
      <c r="AY73" s="44">
        <v>1</v>
      </c>
      <c r="AZ73" s="44">
        <v>1</v>
      </c>
      <c r="BA73" s="44">
        <v>1</v>
      </c>
      <c r="BB73" s="44">
        <v>1</v>
      </c>
      <c r="BC73" s="44">
        <v>1</v>
      </c>
      <c r="BD73" s="44">
        <v>1</v>
      </c>
      <c r="BE73" s="44">
        <v>1</v>
      </c>
      <c r="BK73" s="62">
        <v>74</v>
      </c>
      <c r="BL73" s="44">
        <v>148</v>
      </c>
      <c r="BM73" s="44">
        <v>45</v>
      </c>
      <c r="BN73" s="44">
        <v>133</v>
      </c>
      <c r="BO73" s="44">
        <v>111</v>
      </c>
      <c r="BP73" s="44">
        <v>45</v>
      </c>
      <c r="BQ73" s="44">
        <v>178</v>
      </c>
      <c r="BR73" s="44">
        <v>89</v>
      </c>
      <c r="BS73" s="44">
        <v>133</v>
      </c>
      <c r="BT73" s="44">
        <v>22</v>
      </c>
      <c r="BU73" s="44">
        <v>22</v>
      </c>
      <c r="CA73" s="44">
        <v>1000</v>
      </c>
      <c r="CB73" s="44">
        <v>1000</v>
      </c>
      <c r="CC73" s="44">
        <v>0</v>
      </c>
      <c r="CD73" s="44">
        <v>1</v>
      </c>
      <c r="CE73" s="44">
        <v>0</v>
      </c>
      <c r="CF73" s="44">
        <v>0</v>
      </c>
      <c r="CG73" s="44">
        <v>0</v>
      </c>
      <c r="CH73" s="44">
        <v>0</v>
      </c>
      <c r="CI73" s="44">
        <v>1</v>
      </c>
      <c r="CK73" s="44">
        <v>0</v>
      </c>
      <c r="CL73" s="44">
        <v>0</v>
      </c>
      <c r="CM73" s="44">
        <v>0</v>
      </c>
      <c r="CN73" s="44">
        <v>0</v>
      </c>
      <c r="CO73" s="44">
        <v>0</v>
      </c>
      <c r="CP73" s="44">
        <v>0</v>
      </c>
      <c r="CQ73" s="44">
        <v>1</v>
      </c>
      <c r="CR73" s="44">
        <v>0</v>
      </c>
      <c r="CV73" s="44">
        <v>0</v>
      </c>
      <c r="CW73" s="44">
        <v>0</v>
      </c>
    </row>
    <row r="74" s="44" customFormat="1" customHeight="1" spans="1:101">
      <c r="A74" s="81">
        <v>11414</v>
      </c>
      <c r="B74" s="82" t="s">
        <v>198</v>
      </c>
      <c r="O74" s="77">
        <v>0</v>
      </c>
      <c r="P74" s="77">
        <v>1</v>
      </c>
      <c r="Q74" s="77">
        <v>0</v>
      </c>
      <c r="R74" s="77">
        <v>0</v>
      </c>
      <c r="S74" s="64">
        <v>0</v>
      </c>
      <c r="T74" s="64">
        <v>0</v>
      </c>
      <c r="U74" s="64">
        <v>0</v>
      </c>
      <c r="V74" s="64">
        <v>0</v>
      </c>
      <c r="W74" s="63">
        <v>0</v>
      </c>
      <c r="X74" s="63">
        <v>0</v>
      </c>
      <c r="Y74" s="63">
        <v>0</v>
      </c>
      <c r="Z74" s="63">
        <v>0</v>
      </c>
      <c r="AA74" s="78">
        <v>0</v>
      </c>
      <c r="AB74" s="78">
        <v>0</v>
      </c>
      <c r="AC74" s="78">
        <v>0</v>
      </c>
      <c r="AD74" s="78">
        <v>0</v>
      </c>
      <c r="AE74" s="48">
        <v>200011</v>
      </c>
      <c r="AF74" s="44">
        <v>200040</v>
      </c>
      <c r="AG74" s="44">
        <v>200045</v>
      </c>
      <c r="AH74" s="44">
        <v>200048</v>
      </c>
      <c r="AI74" s="44">
        <v>310000</v>
      </c>
      <c r="AJ74" s="44">
        <v>310001</v>
      </c>
      <c r="AK74" s="44">
        <v>310102</v>
      </c>
      <c r="AL74" s="44">
        <v>200014</v>
      </c>
      <c r="AM74" s="44">
        <v>360000</v>
      </c>
      <c r="AN74" s="44">
        <v>200049</v>
      </c>
      <c r="AO74" s="44">
        <v>200015</v>
      </c>
      <c r="AU74" s="62">
        <v>1</v>
      </c>
      <c r="AV74" s="44">
        <v>1</v>
      </c>
      <c r="AW74" s="44">
        <v>1</v>
      </c>
      <c r="AX74" s="44">
        <v>1</v>
      </c>
      <c r="AY74" s="44">
        <v>1</v>
      </c>
      <c r="AZ74" s="44">
        <v>1</v>
      </c>
      <c r="BA74" s="44">
        <v>1</v>
      </c>
      <c r="BB74" s="44">
        <v>1</v>
      </c>
      <c r="BC74" s="44">
        <v>1</v>
      </c>
      <c r="BD74" s="44">
        <v>1</v>
      </c>
      <c r="BE74" s="44">
        <v>1</v>
      </c>
      <c r="BK74" s="62">
        <v>74</v>
      </c>
      <c r="BL74" s="44">
        <v>148</v>
      </c>
      <c r="BM74" s="44">
        <v>45</v>
      </c>
      <c r="BN74" s="44">
        <v>133</v>
      </c>
      <c r="BO74" s="44">
        <v>111</v>
      </c>
      <c r="BP74" s="44">
        <v>45</v>
      </c>
      <c r="BQ74" s="44">
        <v>178</v>
      </c>
      <c r="BR74" s="44">
        <v>89</v>
      </c>
      <c r="BS74" s="44">
        <v>133</v>
      </c>
      <c r="BT74" s="44">
        <v>22</v>
      </c>
      <c r="BU74" s="44">
        <v>22</v>
      </c>
      <c r="CA74" s="44">
        <v>1000</v>
      </c>
      <c r="CB74" s="44">
        <v>1000</v>
      </c>
      <c r="CC74" s="44">
        <v>0</v>
      </c>
      <c r="CD74" s="44">
        <v>1</v>
      </c>
      <c r="CE74" s="44">
        <v>0</v>
      </c>
      <c r="CF74" s="44">
        <v>0</v>
      </c>
      <c r="CG74" s="44">
        <v>0</v>
      </c>
      <c r="CH74" s="44">
        <v>0</v>
      </c>
      <c r="CI74" s="44">
        <v>1</v>
      </c>
      <c r="CK74" s="44">
        <v>0</v>
      </c>
      <c r="CL74" s="44">
        <v>0</v>
      </c>
      <c r="CM74" s="44">
        <v>0</v>
      </c>
      <c r="CN74" s="44">
        <v>0</v>
      </c>
      <c r="CO74" s="44">
        <v>0</v>
      </c>
      <c r="CP74" s="44">
        <v>0</v>
      </c>
      <c r="CQ74" s="44">
        <v>1</v>
      </c>
      <c r="CR74" s="44">
        <v>0</v>
      </c>
      <c r="CV74" s="44">
        <v>0</v>
      </c>
      <c r="CW74" s="44">
        <v>0</v>
      </c>
    </row>
    <row r="75" s="44" customFormat="1" customHeight="1" spans="1:101">
      <c r="A75" s="81">
        <v>11415</v>
      </c>
      <c r="B75" s="82" t="s">
        <v>199</v>
      </c>
      <c r="O75" s="77">
        <v>0</v>
      </c>
      <c r="P75" s="77">
        <v>1</v>
      </c>
      <c r="Q75" s="77">
        <v>0</v>
      </c>
      <c r="R75" s="77">
        <v>0</v>
      </c>
      <c r="S75" s="64">
        <v>0</v>
      </c>
      <c r="T75" s="64">
        <v>0</v>
      </c>
      <c r="U75" s="64">
        <v>0</v>
      </c>
      <c r="V75" s="64">
        <v>0</v>
      </c>
      <c r="W75" s="63">
        <v>0</v>
      </c>
      <c r="X75" s="63">
        <v>0</v>
      </c>
      <c r="Y75" s="63">
        <v>0</v>
      </c>
      <c r="Z75" s="63">
        <v>0</v>
      </c>
      <c r="AA75" s="78">
        <v>0</v>
      </c>
      <c r="AB75" s="78">
        <v>0</v>
      </c>
      <c r="AC75" s="78">
        <v>0</v>
      </c>
      <c r="AD75" s="78">
        <v>0</v>
      </c>
      <c r="AE75" s="48">
        <v>200011</v>
      </c>
      <c r="AF75" s="44">
        <v>200041</v>
      </c>
      <c r="AG75" s="44">
        <v>200046</v>
      </c>
      <c r="AH75" s="44">
        <v>200048</v>
      </c>
      <c r="AI75" s="44">
        <v>310000</v>
      </c>
      <c r="AJ75" s="44">
        <v>310001</v>
      </c>
      <c r="AK75" s="44">
        <v>310102</v>
      </c>
      <c r="AL75" s="44">
        <v>200014</v>
      </c>
      <c r="AM75" s="44">
        <v>360000</v>
      </c>
      <c r="AN75" s="44">
        <v>200049</v>
      </c>
      <c r="AO75" s="44">
        <v>200015</v>
      </c>
      <c r="AU75" s="62">
        <v>1</v>
      </c>
      <c r="AV75" s="44">
        <v>1</v>
      </c>
      <c r="AW75" s="44">
        <v>1</v>
      </c>
      <c r="AX75" s="44">
        <v>1</v>
      </c>
      <c r="AY75" s="44">
        <v>1</v>
      </c>
      <c r="AZ75" s="44">
        <v>1</v>
      </c>
      <c r="BA75" s="44">
        <v>1</v>
      </c>
      <c r="BB75" s="44">
        <v>1</v>
      </c>
      <c r="BC75" s="44">
        <v>1</v>
      </c>
      <c r="BD75" s="44">
        <v>1</v>
      </c>
      <c r="BE75" s="44">
        <v>1</v>
      </c>
      <c r="BK75" s="62">
        <v>74</v>
      </c>
      <c r="BL75" s="44">
        <v>148</v>
      </c>
      <c r="BM75" s="44">
        <v>45</v>
      </c>
      <c r="BN75" s="44">
        <v>133</v>
      </c>
      <c r="BO75" s="44">
        <v>111</v>
      </c>
      <c r="BP75" s="44">
        <v>45</v>
      </c>
      <c r="BQ75" s="44">
        <v>178</v>
      </c>
      <c r="BR75" s="44">
        <v>89</v>
      </c>
      <c r="BS75" s="44">
        <v>133</v>
      </c>
      <c r="BT75" s="44">
        <v>22</v>
      </c>
      <c r="BU75" s="44">
        <v>22</v>
      </c>
      <c r="CA75" s="44">
        <v>1000</v>
      </c>
      <c r="CB75" s="44">
        <v>1000</v>
      </c>
      <c r="CC75" s="44">
        <v>0</v>
      </c>
      <c r="CD75" s="44">
        <v>1</v>
      </c>
      <c r="CE75" s="44">
        <v>0</v>
      </c>
      <c r="CF75" s="44">
        <v>0</v>
      </c>
      <c r="CG75" s="44">
        <v>0</v>
      </c>
      <c r="CH75" s="44">
        <v>0</v>
      </c>
      <c r="CI75" s="44">
        <v>1</v>
      </c>
      <c r="CK75" s="44">
        <v>0</v>
      </c>
      <c r="CL75" s="44">
        <v>0</v>
      </c>
      <c r="CM75" s="44">
        <v>0</v>
      </c>
      <c r="CN75" s="44">
        <v>0</v>
      </c>
      <c r="CO75" s="44">
        <v>0</v>
      </c>
      <c r="CP75" s="44">
        <v>0</v>
      </c>
      <c r="CQ75" s="44">
        <v>1</v>
      </c>
      <c r="CR75" s="44">
        <v>0</v>
      </c>
      <c r="CV75" s="44">
        <v>0</v>
      </c>
      <c r="CW75" s="44">
        <v>0</v>
      </c>
    </row>
    <row r="76" s="44" customFormat="1" customHeight="1" spans="1:102">
      <c r="A76" s="45">
        <v>11501</v>
      </c>
      <c r="B76" s="88" t="s">
        <v>200</v>
      </c>
      <c r="D76" s="45"/>
      <c r="E76" s="45"/>
      <c r="F76" s="45"/>
      <c r="G76" s="45"/>
      <c r="H76" s="45" t="s">
        <v>201</v>
      </c>
      <c r="I76" s="45"/>
      <c r="K76" s="45"/>
      <c r="L76" s="45"/>
      <c r="M76" s="45"/>
      <c r="O76" s="91">
        <v>0</v>
      </c>
      <c r="P76" s="91">
        <v>1</v>
      </c>
      <c r="Q76" s="91">
        <v>0</v>
      </c>
      <c r="R76" s="91">
        <v>0</v>
      </c>
      <c r="S76" s="92">
        <v>0</v>
      </c>
      <c r="T76" s="92">
        <v>0</v>
      </c>
      <c r="U76" s="92">
        <v>0</v>
      </c>
      <c r="V76" s="92">
        <v>0</v>
      </c>
      <c r="W76" s="93">
        <v>0</v>
      </c>
      <c r="X76" s="93">
        <v>0</v>
      </c>
      <c r="Y76" s="93">
        <v>0</v>
      </c>
      <c r="Z76" s="93">
        <v>0</v>
      </c>
      <c r="AA76" s="94">
        <v>0</v>
      </c>
      <c r="AB76" s="94">
        <v>0</v>
      </c>
      <c r="AC76" s="94">
        <v>0</v>
      </c>
      <c r="AD76" s="94">
        <v>0</v>
      </c>
      <c r="AE76" s="95">
        <v>334100</v>
      </c>
      <c r="AF76" s="45">
        <v>310102</v>
      </c>
      <c r="AG76" s="45">
        <v>331300</v>
      </c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97">
        <v>1</v>
      </c>
      <c r="AV76" s="45">
        <v>1</v>
      </c>
      <c r="AW76" s="45">
        <v>1</v>
      </c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97">
        <v>100</v>
      </c>
      <c r="BL76" s="45">
        <v>48</v>
      </c>
      <c r="BM76" s="45">
        <v>50</v>
      </c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>
        <v>1000</v>
      </c>
      <c r="CB76" s="45">
        <v>198</v>
      </c>
      <c r="CC76" s="45">
        <v>0</v>
      </c>
      <c r="CD76" s="45">
        <v>1</v>
      </c>
      <c r="CE76" s="45">
        <v>0</v>
      </c>
      <c r="CF76" s="45">
        <v>0</v>
      </c>
      <c r="CG76" s="45">
        <v>0</v>
      </c>
      <c r="CH76" s="44">
        <v>0</v>
      </c>
      <c r="CI76" s="45">
        <v>1</v>
      </c>
      <c r="CJ76" s="45"/>
      <c r="CK76" s="45">
        <v>0</v>
      </c>
      <c r="CL76" s="45">
        <v>0</v>
      </c>
      <c r="CM76" s="45">
        <v>0</v>
      </c>
      <c r="CN76" s="45">
        <v>0</v>
      </c>
      <c r="CO76" s="45">
        <v>0</v>
      </c>
      <c r="CP76" s="45">
        <v>0</v>
      </c>
      <c r="CQ76" s="45">
        <v>1</v>
      </c>
      <c r="CR76" s="45">
        <v>0</v>
      </c>
      <c r="CS76" s="45"/>
      <c r="CT76" s="45"/>
      <c r="CU76" s="45"/>
      <c r="CV76" s="44">
        <v>0</v>
      </c>
      <c r="CW76" s="44">
        <v>0</v>
      </c>
      <c r="CX76" s="45"/>
    </row>
    <row r="77" s="45" customFormat="1" customHeight="1" spans="1:102">
      <c r="A77" s="45">
        <v>11502</v>
      </c>
      <c r="B77" s="88" t="s">
        <v>202</v>
      </c>
      <c r="C77" s="44"/>
      <c r="D77" s="44"/>
      <c r="E77" s="44"/>
      <c r="F77" s="44"/>
      <c r="G77" s="44"/>
      <c r="H77" s="45" t="s">
        <v>203</v>
      </c>
      <c r="I77" s="44"/>
      <c r="J77" s="44"/>
      <c r="K77" s="44"/>
      <c r="L77" s="44"/>
      <c r="M77" s="44"/>
      <c r="N77" s="44"/>
      <c r="O77" s="91">
        <v>0</v>
      </c>
      <c r="P77" s="91">
        <v>1</v>
      </c>
      <c r="Q77" s="91">
        <v>0</v>
      </c>
      <c r="R77" s="91">
        <v>0</v>
      </c>
      <c r="S77" s="92">
        <v>0</v>
      </c>
      <c r="T77" s="92">
        <v>0</v>
      </c>
      <c r="U77" s="92">
        <v>0</v>
      </c>
      <c r="V77" s="92">
        <v>0</v>
      </c>
      <c r="W77" s="93">
        <v>0</v>
      </c>
      <c r="X77" s="93">
        <v>0</v>
      </c>
      <c r="Y77" s="93">
        <v>0</v>
      </c>
      <c r="Z77" s="93">
        <v>0</v>
      </c>
      <c r="AA77" s="94">
        <v>0</v>
      </c>
      <c r="AB77" s="94">
        <v>0</v>
      </c>
      <c r="AC77" s="94">
        <v>0</v>
      </c>
      <c r="AD77" s="94">
        <v>0</v>
      </c>
      <c r="AE77" s="95"/>
      <c r="AU77" s="97"/>
      <c r="BK77" s="97"/>
      <c r="CA77" s="45">
        <v>1000</v>
      </c>
      <c r="CB77" s="45">
        <v>1000</v>
      </c>
      <c r="CC77" s="45">
        <v>0</v>
      </c>
      <c r="CD77" s="45">
        <v>1</v>
      </c>
      <c r="CE77" s="45">
        <v>0</v>
      </c>
      <c r="CF77" s="45">
        <v>0</v>
      </c>
      <c r="CG77" s="45">
        <v>0</v>
      </c>
      <c r="CH77" s="44">
        <v>0</v>
      </c>
      <c r="CI77" s="45">
        <v>1</v>
      </c>
      <c r="CK77" s="45">
        <v>0</v>
      </c>
      <c r="CL77" s="45">
        <v>0</v>
      </c>
      <c r="CM77" s="45">
        <v>0</v>
      </c>
      <c r="CN77" s="45">
        <v>0</v>
      </c>
      <c r="CO77" s="45">
        <v>0</v>
      </c>
      <c r="CP77" s="45">
        <v>0</v>
      </c>
      <c r="CQ77" s="45">
        <v>1</v>
      </c>
      <c r="CR77" s="45">
        <v>0</v>
      </c>
      <c r="CV77" s="44">
        <v>0</v>
      </c>
      <c r="CW77" s="44">
        <v>0</v>
      </c>
      <c r="CX77" s="44"/>
    </row>
    <row r="78" s="45" customFormat="1" customHeight="1" spans="1:102">
      <c r="A78" s="45">
        <v>11503</v>
      </c>
      <c r="B78" s="88" t="s">
        <v>204</v>
      </c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91">
        <v>0</v>
      </c>
      <c r="P78" s="91">
        <v>1</v>
      </c>
      <c r="Q78" s="91">
        <v>0</v>
      </c>
      <c r="R78" s="91">
        <v>0</v>
      </c>
      <c r="S78" s="92">
        <v>0</v>
      </c>
      <c r="T78" s="92">
        <v>0</v>
      </c>
      <c r="U78" s="92">
        <v>0</v>
      </c>
      <c r="V78" s="92">
        <v>0</v>
      </c>
      <c r="W78" s="93">
        <v>0</v>
      </c>
      <c r="X78" s="93">
        <v>0</v>
      </c>
      <c r="Y78" s="93">
        <v>0</v>
      </c>
      <c r="Z78" s="93">
        <v>0</v>
      </c>
      <c r="AA78" s="94">
        <v>0</v>
      </c>
      <c r="AB78" s="94">
        <v>0</v>
      </c>
      <c r="AC78" s="94">
        <v>0</v>
      </c>
      <c r="AD78" s="94">
        <v>0</v>
      </c>
      <c r="AE78" s="95">
        <v>200011</v>
      </c>
      <c r="AF78" s="45">
        <v>360000</v>
      </c>
      <c r="AG78" s="45">
        <v>32037</v>
      </c>
      <c r="AH78" s="45">
        <v>32038</v>
      </c>
      <c r="AU78" s="97">
        <v>1</v>
      </c>
      <c r="AV78" s="45">
        <v>1</v>
      </c>
      <c r="AW78" s="45">
        <v>1</v>
      </c>
      <c r="AX78" s="45">
        <v>1</v>
      </c>
      <c r="BK78" s="97">
        <v>25</v>
      </c>
      <c r="BL78" s="45">
        <v>25</v>
      </c>
      <c r="BM78" s="45">
        <v>25</v>
      </c>
      <c r="BN78" s="45">
        <v>25</v>
      </c>
      <c r="CA78" s="45">
        <v>100</v>
      </c>
      <c r="CB78" s="45">
        <v>100</v>
      </c>
      <c r="CC78" s="45">
        <v>0</v>
      </c>
      <c r="CD78" s="45">
        <v>1</v>
      </c>
      <c r="CE78" s="45">
        <v>0</v>
      </c>
      <c r="CF78" s="45">
        <v>0</v>
      </c>
      <c r="CG78" s="45">
        <v>0</v>
      </c>
      <c r="CH78" s="44">
        <v>0</v>
      </c>
      <c r="CI78" s="45">
        <v>1</v>
      </c>
      <c r="CK78" s="45">
        <v>0</v>
      </c>
      <c r="CL78" s="45">
        <v>0</v>
      </c>
      <c r="CM78" s="45">
        <v>0</v>
      </c>
      <c r="CN78" s="45">
        <v>0</v>
      </c>
      <c r="CO78" s="45">
        <v>0</v>
      </c>
      <c r="CP78" s="45">
        <v>0</v>
      </c>
      <c r="CQ78" s="45">
        <v>1</v>
      </c>
      <c r="CR78" s="45">
        <v>0</v>
      </c>
      <c r="CV78" s="44">
        <v>0</v>
      </c>
      <c r="CW78" s="44">
        <v>0</v>
      </c>
      <c r="CX78" s="44"/>
    </row>
    <row r="79" s="46" customFormat="1" customHeight="1" spans="1:101">
      <c r="A79" s="44">
        <v>19001</v>
      </c>
      <c r="B79" s="89" t="s">
        <v>205</v>
      </c>
      <c r="H79" s="46" t="s">
        <v>206</v>
      </c>
      <c r="I79" s="46" t="s">
        <v>116</v>
      </c>
      <c r="J79" s="46" t="s">
        <v>207</v>
      </c>
      <c r="K79" s="46" t="s">
        <v>116</v>
      </c>
      <c r="O79" s="77">
        <v>0</v>
      </c>
      <c r="P79" s="77">
        <v>0</v>
      </c>
      <c r="Q79" s="77">
        <v>0</v>
      </c>
      <c r="R79" s="77">
        <v>0</v>
      </c>
      <c r="S79" s="64">
        <v>0</v>
      </c>
      <c r="T79" s="64">
        <v>0</v>
      </c>
      <c r="U79" s="64">
        <v>0</v>
      </c>
      <c r="V79" s="64">
        <v>0</v>
      </c>
      <c r="W79" s="63">
        <v>0</v>
      </c>
      <c r="X79" s="63">
        <v>0</v>
      </c>
      <c r="Y79" s="63">
        <v>0</v>
      </c>
      <c r="Z79" s="63">
        <v>0</v>
      </c>
      <c r="AA79" s="78">
        <v>0</v>
      </c>
      <c r="AB79" s="78">
        <v>0</v>
      </c>
      <c r="AC79" s="78">
        <v>0</v>
      </c>
      <c r="AD79" s="78">
        <v>0</v>
      </c>
      <c r="AE79" s="48">
        <v>200601</v>
      </c>
      <c r="AF79" s="46" t="s">
        <v>116</v>
      </c>
      <c r="AG79" s="46" t="s">
        <v>116</v>
      </c>
      <c r="AH79" s="46" t="s">
        <v>116</v>
      </c>
      <c r="AI79" s="46" t="s">
        <v>116</v>
      </c>
      <c r="AJ79" s="46" t="s">
        <v>116</v>
      </c>
      <c r="AK79" s="46" t="s">
        <v>116</v>
      </c>
      <c r="AL79" s="46" t="s">
        <v>116</v>
      </c>
      <c r="AM79" s="46" t="s">
        <v>116</v>
      </c>
      <c r="AN79" s="46" t="s">
        <v>116</v>
      </c>
      <c r="AO79" s="46" t="s">
        <v>116</v>
      </c>
      <c r="AP79" s="46" t="s">
        <v>116</v>
      </c>
      <c r="AQ79" s="46" t="s">
        <v>116</v>
      </c>
      <c r="AR79" s="46" t="s">
        <v>116</v>
      </c>
      <c r="AS79" s="46" t="s">
        <v>116</v>
      </c>
      <c r="AT79" s="46" t="s">
        <v>116</v>
      </c>
      <c r="AU79" s="62">
        <v>1</v>
      </c>
      <c r="AV79" s="44" t="s">
        <v>116</v>
      </c>
      <c r="AW79" s="44" t="s">
        <v>116</v>
      </c>
      <c r="AX79" s="44" t="s">
        <v>116</v>
      </c>
      <c r="AY79" s="44" t="s">
        <v>116</v>
      </c>
      <c r="AZ79" s="44" t="s">
        <v>116</v>
      </c>
      <c r="BA79" s="44" t="s">
        <v>116</v>
      </c>
      <c r="BB79" s="44" t="s">
        <v>116</v>
      </c>
      <c r="BC79" s="44" t="s">
        <v>116</v>
      </c>
      <c r="BD79" s="44" t="s">
        <v>116</v>
      </c>
      <c r="BE79" s="44" t="s">
        <v>116</v>
      </c>
      <c r="BF79" s="44" t="s">
        <v>116</v>
      </c>
      <c r="BG79" s="44" t="s">
        <v>116</v>
      </c>
      <c r="BH79" s="44" t="s">
        <v>116</v>
      </c>
      <c r="BI79" s="44" t="s">
        <v>116</v>
      </c>
      <c r="BJ79" s="44" t="s">
        <v>116</v>
      </c>
      <c r="BK79" s="62">
        <v>1000</v>
      </c>
      <c r="CA79" s="46">
        <v>1000</v>
      </c>
      <c r="CB79" s="46">
        <v>1000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1</v>
      </c>
      <c r="CI79" s="46">
        <v>1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V79" s="46">
        <v>1</v>
      </c>
      <c r="CW79" s="46">
        <v>1</v>
      </c>
    </row>
    <row r="80" s="44" customFormat="1" customHeight="1" spans="1:101">
      <c r="A80" s="44">
        <v>19002</v>
      </c>
      <c r="B80" s="79" t="s">
        <v>208</v>
      </c>
      <c r="K80" s="44">
        <v>150000</v>
      </c>
      <c r="O80" s="77">
        <v>0</v>
      </c>
      <c r="P80" s="77">
        <v>1</v>
      </c>
      <c r="Q80" s="77">
        <v>0</v>
      </c>
      <c r="R80" s="77">
        <v>0</v>
      </c>
      <c r="S80" s="64">
        <v>0</v>
      </c>
      <c r="T80" s="64">
        <v>0</v>
      </c>
      <c r="U80" s="64">
        <v>0</v>
      </c>
      <c r="V80" s="64">
        <v>0</v>
      </c>
      <c r="W80" s="63">
        <v>0</v>
      </c>
      <c r="X80" s="63">
        <v>0</v>
      </c>
      <c r="Y80" s="63">
        <v>0</v>
      </c>
      <c r="Z80" s="63">
        <v>0</v>
      </c>
      <c r="AA80" s="78">
        <v>0</v>
      </c>
      <c r="AB80" s="78">
        <v>0</v>
      </c>
      <c r="AC80" s="78">
        <v>0</v>
      </c>
      <c r="AD80" s="78">
        <v>0</v>
      </c>
      <c r="AE80" s="48">
        <v>200008</v>
      </c>
      <c r="AU80" s="62">
        <v>1</v>
      </c>
      <c r="BK80" s="62">
        <v>100</v>
      </c>
      <c r="CA80" s="44">
        <v>100</v>
      </c>
      <c r="CB80" s="44">
        <v>1000</v>
      </c>
      <c r="CC80" s="44">
        <v>0</v>
      </c>
      <c r="CD80" s="44">
        <v>1</v>
      </c>
      <c r="CE80" s="44">
        <v>0</v>
      </c>
      <c r="CF80" s="44">
        <v>0</v>
      </c>
      <c r="CG80" s="44">
        <v>0</v>
      </c>
      <c r="CH80" s="44">
        <v>0</v>
      </c>
      <c r="CI80" s="44">
        <v>1</v>
      </c>
      <c r="CK80" s="44">
        <v>0</v>
      </c>
      <c r="CL80" s="44">
        <v>0</v>
      </c>
      <c r="CM80" s="44">
        <v>0</v>
      </c>
      <c r="CN80" s="44">
        <v>0</v>
      </c>
      <c r="CO80" s="44">
        <v>331300</v>
      </c>
      <c r="CP80" s="44">
        <v>150190</v>
      </c>
      <c r="CQ80" s="44">
        <v>1</v>
      </c>
      <c r="CR80" s="44">
        <v>0</v>
      </c>
      <c r="CV80" s="44">
        <v>0</v>
      </c>
      <c r="CW80" s="44">
        <v>0</v>
      </c>
    </row>
    <row r="81" s="44" customFormat="1" customHeight="1" spans="1:101">
      <c r="A81" s="44">
        <v>11601</v>
      </c>
      <c r="B81" s="79" t="s">
        <v>209</v>
      </c>
      <c r="H81" s="44" t="s">
        <v>210</v>
      </c>
      <c r="O81" s="77">
        <v>0</v>
      </c>
      <c r="P81" s="77">
        <v>1</v>
      </c>
      <c r="Q81" s="77">
        <v>0</v>
      </c>
      <c r="R81" s="77">
        <v>0</v>
      </c>
      <c r="S81" s="64">
        <v>0</v>
      </c>
      <c r="T81" s="64">
        <v>0</v>
      </c>
      <c r="U81" s="64">
        <v>0</v>
      </c>
      <c r="V81" s="64">
        <v>0</v>
      </c>
      <c r="W81" s="63">
        <v>0</v>
      </c>
      <c r="X81" s="63">
        <v>0</v>
      </c>
      <c r="Y81" s="63">
        <v>0</v>
      </c>
      <c r="Z81" s="63">
        <v>0</v>
      </c>
      <c r="AA81" s="78">
        <v>0</v>
      </c>
      <c r="AB81" s="78">
        <v>0</v>
      </c>
      <c r="AC81" s="78">
        <v>0</v>
      </c>
      <c r="AD81" s="78">
        <v>0</v>
      </c>
      <c r="AE81" s="48">
        <v>32037</v>
      </c>
      <c r="AF81" s="44">
        <v>32038</v>
      </c>
      <c r="AG81" s="44">
        <v>32014</v>
      </c>
      <c r="AH81" s="44">
        <v>32015</v>
      </c>
      <c r="AU81" s="62">
        <v>1</v>
      </c>
      <c r="AV81" s="44">
        <v>1</v>
      </c>
      <c r="AW81" s="44">
        <v>1</v>
      </c>
      <c r="AX81" s="44">
        <v>1</v>
      </c>
      <c r="BK81" s="62">
        <v>60</v>
      </c>
      <c r="BL81" s="44">
        <v>20</v>
      </c>
      <c r="BM81" s="44">
        <v>60</v>
      </c>
      <c r="BN81" s="44">
        <v>20</v>
      </c>
      <c r="CA81" s="44">
        <v>1000</v>
      </c>
      <c r="CB81" s="44">
        <v>1000</v>
      </c>
      <c r="CC81" s="44">
        <v>0</v>
      </c>
      <c r="CD81" s="44">
        <v>1</v>
      </c>
      <c r="CE81" s="44">
        <v>0</v>
      </c>
      <c r="CF81" s="44">
        <v>0</v>
      </c>
      <c r="CG81" s="44">
        <v>0</v>
      </c>
      <c r="CH81" s="44">
        <v>0</v>
      </c>
      <c r="CI81" s="44">
        <v>1</v>
      </c>
      <c r="CK81" s="44">
        <v>0</v>
      </c>
      <c r="CL81" s="44">
        <v>0</v>
      </c>
      <c r="CM81" s="44">
        <v>0</v>
      </c>
      <c r="CN81" s="44">
        <v>0</v>
      </c>
      <c r="CO81" s="44">
        <v>0</v>
      </c>
      <c r="CP81" s="44">
        <v>0</v>
      </c>
      <c r="CQ81" s="44">
        <v>1</v>
      </c>
      <c r="CR81" s="44">
        <v>0</v>
      </c>
      <c r="CV81" s="44">
        <v>0</v>
      </c>
      <c r="CW81" s="44">
        <v>0</v>
      </c>
    </row>
    <row r="82" s="44" customFormat="1" customHeight="1" spans="1:101">
      <c r="A82" s="44">
        <v>11602</v>
      </c>
      <c r="B82" s="79" t="s">
        <v>211</v>
      </c>
      <c r="H82" s="44" t="s">
        <v>212</v>
      </c>
      <c r="O82" s="77">
        <v>0</v>
      </c>
      <c r="P82" s="77">
        <v>1</v>
      </c>
      <c r="Q82" s="77">
        <v>0</v>
      </c>
      <c r="R82" s="77">
        <v>0</v>
      </c>
      <c r="S82" s="64">
        <v>0</v>
      </c>
      <c r="T82" s="64">
        <v>0</v>
      </c>
      <c r="U82" s="64">
        <v>0</v>
      </c>
      <c r="V82" s="64">
        <v>0</v>
      </c>
      <c r="W82" s="63">
        <v>0</v>
      </c>
      <c r="X82" s="63">
        <v>0</v>
      </c>
      <c r="Y82" s="63">
        <v>0</v>
      </c>
      <c r="Z82" s="63">
        <v>0</v>
      </c>
      <c r="AA82" s="78">
        <v>0</v>
      </c>
      <c r="AB82" s="78">
        <v>0</v>
      </c>
      <c r="AC82" s="78">
        <v>0</v>
      </c>
      <c r="AD82" s="78">
        <v>0</v>
      </c>
      <c r="AE82" s="48">
        <v>331300</v>
      </c>
      <c r="AF82" s="44">
        <v>40013</v>
      </c>
      <c r="AU82" s="62">
        <v>1</v>
      </c>
      <c r="AV82" s="44">
        <v>1</v>
      </c>
      <c r="BK82" s="62">
        <v>200</v>
      </c>
      <c r="BL82" s="44">
        <v>50</v>
      </c>
      <c r="CA82" s="44">
        <v>1000</v>
      </c>
      <c r="CB82" s="44">
        <v>1000</v>
      </c>
      <c r="CC82" s="44">
        <v>0</v>
      </c>
      <c r="CD82" s="44">
        <v>1</v>
      </c>
      <c r="CE82" s="44">
        <v>0</v>
      </c>
      <c r="CF82" s="44">
        <v>0</v>
      </c>
      <c r="CG82" s="44">
        <v>0</v>
      </c>
      <c r="CH82" s="44">
        <v>0</v>
      </c>
      <c r="CI82" s="44">
        <v>1</v>
      </c>
      <c r="CK82" s="44">
        <v>0</v>
      </c>
      <c r="CL82" s="44">
        <v>0</v>
      </c>
      <c r="CM82" s="44">
        <v>0</v>
      </c>
      <c r="CN82" s="44">
        <v>0</v>
      </c>
      <c r="CO82" s="44">
        <v>0</v>
      </c>
      <c r="CP82" s="44">
        <v>0</v>
      </c>
      <c r="CQ82" s="44">
        <v>1</v>
      </c>
      <c r="CR82" s="44">
        <v>0</v>
      </c>
      <c r="CV82" s="44">
        <v>0</v>
      </c>
      <c r="CW82" s="44">
        <v>0</v>
      </c>
    </row>
    <row r="83" s="44" customFormat="1" customHeight="1" spans="1:101">
      <c r="A83" s="44">
        <v>11603</v>
      </c>
      <c r="B83" s="79" t="s">
        <v>213</v>
      </c>
      <c r="H83" s="44" t="s">
        <v>212</v>
      </c>
      <c r="O83" s="77">
        <v>200050</v>
      </c>
      <c r="P83" s="77">
        <v>1</v>
      </c>
      <c r="Q83" s="77">
        <v>0</v>
      </c>
      <c r="R83" s="77">
        <v>0</v>
      </c>
      <c r="S83" s="64">
        <v>0</v>
      </c>
      <c r="T83" s="64">
        <v>0</v>
      </c>
      <c r="U83" s="64">
        <v>0</v>
      </c>
      <c r="V83" s="64">
        <v>0</v>
      </c>
      <c r="W83" s="63">
        <v>0</v>
      </c>
      <c r="X83" s="63">
        <v>0</v>
      </c>
      <c r="Y83" s="63">
        <v>0</v>
      </c>
      <c r="Z83" s="63">
        <v>0</v>
      </c>
      <c r="AA83" s="78">
        <v>0</v>
      </c>
      <c r="AB83" s="78">
        <v>0</v>
      </c>
      <c r="AC83" s="78">
        <v>0</v>
      </c>
      <c r="AD83" s="78">
        <v>0</v>
      </c>
      <c r="AE83" s="48">
        <v>331300</v>
      </c>
      <c r="AF83" s="44">
        <v>40013</v>
      </c>
      <c r="AU83" s="62">
        <v>1</v>
      </c>
      <c r="AV83" s="44">
        <v>1</v>
      </c>
      <c r="BK83" s="62">
        <v>300</v>
      </c>
      <c r="BL83" s="44">
        <v>80</v>
      </c>
      <c r="CA83" s="44">
        <v>1000</v>
      </c>
      <c r="CB83" s="44">
        <v>1000</v>
      </c>
      <c r="CC83" s="44">
        <v>0</v>
      </c>
      <c r="CD83" s="44">
        <v>1</v>
      </c>
      <c r="CE83" s="44">
        <v>0</v>
      </c>
      <c r="CF83" s="44">
        <v>0</v>
      </c>
      <c r="CG83" s="44">
        <v>0</v>
      </c>
      <c r="CH83" s="44">
        <v>0</v>
      </c>
      <c r="CI83" s="44">
        <v>1</v>
      </c>
      <c r="CK83" s="44">
        <v>0</v>
      </c>
      <c r="CL83" s="44">
        <v>0</v>
      </c>
      <c r="CM83" s="44">
        <v>0</v>
      </c>
      <c r="CN83" s="44">
        <v>0</v>
      </c>
      <c r="CO83" s="44">
        <v>0</v>
      </c>
      <c r="CP83" s="44">
        <v>0</v>
      </c>
      <c r="CQ83" s="44">
        <v>1</v>
      </c>
      <c r="CR83" s="44">
        <v>0</v>
      </c>
      <c r="CV83" s="44">
        <v>0</v>
      </c>
      <c r="CW83" s="44">
        <v>0</v>
      </c>
    </row>
    <row r="84" s="44" customFormat="1" customHeight="1" spans="1:101">
      <c r="A84" s="44">
        <v>11604</v>
      </c>
      <c r="B84" s="79" t="s">
        <v>214</v>
      </c>
      <c r="H84" s="44" t="s">
        <v>215</v>
      </c>
      <c r="O84" s="77">
        <v>0</v>
      </c>
      <c r="P84" s="77">
        <v>1</v>
      </c>
      <c r="Q84" s="77">
        <v>0</v>
      </c>
      <c r="R84" s="77">
        <v>0</v>
      </c>
      <c r="S84" s="64">
        <v>0</v>
      </c>
      <c r="T84" s="64">
        <v>0</v>
      </c>
      <c r="U84" s="64">
        <v>0</v>
      </c>
      <c r="V84" s="64">
        <v>0</v>
      </c>
      <c r="W84" s="63">
        <v>0</v>
      </c>
      <c r="X84" s="63">
        <v>0</v>
      </c>
      <c r="Y84" s="63">
        <v>0</v>
      </c>
      <c r="Z84" s="63">
        <v>0</v>
      </c>
      <c r="AA84" s="78">
        <v>0</v>
      </c>
      <c r="AB84" s="78">
        <v>0</v>
      </c>
      <c r="AC84" s="78">
        <v>0</v>
      </c>
      <c r="AD84" s="78">
        <v>0</v>
      </c>
      <c r="AE84" s="48"/>
      <c r="AU84" s="62"/>
      <c r="BK84" s="62"/>
      <c r="CA84" s="44">
        <v>1000</v>
      </c>
      <c r="CB84" s="44">
        <v>1000</v>
      </c>
      <c r="CC84" s="44">
        <v>0</v>
      </c>
      <c r="CD84" s="44">
        <v>1</v>
      </c>
      <c r="CE84" s="44">
        <v>0</v>
      </c>
      <c r="CF84" s="44">
        <v>0</v>
      </c>
      <c r="CG84" s="44">
        <v>0</v>
      </c>
      <c r="CH84" s="44">
        <v>0</v>
      </c>
      <c r="CI84" s="44">
        <v>1</v>
      </c>
      <c r="CK84" s="44">
        <v>0</v>
      </c>
      <c r="CL84" s="44">
        <v>0</v>
      </c>
      <c r="CM84" s="44">
        <v>0</v>
      </c>
      <c r="CN84" s="44">
        <v>0</v>
      </c>
      <c r="CO84" s="44">
        <v>0</v>
      </c>
      <c r="CP84" s="44">
        <v>0</v>
      </c>
      <c r="CQ84" s="44">
        <v>1</v>
      </c>
      <c r="CR84" s="44">
        <v>0</v>
      </c>
      <c r="CV84" s="44">
        <v>0</v>
      </c>
      <c r="CW84" s="44">
        <v>0</v>
      </c>
    </row>
    <row r="85" s="44" customFormat="1" customHeight="1" spans="1:101">
      <c r="A85" s="44">
        <v>11605</v>
      </c>
      <c r="B85" s="79" t="s">
        <v>216</v>
      </c>
      <c r="O85" s="77">
        <v>0</v>
      </c>
      <c r="P85" s="77">
        <v>1</v>
      </c>
      <c r="Q85" s="77">
        <v>0</v>
      </c>
      <c r="R85" s="77">
        <v>0</v>
      </c>
      <c r="S85" s="64">
        <v>0</v>
      </c>
      <c r="T85" s="64">
        <v>0</v>
      </c>
      <c r="U85" s="64">
        <v>0</v>
      </c>
      <c r="V85" s="64">
        <v>0</v>
      </c>
      <c r="W85" s="63">
        <v>0</v>
      </c>
      <c r="X85" s="63">
        <v>0</v>
      </c>
      <c r="Y85" s="63">
        <v>0</v>
      </c>
      <c r="Z85" s="63">
        <v>0</v>
      </c>
      <c r="AA85" s="78">
        <v>0</v>
      </c>
      <c r="AB85" s="78">
        <v>0</v>
      </c>
      <c r="AC85" s="78">
        <v>0</v>
      </c>
      <c r="AD85" s="78">
        <v>0</v>
      </c>
      <c r="AE85" s="48"/>
      <c r="AU85" s="62"/>
      <c r="BK85" s="62"/>
      <c r="CA85" s="44">
        <v>1000</v>
      </c>
      <c r="CB85" s="44">
        <v>1000</v>
      </c>
      <c r="CC85" s="44">
        <v>0</v>
      </c>
      <c r="CD85" s="44">
        <v>1</v>
      </c>
      <c r="CE85" s="44">
        <v>0</v>
      </c>
      <c r="CF85" s="44">
        <v>0</v>
      </c>
      <c r="CG85" s="44">
        <v>0</v>
      </c>
      <c r="CH85" s="44">
        <v>0</v>
      </c>
      <c r="CI85" s="44">
        <v>1</v>
      </c>
      <c r="CK85" s="44">
        <v>0</v>
      </c>
      <c r="CL85" s="44">
        <v>0</v>
      </c>
      <c r="CM85" s="44">
        <v>0</v>
      </c>
      <c r="CN85" s="44">
        <v>0</v>
      </c>
      <c r="CO85" s="44">
        <v>0</v>
      </c>
      <c r="CP85" s="44">
        <v>0</v>
      </c>
      <c r="CQ85" s="44">
        <v>1</v>
      </c>
      <c r="CR85" s="44">
        <v>0</v>
      </c>
      <c r="CV85" s="44">
        <v>0</v>
      </c>
      <c r="CW85" s="44">
        <v>0</v>
      </c>
    </row>
    <row r="86" s="44" customFormat="1" customHeight="1" spans="1:102">
      <c r="A86" s="45">
        <v>11701</v>
      </c>
      <c r="B86" s="88" t="s">
        <v>217</v>
      </c>
      <c r="D86" s="45"/>
      <c r="E86" s="45"/>
      <c r="F86" s="45"/>
      <c r="G86" s="45"/>
      <c r="H86" s="44" t="s">
        <v>218</v>
      </c>
      <c r="I86" s="44" t="s">
        <v>218</v>
      </c>
      <c r="K86" s="45"/>
      <c r="L86" s="45"/>
      <c r="M86" s="45"/>
      <c r="O86" s="91">
        <v>0</v>
      </c>
      <c r="P86" s="91">
        <v>1</v>
      </c>
      <c r="Q86" s="91">
        <v>0</v>
      </c>
      <c r="R86" s="91">
        <v>0</v>
      </c>
      <c r="S86" s="92">
        <v>0</v>
      </c>
      <c r="T86" s="92">
        <v>0</v>
      </c>
      <c r="U86" s="92">
        <v>0</v>
      </c>
      <c r="V86" s="92">
        <v>0</v>
      </c>
      <c r="W86" s="93">
        <v>0</v>
      </c>
      <c r="X86" s="93">
        <v>0</v>
      </c>
      <c r="Y86" s="93">
        <v>0</v>
      </c>
      <c r="Z86" s="93">
        <v>0</v>
      </c>
      <c r="AA86" s="94">
        <v>0</v>
      </c>
      <c r="AB86" s="94">
        <v>0</v>
      </c>
      <c r="AC86" s="94">
        <v>0</v>
      </c>
      <c r="AD86" s="94">
        <v>0</v>
      </c>
      <c r="AE86" s="95">
        <v>200011</v>
      </c>
      <c r="AF86" s="45">
        <v>200051</v>
      </c>
      <c r="AG86" s="45">
        <v>338000</v>
      </c>
      <c r="AH86" s="45">
        <v>334100</v>
      </c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97">
        <v>1</v>
      </c>
      <c r="AV86" s="45">
        <v>1</v>
      </c>
      <c r="AW86" s="45">
        <v>1</v>
      </c>
      <c r="AX86" s="45">
        <v>1</v>
      </c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97">
        <v>40</v>
      </c>
      <c r="BL86" s="45">
        <v>40</v>
      </c>
      <c r="BM86" s="45">
        <v>120</v>
      </c>
      <c r="BN86" s="45">
        <v>200</v>
      </c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>
        <v>1000</v>
      </c>
      <c r="CB86" s="45">
        <v>1000</v>
      </c>
      <c r="CC86" s="45">
        <v>0</v>
      </c>
      <c r="CD86" s="45">
        <v>0</v>
      </c>
      <c r="CE86" s="45">
        <v>0</v>
      </c>
      <c r="CF86" s="45">
        <v>0</v>
      </c>
      <c r="CG86" s="45">
        <v>0</v>
      </c>
      <c r="CH86" s="44">
        <v>0</v>
      </c>
      <c r="CI86" s="45">
        <v>1</v>
      </c>
      <c r="CJ86" s="45"/>
      <c r="CK86" s="45">
        <v>0</v>
      </c>
      <c r="CL86" s="45">
        <v>0</v>
      </c>
      <c r="CM86" s="45">
        <v>0</v>
      </c>
      <c r="CN86" s="45">
        <v>0</v>
      </c>
      <c r="CO86" s="45">
        <v>0</v>
      </c>
      <c r="CP86" s="45">
        <v>0</v>
      </c>
      <c r="CQ86" s="45">
        <v>1</v>
      </c>
      <c r="CR86" s="45">
        <v>0</v>
      </c>
      <c r="CS86" s="45"/>
      <c r="CT86" s="45"/>
      <c r="CU86" s="45"/>
      <c r="CV86" s="44">
        <v>0</v>
      </c>
      <c r="CW86" s="44">
        <v>0</v>
      </c>
      <c r="CX86" s="45"/>
    </row>
    <row r="87" s="47" customFormat="1" customHeight="1" spans="1:101">
      <c r="A87" s="47">
        <v>11702</v>
      </c>
      <c r="B87" s="90" t="s">
        <v>219</v>
      </c>
      <c r="O87" s="91">
        <v>0</v>
      </c>
      <c r="P87" s="91">
        <v>1</v>
      </c>
      <c r="Q87" s="91">
        <v>0</v>
      </c>
      <c r="R87" s="91">
        <v>0</v>
      </c>
      <c r="S87" s="92">
        <v>0</v>
      </c>
      <c r="T87" s="92">
        <v>0</v>
      </c>
      <c r="U87" s="92">
        <v>0</v>
      </c>
      <c r="V87" s="92">
        <v>0</v>
      </c>
      <c r="W87" s="93">
        <v>0</v>
      </c>
      <c r="X87" s="93">
        <v>0</v>
      </c>
      <c r="Y87" s="93">
        <v>0</v>
      </c>
      <c r="Z87" s="93">
        <v>0</v>
      </c>
      <c r="AA87" s="94">
        <v>0</v>
      </c>
      <c r="AB87" s="94">
        <v>0</v>
      </c>
      <c r="AC87" s="94">
        <v>0</v>
      </c>
      <c r="AD87" s="94">
        <v>0</v>
      </c>
      <c r="AE87" s="95">
        <v>310101</v>
      </c>
      <c r="AF87" s="96">
        <v>310102</v>
      </c>
      <c r="AG87" s="96">
        <v>360000</v>
      </c>
      <c r="AH87" s="96">
        <v>32037</v>
      </c>
      <c r="AI87" s="96">
        <v>32038</v>
      </c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  <c r="AU87" s="97">
        <v>1</v>
      </c>
      <c r="AV87" s="45">
        <v>5</v>
      </c>
      <c r="AW87" s="45">
        <v>1</v>
      </c>
      <c r="AX87" s="45">
        <v>1</v>
      </c>
      <c r="AY87" s="45">
        <v>1</v>
      </c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97">
        <v>1</v>
      </c>
      <c r="BL87" s="98">
        <v>10</v>
      </c>
      <c r="BM87" s="98">
        <v>10</v>
      </c>
      <c r="BN87" s="98">
        <v>40</v>
      </c>
      <c r="BO87" s="98">
        <v>40</v>
      </c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9">
        <v>1000</v>
      </c>
      <c r="CB87" s="99">
        <v>1000</v>
      </c>
      <c r="CC87" s="99">
        <v>0</v>
      </c>
      <c r="CD87" s="100">
        <v>0</v>
      </c>
      <c r="CE87" s="100">
        <v>0</v>
      </c>
      <c r="CF87" s="100">
        <v>0</v>
      </c>
      <c r="CG87" s="100">
        <v>0</v>
      </c>
      <c r="CH87" s="101">
        <v>0</v>
      </c>
      <c r="CI87" s="100">
        <v>1</v>
      </c>
      <c r="CJ87" s="100"/>
      <c r="CK87" s="96">
        <v>0</v>
      </c>
      <c r="CL87" s="96">
        <v>0</v>
      </c>
      <c r="CM87" s="96">
        <v>0</v>
      </c>
      <c r="CN87" s="96">
        <v>0</v>
      </c>
      <c r="CO87" s="96">
        <v>0</v>
      </c>
      <c r="CP87" s="96">
        <v>0</v>
      </c>
      <c r="CQ87" s="96">
        <v>1</v>
      </c>
      <c r="CR87" s="96">
        <v>0</v>
      </c>
      <c r="CS87" s="96"/>
      <c r="CT87" s="96"/>
      <c r="CU87" s="96"/>
      <c r="CV87" s="44">
        <v>0</v>
      </c>
      <c r="CW87" s="44">
        <v>0</v>
      </c>
    </row>
    <row r="88" s="44" customFormat="1" customHeight="1" spans="1:102">
      <c r="A88" s="45">
        <v>11703</v>
      </c>
      <c r="B88" s="88" t="s">
        <v>220</v>
      </c>
      <c r="D88" s="45"/>
      <c r="E88" s="45"/>
      <c r="F88" s="45"/>
      <c r="G88" s="45"/>
      <c r="H88" s="45"/>
      <c r="I88" s="45"/>
      <c r="K88" s="45"/>
      <c r="L88" s="45"/>
      <c r="M88" s="45"/>
      <c r="O88" s="91">
        <v>200054</v>
      </c>
      <c r="P88" s="91">
        <v>1</v>
      </c>
      <c r="Q88" s="91">
        <v>0</v>
      </c>
      <c r="R88" s="91">
        <v>0</v>
      </c>
      <c r="S88" s="92">
        <v>0</v>
      </c>
      <c r="T88" s="92">
        <v>0</v>
      </c>
      <c r="U88" s="92">
        <v>0</v>
      </c>
      <c r="V88" s="92">
        <v>0</v>
      </c>
      <c r="W88" s="93">
        <v>0</v>
      </c>
      <c r="X88" s="93">
        <v>0</v>
      </c>
      <c r="Y88" s="93">
        <v>0</v>
      </c>
      <c r="Z88" s="93">
        <v>0</v>
      </c>
      <c r="AA88" s="94">
        <v>0</v>
      </c>
      <c r="AB88" s="94">
        <v>0</v>
      </c>
      <c r="AC88" s="94">
        <v>0</v>
      </c>
      <c r="AD88" s="94">
        <v>0</v>
      </c>
      <c r="AE88" s="9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97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97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>
        <v>0</v>
      </c>
      <c r="CE88" s="45" t="s">
        <v>221</v>
      </c>
      <c r="CF88" s="45">
        <v>160430</v>
      </c>
      <c r="CG88" s="45">
        <v>0</v>
      </c>
      <c r="CI88" s="45"/>
      <c r="CJ88" s="45"/>
      <c r="CK88" s="45">
        <v>0</v>
      </c>
      <c r="CL88" s="45">
        <v>0</v>
      </c>
      <c r="CM88" s="45">
        <v>0</v>
      </c>
      <c r="CN88" s="45">
        <v>0</v>
      </c>
      <c r="CO88" s="45">
        <v>0</v>
      </c>
      <c r="CP88" s="45">
        <v>0</v>
      </c>
      <c r="CQ88" s="45">
        <v>1</v>
      </c>
      <c r="CR88" s="45">
        <v>0</v>
      </c>
      <c r="CS88" s="45"/>
      <c r="CT88" s="45"/>
      <c r="CU88" s="45"/>
      <c r="CV88" s="44">
        <v>0</v>
      </c>
      <c r="CW88" s="44">
        <v>0</v>
      </c>
      <c r="CX88" s="45"/>
    </row>
    <row r="89" s="44" customFormat="1" customHeight="1" spans="1:101">
      <c r="A89" s="81">
        <v>18001</v>
      </c>
      <c r="B89" s="82" t="s">
        <v>222</v>
      </c>
      <c r="H89" s="44" t="s">
        <v>223</v>
      </c>
      <c r="O89" s="77">
        <v>0</v>
      </c>
      <c r="P89" s="77">
        <v>1</v>
      </c>
      <c r="Q89" s="77">
        <v>0</v>
      </c>
      <c r="R89" s="77">
        <v>0</v>
      </c>
      <c r="S89" s="64">
        <v>0</v>
      </c>
      <c r="T89" s="64">
        <v>0</v>
      </c>
      <c r="U89" s="64">
        <v>0</v>
      </c>
      <c r="V89" s="64">
        <v>0</v>
      </c>
      <c r="W89" s="63">
        <v>0</v>
      </c>
      <c r="X89" s="63">
        <v>0</v>
      </c>
      <c r="Y89" s="63">
        <v>0</v>
      </c>
      <c r="Z89" s="63">
        <v>0</v>
      </c>
      <c r="AA89" s="78">
        <v>0</v>
      </c>
      <c r="AB89" s="78">
        <v>0</v>
      </c>
      <c r="AC89" s="78">
        <v>0</v>
      </c>
      <c r="AD89" s="78">
        <v>0</v>
      </c>
      <c r="AE89" s="48"/>
      <c r="AU89" s="62"/>
      <c r="BK89" s="62"/>
      <c r="CA89" s="44">
        <v>1000</v>
      </c>
      <c r="CB89" s="44">
        <v>1000</v>
      </c>
      <c r="CC89" s="44">
        <v>0</v>
      </c>
      <c r="CD89" s="44">
        <v>1</v>
      </c>
      <c r="CE89" s="44">
        <v>0</v>
      </c>
      <c r="CF89" s="44">
        <v>0</v>
      </c>
      <c r="CG89" s="44">
        <v>0</v>
      </c>
      <c r="CH89" s="44">
        <v>0</v>
      </c>
      <c r="CI89" s="44">
        <v>1</v>
      </c>
      <c r="CK89" s="44">
        <v>0</v>
      </c>
      <c r="CL89" s="44">
        <v>0</v>
      </c>
      <c r="CM89" s="44">
        <v>0</v>
      </c>
      <c r="CN89" s="44">
        <v>0</v>
      </c>
      <c r="CO89" s="44">
        <v>0</v>
      </c>
      <c r="CP89" s="44">
        <v>0</v>
      </c>
      <c r="CQ89" s="44">
        <v>1</v>
      </c>
      <c r="CR89" s="44">
        <v>0</v>
      </c>
      <c r="CV89" s="44">
        <v>0</v>
      </c>
      <c r="CW89" s="44">
        <v>0</v>
      </c>
    </row>
    <row r="90" s="44" customFormat="1" customHeight="1" spans="1:101">
      <c r="A90" s="81">
        <v>18002</v>
      </c>
      <c r="B90" s="82" t="s">
        <v>224</v>
      </c>
      <c r="H90" s="44" t="s">
        <v>225</v>
      </c>
      <c r="O90" s="77">
        <v>0</v>
      </c>
      <c r="P90" s="77">
        <v>1</v>
      </c>
      <c r="Q90" s="77">
        <v>0</v>
      </c>
      <c r="R90" s="77">
        <v>0</v>
      </c>
      <c r="S90" s="64">
        <v>0</v>
      </c>
      <c r="T90" s="64">
        <v>0</v>
      </c>
      <c r="U90" s="64">
        <v>0</v>
      </c>
      <c r="V90" s="64">
        <v>0</v>
      </c>
      <c r="W90" s="63">
        <v>0</v>
      </c>
      <c r="X90" s="63">
        <v>0</v>
      </c>
      <c r="Y90" s="63">
        <v>0</v>
      </c>
      <c r="Z90" s="63">
        <v>0</v>
      </c>
      <c r="AA90" s="78">
        <v>0</v>
      </c>
      <c r="AB90" s="78">
        <v>0</v>
      </c>
      <c r="AC90" s="78">
        <v>0</v>
      </c>
      <c r="AD90" s="78">
        <v>0</v>
      </c>
      <c r="AE90" s="48"/>
      <c r="AU90" s="62"/>
      <c r="BK90" s="62"/>
      <c r="CA90" s="44">
        <v>1000</v>
      </c>
      <c r="CB90" s="44">
        <v>1000</v>
      </c>
      <c r="CC90" s="44">
        <v>0</v>
      </c>
      <c r="CD90" s="44">
        <v>1</v>
      </c>
      <c r="CE90" s="44">
        <v>0</v>
      </c>
      <c r="CF90" s="44">
        <v>0</v>
      </c>
      <c r="CG90" s="44">
        <v>0</v>
      </c>
      <c r="CH90" s="44">
        <v>0</v>
      </c>
      <c r="CI90" s="44">
        <v>1</v>
      </c>
      <c r="CK90" s="44">
        <v>0</v>
      </c>
      <c r="CL90" s="44">
        <v>0</v>
      </c>
      <c r="CM90" s="44">
        <v>0</v>
      </c>
      <c r="CN90" s="44">
        <v>0</v>
      </c>
      <c r="CO90" s="44">
        <v>0</v>
      </c>
      <c r="CP90" s="44">
        <v>0</v>
      </c>
      <c r="CQ90" s="44">
        <v>1</v>
      </c>
      <c r="CR90" s="44">
        <v>0</v>
      </c>
      <c r="CV90" s="44">
        <v>0</v>
      </c>
      <c r="CW90" s="44">
        <v>0</v>
      </c>
    </row>
    <row r="91" s="44" customFormat="1" customHeight="1" spans="1:101">
      <c r="A91" s="81">
        <v>18003</v>
      </c>
      <c r="B91" s="82" t="s">
        <v>226</v>
      </c>
      <c r="H91" s="44" t="s">
        <v>227</v>
      </c>
      <c r="O91" s="77">
        <v>0</v>
      </c>
      <c r="P91" s="77">
        <v>1</v>
      </c>
      <c r="Q91" s="77">
        <v>0</v>
      </c>
      <c r="R91" s="77">
        <v>0</v>
      </c>
      <c r="S91" s="64">
        <v>0</v>
      </c>
      <c r="T91" s="64">
        <v>0</v>
      </c>
      <c r="U91" s="64">
        <v>0</v>
      </c>
      <c r="V91" s="64">
        <v>0</v>
      </c>
      <c r="W91" s="63">
        <v>0</v>
      </c>
      <c r="X91" s="63">
        <v>0</v>
      </c>
      <c r="Y91" s="63">
        <v>0</v>
      </c>
      <c r="Z91" s="63">
        <v>0</v>
      </c>
      <c r="AA91" s="78">
        <v>0</v>
      </c>
      <c r="AB91" s="78">
        <v>0</v>
      </c>
      <c r="AC91" s="78">
        <v>0</v>
      </c>
      <c r="AD91" s="78">
        <v>0</v>
      </c>
      <c r="AE91" s="48"/>
      <c r="AU91" s="62"/>
      <c r="BK91" s="62"/>
      <c r="CA91" s="44">
        <v>1000</v>
      </c>
      <c r="CB91" s="44">
        <v>1000</v>
      </c>
      <c r="CC91" s="44">
        <v>0</v>
      </c>
      <c r="CD91" s="44">
        <v>1</v>
      </c>
      <c r="CE91" s="44">
        <v>0</v>
      </c>
      <c r="CF91" s="44">
        <v>0</v>
      </c>
      <c r="CG91" s="44">
        <v>0</v>
      </c>
      <c r="CH91" s="44">
        <v>0</v>
      </c>
      <c r="CI91" s="44">
        <v>1</v>
      </c>
      <c r="CK91" s="44">
        <v>0</v>
      </c>
      <c r="CL91" s="44">
        <v>0</v>
      </c>
      <c r="CM91" s="44">
        <v>0</v>
      </c>
      <c r="CN91" s="44">
        <v>0</v>
      </c>
      <c r="CO91" s="44">
        <v>0</v>
      </c>
      <c r="CP91" s="44">
        <v>0</v>
      </c>
      <c r="CQ91" s="44">
        <v>1</v>
      </c>
      <c r="CR91" s="44">
        <v>0</v>
      </c>
      <c r="CV91" s="44">
        <v>0</v>
      </c>
      <c r="CW91" s="44">
        <v>0</v>
      </c>
    </row>
    <row r="92" s="44" customFormat="1" customHeight="1" spans="1:101">
      <c r="A92" s="45">
        <v>11803</v>
      </c>
      <c r="B92" s="79" t="s">
        <v>228</v>
      </c>
      <c r="H92" s="44" t="s">
        <v>218</v>
      </c>
      <c r="I92" s="44" t="s">
        <v>218</v>
      </c>
      <c r="O92" s="77">
        <v>200056</v>
      </c>
      <c r="P92" s="77">
        <v>1</v>
      </c>
      <c r="Q92" s="77">
        <v>0</v>
      </c>
      <c r="R92" s="77">
        <v>0</v>
      </c>
      <c r="S92" s="64">
        <v>0</v>
      </c>
      <c r="T92" s="64">
        <v>0</v>
      </c>
      <c r="U92" s="64">
        <v>0</v>
      </c>
      <c r="V92" s="64">
        <v>0</v>
      </c>
      <c r="W92" s="63">
        <v>0</v>
      </c>
      <c r="X92" s="63">
        <v>0</v>
      </c>
      <c r="Y92" s="63">
        <v>0</v>
      </c>
      <c r="Z92" s="63">
        <v>0</v>
      </c>
      <c r="AA92" s="78">
        <v>0</v>
      </c>
      <c r="AB92" s="78">
        <v>0</v>
      </c>
      <c r="AC92" s="78">
        <v>0</v>
      </c>
      <c r="AD92" s="78">
        <v>0</v>
      </c>
      <c r="AE92" s="48"/>
      <c r="AU92" s="62"/>
      <c r="BK92" s="62"/>
      <c r="CA92" s="45">
        <v>1000</v>
      </c>
      <c r="CB92" s="45">
        <v>1000</v>
      </c>
      <c r="CC92" s="45">
        <v>0</v>
      </c>
      <c r="CD92" s="44">
        <v>0</v>
      </c>
      <c r="CE92" s="44">
        <v>0</v>
      </c>
      <c r="CF92" s="44">
        <v>0</v>
      </c>
      <c r="CG92" s="44">
        <v>0</v>
      </c>
      <c r="CH92" s="44">
        <v>0</v>
      </c>
      <c r="CI92" s="45">
        <v>1</v>
      </c>
      <c r="CK92" s="44">
        <v>0</v>
      </c>
      <c r="CL92" s="44">
        <v>0</v>
      </c>
      <c r="CM92" s="44">
        <v>0</v>
      </c>
      <c r="CN92" s="44">
        <v>0</v>
      </c>
      <c r="CO92" s="44">
        <v>0</v>
      </c>
      <c r="CP92" s="44">
        <v>0</v>
      </c>
      <c r="CQ92" s="44">
        <v>1</v>
      </c>
      <c r="CR92" s="45">
        <v>0</v>
      </c>
      <c r="CV92" s="44">
        <v>0</v>
      </c>
      <c r="CW92" s="44">
        <v>0</v>
      </c>
    </row>
    <row r="93" s="44" customFormat="1" customHeight="1" spans="1:101">
      <c r="A93" s="45">
        <v>11804</v>
      </c>
      <c r="B93" s="79" t="s">
        <v>229</v>
      </c>
      <c r="H93" s="44" t="s">
        <v>218</v>
      </c>
      <c r="I93" s="44" t="s">
        <v>218</v>
      </c>
      <c r="O93" s="77">
        <v>200057</v>
      </c>
      <c r="P93" s="77">
        <v>1</v>
      </c>
      <c r="Q93" s="77">
        <v>0</v>
      </c>
      <c r="R93" s="77">
        <v>0</v>
      </c>
      <c r="S93" s="64">
        <v>0</v>
      </c>
      <c r="T93" s="64">
        <v>0</v>
      </c>
      <c r="U93" s="64">
        <v>0</v>
      </c>
      <c r="V93" s="64">
        <v>0</v>
      </c>
      <c r="W93" s="63">
        <v>0</v>
      </c>
      <c r="X93" s="63">
        <v>0</v>
      </c>
      <c r="Y93" s="63">
        <v>0</v>
      </c>
      <c r="Z93" s="63">
        <v>0</v>
      </c>
      <c r="AA93" s="78">
        <v>0</v>
      </c>
      <c r="AB93" s="78">
        <v>0</v>
      </c>
      <c r="AC93" s="78">
        <v>0</v>
      </c>
      <c r="AD93" s="78">
        <v>0</v>
      </c>
      <c r="AE93" s="48"/>
      <c r="AU93" s="62"/>
      <c r="BK93" s="62"/>
      <c r="CA93" s="45">
        <v>1000</v>
      </c>
      <c r="CB93" s="45">
        <v>1000</v>
      </c>
      <c r="CC93" s="45">
        <v>0</v>
      </c>
      <c r="CD93" s="44">
        <v>0</v>
      </c>
      <c r="CE93" s="44">
        <v>0</v>
      </c>
      <c r="CF93" s="44">
        <v>0</v>
      </c>
      <c r="CG93" s="44">
        <v>0</v>
      </c>
      <c r="CH93" s="44">
        <v>0</v>
      </c>
      <c r="CI93" s="45">
        <v>1</v>
      </c>
      <c r="CK93" s="44">
        <v>0</v>
      </c>
      <c r="CL93" s="44">
        <v>0</v>
      </c>
      <c r="CM93" s="44">
        <v>0</v>
      </c>
      <c r="CN93" s="44">
        <v>0</v>
      </c>
      <c r="CO93" s="44">
        <v>0</v>
      </c>
      <c r="CP93" s="44">
        <v>0</v>
      </c>
      <c r="CQ93" s="44">
        <v>1</v>
      </c>
      <c r="CR93" s="45">
        <v>0</v>
      </c>
      <c r="CV93" s="44">
        <v>0</v>
      </c>
      <c r="CW93" s="44">
        <v>0</v>
      </c>
    </row>
    <row r="94" s="44" customFormat="1" customHeight="1" spans="1:101">
      <c r="A94" s="45">
        <v>11805</v>
      </c>
      <c r="B94" s="79" t="s">
        <v>230</v>
      </c>
      <c r="H94" s="44" t="s">
        <v>218</v>
      </c>
      <c r="I94" s="44" t="s">
        <v>218</v>
      </c>
      <c r="O94" s="77">
        <v>200058</v>
      </c>
      <c r="P94" s="77">
        <v>1</v>
      </c>
      <c r="Q94" s="77">
        <v>0</v>
      </c>
      <c r="R94" s="77">
        <v>0</v>
      </c>
      <c r="S94" s="64">
        <v>0</v>
      </c>
      <c r="T94" s="64">
        <v>0</v>
      </c>
      <c r="U94" s="64">
        <v>0</v>
      </c>
      <c r="V94" s="64">
        <v>0</v>
      </c>
      <c r="W94" s="63">
        <v>0</v>
      </c>
      <c r="X94" s="63">
        <v>0</v>
      </c>
      <c r="Y94" s="63">
        <v>0</v>
      </c>
      <c r="Z94" s="63">
        <v>0</v>
      </c>
      <c r="AA94" s="78">
        <v>0</v>
      </c>
      <c r="AB94" s="78">
        <v>0</v>
      </c>
      <c r="AC94" s="78">
        <v>0</v>
      </c>
      <c r="AD94" s="78">
        <v>0</v>
      </c>
      <c r="AE94" s="48"/>
      <c r="AU94" s="62"/>
      <c r="BK94" s="62"/>
      <c r="CA94" s="45">
        <v>1000</v>
      </c>
      <c r="CB94" s="45">
        <v>1000</v>
      </c>
      <c r="CC94" s="45">
        <v>0</v>
      </c>
      <c r="CD94" s="44">
        <v>0</v>
      </c>
      <c r="CE94" s="44">
        <v>0</v>
      </c>
      <c r="CF94" s="44">
        <v>0</v>
      </c>
      <c r="CG94" s="44">
        <v>0</v>
      </c>
      <c r="CH94" s="44">
        <v>0</v>
      </c>
      <c r="CI94" s="45">
        <v>1</v>
      </c>
      <c r="CK94" s="44">
        <v>0</v>
      </c>
      <c r="CL94" s="44">
        <v>0</v>
      </c>
      <c r="CM94" s="44">
        <v>0</v>
      </c>
      <c r="CN94" s="44">
        <v>0</v>
      </c>
      <c r="CO94" s="44">
        <v>0</v>
      </c>
      <c r="CP94" s="44">
        <v>0</v>
      </c>
      <c r="CQ94" s="44">
        <v>1</v>
      </c>
      <c r="CR94" s="45">
        <v>0</v>
      </c>
      <c r="CV94" s="44">
        <v>0</v>
      </c>
      <c r="CW94" s="44">
        <v>0</v>
      </c>
    </row>
    <row r="95" s="44" customFormat="1" customHeight="1" spans="1:101">
      <c r="A95" s="44">
        <v>12000</v>
      </c>
      <c r="B95" s="79" t="s">
        <v>231</v>
      </c>
      <c r="O95" s="77">
        <v>0</v>
      </c>
      <c r="P95" s="77">
        <v>0</v>
      </c>
      <c r="Q95" s="77">
        <v>0</v>
      </c>
      <c r="R95" s="77">
        <v>0</v>
      </c>
      <c r="S95" s="64">
        <v>0</v>
      </c>
      <c r="T95" s="64">
        <v>0</v>
      </c>
      <c r="U95" s="64">
        <v>0</v>
      </c>
      <c r="V95" s="64">
        <v>0</v>
      </c>
      <c r="W95" s="63">
        <v>0</v>
      </c>
      <c r="X95" s="63">
        <v>0</v>
      </c>
      <c r="Y95" s="63">
        <v>0</v>
      </c>
      <c r="Z95" s="63">
        <v>0</v>
      </c>
      <c r="AA95" s="78">
        <v>0</v>
      </c>
      <c r="AB95" s="78">
        <v>0</v>
      </c>
      <c r="AC95" s="78">
        <v>0</v>
      </c>
      <c r="AD95" s="78">
        <v>0</v>
      </c>
      <c r="AE95" s="48">
        <v>200011</v>
      </c>
      <c r="AF95" s="44">
        <v>200012</v>
      </c>
      <c r="AG95" s="44">
        <v>200013</v>
      </c>
      <c r="AH95" s="44">
        <v>200014</v>
      </c>
      <c r="AI95" s="44">
        <v>200016</v>
      </c>
      <c r="AU95" s="62">
        <v>1</v>
      </c>
      <c r="AV95" s="44">
        <v>1</v>
      </c>
      <c r="AW95" s="44">
        <v>1</v>
      </c>
      <c r="AX95" s="44">
        <v>1</v>
      </c>
      <c r="AY95" s="44">
        <v>1</v>
      </c>
      <c r="BK95" s="62">
        <v>20</v>
      </c>
      <c r="BL95" s="44">
        <v>20</v>
      </c>
      <c r="BM95" s="44">
        <v>20</v>
      </c>
      <c r="BN95" s="44">
        <v>20</v>
      </c>
      <c r="BO95" s="44">
        <v>5</v>
      </c>
      <c r="CA95" s="44">
        <v>1000</v>
      </c>
      <c r="CB95" s="44">
        <v>85</v>
      </c>
      <c r="CC95" s="44">
        <v>0</v>
      </c>
      <c r="CD95" s="44">
        <v>1</v>
      </c>
      <c r="CE95" s="44">
        <v>0</v>
      </c>
      <c r="CF95" s="44">
        <v>0</v>
      </c>
      <c r="CG95" s="44">
        <v>0</v>
      </c>
      <c r="CH95" s="44">
        <v>0</v>
      </c>
      <c r="CI95" s="44">
        <v>1</v>
      </c>
      <c r="CK95" s="44">
        <v>0</v>
      </c>
      <c r="CL95" s="44">
        <v>0</v>
      </c>
      <c r="CM95" s="44">
        <v>0</v>
      </c>
      <c r="CN95" s="44">
        <v>0</v>
      </c>
      <c r="CO95" s="44">
        <v>0</v>
      </c>
      <c r="CP95" s="44">
        <v>0</v>
      </c>
      <c r="CQ95" s="44">
        <v>1</v>
      </c>
      <c r="CR95" s="44">
        <v>0</v>
      </c>
      <c r="CV95" s="44">
        <v>0</v>
      </c>
      <c r="CW95" s="44">
        <v>0</v>
      </c>
    </row>
    <row r="96" s="44" customFormat="1" customHeight="1" spans="1:101">
      <c r="A96" s="45">
        <v>12001</v>
      </c>
      <c r="B96" s="79" t="s">
        <v>232</v>
      </c>
      <c r="H96" s="44">
        <v>300</v>
      </c>
      <c r="O96" s="77"/>
      <c r="P96" s="77"/>
      <c r="Q96" s="77"/>
      <c r="R96" s="77"/>
      <c r="S96" s="64"/>
      <c r="T96" s="64"/>
      <c r="U96" s="64"/>
      <c r="V96" s="64"/>
      <c r="W96" s="63"/>
      <c r="X96" s="63"/>
      <c r="Y96" s="63"/>
      <c r="Z96" s="63"/>
      <c r="AA96" s="78"/>
      <c r="AB96" s="78"/>
      <c r="AC96" s="78"/>
      <c r="AD96" s="78"/>
      <c r="AE96" s="48"/>
      <c r="AU96" s="62"/>
      <c r="BK96" s="62"/>
      <c r="CA96" s="44">
        <v>1000</v>
      </c>
      <c r="CB96" s="44">
        <v>1000</v>
      </c>
      <c r="CC96" s="44">
        <v>0</v>
      </c>
      <c r="CD96" s="44">
        <v>0</v>
      </c>
      <c r="CE96" s="44">
        <v>0</v>
      </c>
      <c r="CF96" s="44">
        <v>0</v>
      </c>
      <c r="CG96" s="44">
        <v>0</v>
      </c>
      <c r="CH96" s="44">
        <v>0</v>
      </c>
      <c r="CI96" s="44">
        <v>1</v>
      </c>
      <c r="CK96" s="44">
        <v>0</v>
      </c>
      <c r="CL96" s="44">
        <v>0</v>
      </c>
      <c r="CM96" s="44">
        <v>0</v>
      </c>
      <c r="CN96" s="44">
        <v>0</v>
      </c>
      <c r="CO96" s="44">
        <v>0</v>
      </c>
      <c r="CP96" s="44">
        <v>0</v>
      </c>
      <c r="CQ96" s="44">
        <v>1</v>
      </c>
      <c r="CR96" s="44">
        <v>0</v>
      </c>
      <c r="CV96" s="44">
        <v>0</v>
      </c>
      <c r="CW96" s="44">
        <v>0</v>
      </c>
    </row>
    <row r="97" s="44" customFormat="1" customHeight="1" spans="1:101">
      <c r="A97" s="45">
        <v>12002</v>
      </c>
      <c r="B97" s="79" t="s">
        <v>233</v>
      </c>
      <c r="H97" s="44">
        <v>100</v>
      </c>
      <c r="O97" s="77"/>
      <c r="P97" s="77"/>
      <c r="Q97" s="77"/>
      <c r="R97" s="77"/>
      <c r="S97" s="64"/>
      <c r="T97" s="64"/>
      <c r="U97" s="64"/>
      <c r="V97" s="64"/>
      <c r="W97" s="63"/>
      <c r="X97" s="63"/>
      <c r="Y97" s="63"/>
      <c r="Z97" s="63"/>
      <c r="AA97" s="78"/>
      <c r="AB97" s="78"/>
      <c r="AC97" s="78"/>
      <c r="AD97" s="78"/>
      <c r="AE97" s="48"/>
      <c r="AU97" s="62"/>
      <c r="BK97" s="62"/>
      <c r="CA97" s="44">
        <v>1000</v>
      </c>
      <c r="CB97" s="44">
        <v>1000</v>
      </c>
      <c r="CC97" s="44">
        <v>0</v>
      </c>
      <c r="CD97" s="44">
        <v>0</v>
      </c>
      <c r="CE97" s="44">
        <v>0</v>
      </c>
      <c r="CF97" s="44">
        <v>0</v>
      </c>
      <c r="CG97" s="44">
        <v>0</v>
      </c>
      <c r="CH97" s="44">
        <v>0</v>
      </c>
      <c r="CI97" s="44">
        <v>1</v>
      </c>
      <c r="CK97" s="44">
        <v>0</v>
      </c>
      <c r="CL97" s="44">
        <v>0</v>
      </c>
      <c r="CM97" s="44">
        <v>0</v>
      </c>
      <c r="CN97" s="44">
        <v>0</v>
      </c>
      <c r="CO97" s="44">
        <v>0</v>
      </c>
      <c r="CP97" s="44">
        <v>0</v>
      </c>
      <c r="CQ97" s="44">
        <v>1</v>
      </c>
      <c r="CR97" s="44">
        <v>0</v>
      </c>
      <c r="CV97" s="44">
        <v>0</v>
      </c>
      <c r="CW97" s="44">
        <v>0</v>
      </c>
    </row>
    <row r="98" s="44" customFormat="1" customHeight="1" spans="1:101">
      <c r="A98" s="45">
        <v>12003</v>
      </c>
      <c r="B98" s="79" t="s">
        <v>234</v>
      </c>
      <c r="O98" s="77"/>
      <c r="P98" s="77"/>
      <c r="Q98" s="77"/>
      <c r="R98" s="77"/>
      <c r="S98" s="64"/>
      <c r="T98" s="64"/>
      <c r="U98" s="64"/>
      <c r="V98" s="64"/>
      <c r="W98" s="63"/>
      <c r="X98" s="63"/>
      <c r="Y98" s="63"/>
      <c r="Z98" s="63"/>
      <c r="AA98" s="78"/>
      <c r="AB98" s="78"/>
      <c r="AC98" s="78"/>
      <c r="AD98" s="78"/>
      <c r="AE98" s="48"/>
      <c r="AU98" s="62"/>
      <c r="BK98" s="62"/>
      <c r="CA98" s="44">
        <v>1000</v>
      </c>
      <c r="CB98" s="44">
        <v>1000</v>
      </c>
      <c r="CC98" s="44">
        <v>0</v>
      </c>
      <c r="CD98" s="44">
        <v>0</v>
      </c>
      <c r="CE98" s="44">
        <v>0</v>
      </c>
      <c r="CF98" s="44">
        <v>0</v>
      </c>
      <c r="CG98" s="44">
        <v>0</v>
      </c>
      <c r="CH98" s="44">
        <v>0</v>
      </c>
      <c r="CI98" s="44">
        <v>1</v>
      </c>
      <c r="CK98" s="44">
        <v>0</v>
      </c>
      <c r="CL98" s="44">
        <v>0</v>
      </c>
      <c r="CM98" s="44">
        <v>0</v>
      </c>
      <c r="CN98" s="44">
        <v>0</v>
      </c>
      <c r="CO98" s="44">
        <v>0</v>
      </c>
      <c r="CP98" s="44">
        <v>0</v>
      </c>
      <c r="CQ98" s="44">
        <v>1</v>
      </c>
      <c r="CR98" s="44">
        <v>0</v>
      </c>
      <c r="CV98" s="44">
        <v>0</v>
      </c>
      <c r="CW98" s="44">
        <v>0</v>
      </c>
    </row>
    <row r="99" s="44" customFormat="1" customHeight="1" spans="1:101">
      <c r="A99" s="45">
        <v>12004</v>
      </c>
      <c r="B99" s="79" t="s">
        <v>235</v>
      </c>
      <c r="O99" s="77"/>
      <c r="P99" s="77"/>
      <c r="Q99" s="77"/>
      <c r="R99" s="77"/>
      <c r="S99" s="64"/>
      <c r="T99" s="64"/>
      <c r="U99" s="64"/>
      <c r="V99" s="64"/>
      <c r="W99" s="63"/>
      <c r="X99" s="63"/>
      <c r="Y99" s="63"/>
      <c r="Z99" s="63"/>
      <c r="AA99" s="78"/>
      <c r="AB99" s="78"/>
      <c r="AC99" s="78"/>
      <c r="AD99" s="78"/>
      <c r="AE99" s="48"/>
      <c r="AU99" s="62"/>
      <c r="BK99" s="62"/>
      <c r="CA99" s="44">
        <v>1000</v>
      </c>
      <c r="CB99" s="44">
        <v>1000</v>
      </c>
      <c r="CC99" s="44">
        <v>0</v>
      </c>
      <c r="CD99" s="44">
        <v>0</v>
      </c>
      <c r="CE99" s="44">
        <v>0</v>
      </c>
      <c r="CF99" s="44">
        <v>0</v>
      </c>
      <c r="CG99" s="44">
        <v>0</v>
      </c>
      <c r="CH99" s="44">
        <v>0</v>
      </c>
      <c r="CI99" s="44">
        <v>1</v>
      </c>
      <c r="CK99" s="44">
        <v>0</v>
      </c>
      <c r="CL99" s="44">
        <v>0</v>
      </c>
      <c r="CM99" s="44">
        <v>0</v>
      </c>
      <c r="CN99" s="44">
        <v>0</v>
      </c>
      <c r="CO99" s="44">
        <v>0</v>
      </c>
      <c r="CP99" s="44">
        <v>0</v>
      </c>
      <c r="CQ99" s="44">
        <v>1</v>
      </c>
      <c r="CR99" s="44">
        <v>0</v>
      </c>
      <c r="CV99" s="44">
        <v>0</v>
      </c>
      <c r="CW99" s="44">
        <v>0</v>
      </c>
    </row>
    <row r="100" s="44" customFormat="1" customHeight="1" spans="1:101">
      <c r="A100" s="45">
        <v>12006</v>
      </c>
      <c r="B100" s="79" t="s">
        <v>236</v>
      </c>
      <c r="O100" s="77"/>
      <c r="P100" s="77"/>
      <c r="Q100" s="77"/>
      <c r="R100" s="77"/>
      <c r="S100" s="64"/>
      <c r="T100" s="64"/>
      <c r="U100" s="64"/>
      <c r="V100" s="64"/>
      <c r="W100" s="63"/>
      <c r="X100" s="63"/>
      <c r="Y100" s="63"/>
      <c r="Z100" s="63"/>
      <c r="AA100" s="78"/>
      <c r="AB100" s="78"/>
      <c r="AC100" s="78"/>
      <c r="AD100" s="78"/>
      <c r="AE100" s="48"/>
      <c r="AU100" s="62"/>
      <c r="BK100" s="62"/>
      <c r="CA100" s="44">
        <v>1000</v>
      </c>
      <c r="CB100" s="44">
        <v>1000</v>
      </c>
      <c r="CC100" s="44">
        <v>0</v>
      </c>
      <c r="CD100" s="44">
        <v>0</v>
      </c>
      <c r="CE100" s="44">
        <v>0</v>
      </c>
      <c r="CF100" s="44">
        <v>0</v>
      </c>
      <c r="CG100" s="44">
        <v>0</v>
      </c>
      <c r="CH100" s="44">
        <v>0</v>
      </c>
      <c r="CI100" s="44">
        <v>1</v>
      </c>
      <c r="CK100" s="44">
        <v>0</v>
      </c>
      <c r="CL100" s="44">
        <v>0</v>
      </c>
      <c r="CM100" s="44">
        <v>0</v>
      </c>
      <c r="CN100" s="44">
        <v>0</v>
      </c>
      <c r="CO100" s="44">
        <v>0</v>
      </c>
      <c r="CP100" s="44">
        <v>0</v>
      </c>
      <c r="CQ100" s="44">
        <v>1</v>
      </c>
      <c r="CR100" s="44">
        <v>0</v>
      </c>
      <c r="CV100" s="44">
        <v>0</v>
      </c>
      <c r="CW100" s="44">
        <v>0</v>
      </c>
    </row>
    <row r="101" s="44" customFormat="1" customHeight="1" spans="1:101">
      <c r="A101" s="45">
        <v>12007</v>
      </c>
      <c r="B101" s="79" t="s">
        <v>237</v>
      </c>
      <c r="E101" s="44">
        <v>10</v>
      </c>
      <c r="O101" s="77"/>
      <c r="P101" s="77"/>
      <c r="Q101" s="77"/>
      <c r="R101" s="77"/>
      <c r="S101" s="64"/>
      <c r="T101" s="64"/>
      <c r="U101" s="64"/>
      <c r="V101" s="64"/>
      <c r="W101" s="63"/>
      <c r="X101" s="63"/>
      <c r="Y101" s="63"/>
      <c r="Z101" s="63"/>
      <c r="AA101" s="78"/>
      <c r="AB101" s="78"/>
      <c r="AC101" s="78"/>
      <c r="AD101" s="78"/>
      <c r="AE101" s="48"/>
      <c r="AU101" s="62"/>
      <c r="BK101" s="62"/>
      <c r="CA101" s="44">
        <v>1000</v>
      </c>
      <c r="CB101" s="44">
        <v>1000</v>
      </c>
      <c r="CC101" s="44">
        <v>0</v>
      </c>
      <c r="CD101" s="44">
        <v>0</v>
      </c>
      <c r="CE101" s="44">
        <v>0</v>
      </c>
      <c r="CF101" s="44">
        <v>0</v>
      </c>
      <c r="CG101" s="44">
        <v>0</v>
      </c>
      <c r="CH101" s="44">
        <v>0</v>
      </c>
      <c r="CI101" s="44">
        <v>1</v>
      </c>
      <c r="CK101" s="44">
        <v>0</v>
      </c>
      <c r="CL101" s="44">
        <v>0</v>
      </c>
      <c r="CM101" s="44">
        <v>0</v>
      </c>
      <c r="CN101" s="44">
        <v>0</v>
      </c>
      <c r="CO101" s="44">
        <v>0</v>
      </c>
      <c r="CP101" s="44">
        <v>0</v>
      </c>
      <c r="CQ101" s="44">
        <v>1</v>
      </c>
      <c r="CR101" s="44">
        <v>0</v>
      </c>
      <c r="CV101" s="44">
        <v>0</v>
      </c>
      <c r="CW101" s="44">
        <v>0</v>
      </c>
    </row>
    <row r="102" s="44" customFormat="1" customHeight="1" spans="1:101">
      <c r="A102" s="45">
        <v>12008</v>
      </c>
      <c r="B102" s="79" t="s">
        <v>238</v>
      </c>
      <c r="O102" s="77"/>
      <c r="P102" s="77"/>
      <c r="Q102" s="77"/>
      <c r="R102" s="77"/>
      <c r="S102" s="64"/>
      <c r="T102" s="64"/>
      <c r="U102" s="64"/>
      <c r="V102" s="64"/>
      <c r="W102" s="63"/>
      <c r="X102" s="63"/>
      <c r="Y102" s="63"/>
      <c r="Z102" s="63"/>
      <c r="AA102" s="78"/>
      <c r="AB102" s="78"/>
      <c r="AC102" s="78"/>
      <c r="AD102" s="78"/>
      <c r="AE102" s="48"/>
      <c r="AU102" s="62"/>
      <c r="BK102" s="62"/>
      <c r="CA102" s="44">
        <v>1000</v>
      </c>
      <c r="CB102" s="44">
        <v>1000</v>
      </c>
      <c r="CC102" s="44">
        <v>0</v>
      </c>
      <c r="CD102" s="44">
        <v>0</v>
      </c>
      <c r="CE102" s="44">
        <v>0</v>
      </c>
      <c r="CF102" s="44">
        <v>0</v>
      </c>
      <c r="CG102" s="44">
        <v>0</v>
      </c>
      <c r="CH102" s="44">
        <v>0</v>
      </c>
      <c r="CI102" s="44">
        <v>1</v>
      </c>
      <c r="CK102" s="44">
        <v>0</v>
      </c>
      <c r="CL102" s="44">
        <v>0</v>
      </c>
      <c r="CM102" s="44">
        <v>0</v>
      </c>
      <c r="CN102" s="44">
        <v>0</v>
      </c>
      <c r="CO102" s="44">
        <v>0</v>
      </c>
      <c r="CP102" s="44">
        <v>0</v>
      </c>
      <c r="CQ102" s="44">
        <v>1</v>
      </c>
      <c r="CR102" s="44">
        <v>0</v>
      </c>
      <c r="CV102" s="44">
        <v>0</v>
      </c>
      <c r="CW102" s="44">
        <v>0</v>
      </c>
    </row>
    <row r="103" s="44" customFormat="1" customHeight="1" spans="1:101">
      <c r="A103" s="45">
        <v>12009</v>
      </c>
      <c r="B103" s="79" t="s">
        <v>239</v>
      </c>
      <c r="K103" s="44">
        <v>50</v>
      </c>
      <c r="O103" s="77"/>
      <c r="P103" s="77"/>
      <c r="Q103" s="77"/>
      <c r="R103" s="77"/>
      <c r="S103" s="64"/>
      <c r="T103" s="64"/>
      <c r="U103" s="64"/>
      <c r="V103" s="64"/>
      <c r="W103" s="63"/>
      <c r="X103" s="63"/>
      <c r="Y103" s="63"/>
      <c r="Z103" s="63"/>
      <c r="AA103" s="78"/>
      <c r="AB103" s="78"/>
      <c r="AC103" s="78"/>
      <c r="AD103" s="78"/>
      <c r="AE103" s="48"/>
      <c r="AU103" s="62"/>
      <c r="BK103" s="62"/>
      <c r="CA103" s="44">
        <v>1000</v>
      </c>
      <c r="CB103" s="44">
        <v>1000</v>
      </c>
      <c r="CC103" s="44">
        <v>0</v>
      </c>
      <c r="CD103" s="44">
        <v>0</v>
      </c>
      <c r="CE103" s="44">
        <v>0</v>
      </c>
      <c r="CF103" s="44">
        <v>0</v>
      </c>
      <c r="CG103" s="44">
        <v>0</v>
      </c>
      <c r="CH103" s="44">
        <v>0</v>
      </c>
      <c r="CI103" s="44">
        <v>1</v>
      </c>
      <c r="CK103" s="44">
        <v>0</v>
      </c>
      <c r="CL103" s="44">
        <v>0</v>
      </c>
      <c r="CM103" s="44">
        <v>0</v>
      </c>
      <c r="CN103" s="44">
        <v>0</v>
      </c>
      <c r="CO103" s="44">
        <v>0</v>
      </c>
      <c r="CP103" s="44">
        <v>0</v>
      </c>
      <c r="CQ103" s="44">
        <v>1</v>
      </c>
      <c r="CR103" s="44">
        <v>0</v>
      </c>
      <c r="CV103" s="44">
        <v>0</v>
      </c>
      <c r="CW103" s="44">
        <v>0</v>
      </c>
    </row>
    <row r="104" s="44" customFormat="1" customHeight="1" spans="1:101">
      <c r="A104" s="45">
        <v>12010</v>
      </c>
      <c r="B104" s="79" t="s">
        <v>240</v>
      </c>
      <c r="O104" s="77"/>
      <c r="P104" s="77"/>
      <c r="Q104" s="77"/>
      <c r="R104" s="77"/>
      <c r="S104" s="64"/>
      <c r="T104" s="64"/>
      <c r="U104" s="64"/>
      <c r="V104" s="64"/>
      <c r="W104" s="63"/>
      <c r="X104" s="63"/>
      <c r="Y104" s="63"/>
      <c r="Z104" s="63"/>
      <c r="AA104" s="78"/>
      <c r="AB104" s="78"/>
      <c r="AC104" s="78"/>
      <c r="AD104" s="78"/>
      <c r="AE104" s="48"/>
      <c r="AU104" s="62"/>
      <c r="BK104" s="62"/>
      <c r="CA104" s="44">
        <v>1000</v>
      </c>
      <c r="CB104" s="44">
        <v>1000</v>
      </c>
      <c r="CC104" s="44">
        <v>0</v>
      </c>
      <c r="CD104" s="44">
        <v>0</v>
      </c>
      <c r="CE104" s="44">
        <v>0</v>
      </c>
      <c r="CF104" s="44">
        <v>0</v>
      </c>
      <c r="CG104" s="44">
        <v>0</v>
      </c>
      <c r="CH104" s="44">
        <v>0</v>
      </c>
      <c r="CI104" s="44">
        <v>1</v>
      </c>
      <c r="CK104" s="44">
        <v>0</v>
      </c>
      <c r="CL104" s="44">
        <v>0</v>
      </c>
      <c r="CM104" s="44">
        <v>0</v>
      </c>
      <c r="CN104" s="44">
        <v>0</v>
      </c>
      <c r="CO104" s="44">
        <v>0</v>
      </c>
      <c r="CP104" s="44">
        <v>0</v>
      </c>
      <c r="CQ104" s="44">
        <v>1</v>
      </c>
      <c r="CR104" s="44">
        <v>0</v>
      </c>
      <c r="CV104" s="44">
        <v>0</v>
      </c>
      <c r="CW104" s="44">
        <v>0</v>
      </c>
    </row>
    <row r="105" s="44" customFormat="1" customHeight="1" spans="1:101">
      <c r="A105" s="45">
        <v>12011</v>
      </c>
      <c r="B105" s="79" t="s">
        <v>241</v>
      </c>
      <c r="H105" s="44">
        <v>2500</v>
      </c>
      <c r="O105" s="77"/>
      <c r="P105" s="77"/>
      <c r="Q105" s="77"/>
      <c r="R105" s="77"/>
      <c r="S105" s="64"/>
      <c r="T105" s="64"/>
      <c r="U105" s="64"/>
      <c r="V105" s="64"/>
      <c r="W105" s="63"/>
      <c r="X105" s="63"/>
      <c r="Y105" s="63"/>
      <c r="Z105" s="63"/>
      <c r="AA105" s="78"/>
      <c r="AB105" s="78"/>
      <c r="AC105" s="78"/>
      <c r="AD105" s="78"/>
      <c r="AE105" s="48"/>
      <c r="AU105" s="62"/>
      <c r="BK105" s="62"/>
      <c r="CA105" s="44">
        <v>1000</v>
      </c>
      <c r="CB105" s="44">
        <v>1000</v>
      </c>
      <c r="CC105" s="44">
        <v>0</v>
      </c>
      <c r="CD105" s="44">
        <v>0</v>
      </c>
      <c r="CE105" s="44">
        <v>0</v>
      </c>
      <c r="CF105" s="44">
        <v>0</v>
      </c>
      <c r="CG105" s="44">
        <v>0</v>
      </c>
      <c r="CH105" s="44">
        <v>0</v>
      </c>
      <c r="CI105" s="44">
        <v>1</v>
      </c>
      <c r="CK105" s="44">
        <v>0</v>
      </c>
      <c r="CL105" s="44">
        <v>0</v>
      </c>
      <c r="CM105" s="44">
        <v>0</v>
      </c>
      <c r="CN105" s="44">
        <v>0</v>
      </c>
      <c r="CO105" s="44">
        <v>0</v>
      </c>
      <c r="CP105" s="44">
        <v>0</v>
      </c>
      <c r="CQ105" s="44">
        <v>1</v>
      </c>
      <c r="CR105" s="44">
        <v>0</v>
      </c>
      <c r="CV105" s="44">
        <v>0</v>
      </c>
      <c r="CW105" s="44">
        <v>0</v>
      </c>
    </row>
    <row r="106" s="44" customFormat="1" customHeight="1" spans="1:101">
      <c r="A106" s="45">
        <v>12012</v>
      </c>
      <c r="B106" s="79" t="s">
        <v>242</v>
      </c>
      <c r="O106" s="77"/>
      <c r="P106" s="77"/>
      <c r="Q106" s="77"/>
      <c r="R106" s="77"/>
      <c r="S106" s="64"/>
      <c r="T106" s="64"/>
      <c r="U106" s="64"/>
      <c r="V106" s="64"/>
      <c r="W106" s="63"/>
      <c r="X106" s="63"/>
      <c r="Y106" s="63"/>
      <c r="Z106" s="63"/>
      <c r="AA106" s="78"/>
      <c r="AB106" s="78"/>
      <c r="AC106" s="78"/>
      <c r="AD106" s="78"/>
      <c r="AE106" s="48"/>
      <c r="AU106" s="62"/>
      <c r="BK106" s="62"/>
      <c r="CA106" s="44">
        <v>1000</v>
      </c>
      <c r="CB106" s="44">
        <v>1000</v>
      </c>
      <c r="CC106" s="44">
        <v>0</v>
      </c>
      <c r="CD106" s="44">
        <v>0</v>
      </c>
      <c r="CE106" s="44">
        <v>0</v>
      </c>
      <c r="CF106" s="44">
        <v>0</v>
      </c>
      <c r="CG106" s="44">
        <v>0</v>
      </c>
      <c r="CH106" s="44">
        <v>0</v>
      </c>
      <c r="CI106" s="44">
        <v>1</v>
      </c>
      <c r="CK106" s="44">
        <v>0</v>
      </c>
      <c r="CL106" s="44">
        <v>0</v>
      </c>
      <c r="CM106" s="44">
        <v>0</v>
      </c>
      <c r="CN106" s="44">
        <v>0</v>
      </c>
      <c r="CO106" s="44">
        <v>0</v>
      </c>
      <c r="CP106" s="44">
        <v>0</v>
      </c>
      <c r="CQ106" s="44">
        <v>1</v>
      </c>
      <c r="CR106" s="44">
        <v>0</v>
      </c>
      <c r="CV106" s="44">
        <v>0</v>
      </c>
      <c r="CW106" s="44">
        <v>0</v>
      </c>
    </row>
    <row r="107" s="44" customFormat="1" customHeight="1" spans="1:101">
      <c r="A107" s="45">
        <v>12013</v>
      </c>
      <c r="B107" s="79" t="s">
        <v>243</v>
      </c>
      <c r="O107" s="77"/>
      <c r="P107" s="77"/>
      <c r="Q107" s="77"/>
      <c r="R107" s="77"/>
      <c r="S107" s="64"/>
      <c r="T107" s="64"/>
      <c r="U107" s="64"/>
      <c r="V107" s="64"/>
      <c r="W107" s="63"/>
      <c r="X107" s="63"/>
      <c r="Y107" s="63"/>
      <c r="Z107" s="63"/>
      <c r="AA107" s="78"/>
      <c r="AB107" s="78"/>
      <c r="AC107" s="78"/>
      <c r="AD107" s="78"/>
      <c r="AE107" s="48"/>
      <c r="AU107" s="62"/>
      <c r="BK107" s="62"/>
      <c r="CA107" s="44">
        <v>1000</v>
      </c>
      <c r="CB107" s="44">
        <v>1000</v>
      </c>
      <c r="CC107" s="44">
        <v>0</v>
      </c>
      <c r="CD107" s="44">
        <v>0</v>
      </c>
      <c r="CE107" s="44">
        <v>0</v>
      </c>
      <c r="CF107" s="44">
        <v>0</v>
      </c>
      <c r="CG107" s="44">
        <v>0</v>
      </c>
      <c r="CH107" s="44">
        <v>0</v>
      </c>
      <c r="CI107" s="44">
        <v>1</v>
      </c>
      <c r="CK107" s="44">
        <v>0</v>
      </c>
      <c r="CL107" s="44">
        <v>0</v>
      </c>
      <c r="CM107" s="44">
        <v>0</v>
      </c>
      <c r="CN107" s="44">
        <v>0</v>
      </c>
      <c r="CO107" s="44">
        <v>0</v>
      </c>
      <c r="CP107" s="44">
        <v>0</v>
      </c>
      <c r="CQ107" s="44">
        <v>1</v>
      </c>
      <c r="CR107" s="44">
        <v>0</v>
      </c>
      <c r="CV107" s="44">
        <v>0</v>
      </c>
      <c r="CW107" s="44">
        <v>0</v>
      </c>
    </row>
    <row r="108" s="44" customFormat="1" customHeight="1" spans="1:101">
      <c r="A108" s="45">
        <v>12014</v>
      </c>
      <c r="B108" s="79" t="s">
        <v>244</v>
      </c>
      <c r="O108" s="77"/>
      <c r="P108" s="77"/>
      <c r="Q108" s="77"/>
      <c r="R108" s="77"/>
      <c r="S108" s="64"/>
      <c r="T108" s="64"/>
      <c r="U108" s="64"/>
      <c r="V108" s="64"/>
      <c r="W108" s="63"/>
      <c r="X108" s="63"/>
      <c r="Y108" s="63"/>
      <c r="Z108" s="63"/>
      <c r="AA108" s="78"/>
      <c r="AB108" s="78"/>
      <c r="AC108" s="78"/>
      <c r="AD108" s="78"/>
      <c r="AE108" s="48"/>
      <c r="AU108" s="62"/>
      <c r="BK108" s="62"/>
      <c r="CA108" s="44">
        <v>1000</v>
      </c>
      <c r="CB108" s="44">
        <v>1000</v>
      </c>
      <c r="CC108" s="44">
        <v>0</v>
      </c>
      <c r="CD108" s="44">
        <v>0</v>
      </c>
      <c r="CE108" s="44">
        <v>0</v>
      </c>
      <c r="CF108" s="44">
        <v>0</v>
      </c>
      <c r="CG108" s="44">
        <v>0</v>
      </c>
      <c r="CH108" s="44">
        <v>0</v>
      </c>
      <c r="CI108" s="44">
        <v>1</v>
      </c>
      <c r="CK108" s="44">
        <v>0</v>
      </c>
      <c r="CL108" s="44">
        <v>0</v>
      </c>
      <c r="CM108" s="44">
        <v>0</v>
      </c>
      <c r="CN108" s="44">
        <v>0</v>
      </c>
      <c r="CO108" s="44">
        <v>0</v>
      </c>
      <c r="CP108" s="44">
        <v>0</v>
      </c>
      <c r="CQ108" s="44">
        <v>1</v>
      </c>
      <c r="CR108" s="44">
        <v>0</v>
      </c>
      <c r="CV108" s="44">
        <v>0</v>
      </c>
      <c r="CW108" s="44">
        <v>0</v>
      </c>
    </row>
    <row r="109" s="44" customFormat="1" customHeight="1" spans="1:101">
      <c r="A109" s="45">
        <v>12015</v>
      </c>
      <c r="B109" s="79" t="s">
        <v>245</v>
      </c>
      <c r="O109" s="77"/>
      <c r="P109" s="77"/>
      <c r="Q109" s="77"/>
      <c r="R109" s="77"/>
      <c r="S109" s="64"/>
      <c r="T109" s="64"/>
      <c r="U109" s="64"/>
      <c r="V109" s="64"/>
      <c r="W109" s="63"/>
      <c r="X109" s="63"/>
      <c r="Y109" s="63"/>
      <c r="Z109" s="63"/>
      <c r="AA109" s="78"/>
      <c r="AB109" s="78"/>
      <c r="AC109" s="78"/>
      <c r="AD109" s="78"/>
      <c r="AE109" s="48"/>
      <c r="AU109" s="62"/>
      <c r="BK109" s="62"/>
      <c r="CA109" s="44">
        <v>1000</v>
      </c>
      <c r="CB109" s="44">
        <v>1000</v>
      </c>
      <c r="CC109" s="44">
        <v>0</v>
      </c>
      <c r="CD109" s="44">
        <v>0</v>
      </c>
      <c r="CE109" s="44">
        <v>0</v>
      </c>
      <c r="CF109" s="44">
        <v>0</v>
      </c>
      <c r="CG109" s="44">
        <v>0</v>
      </c>
      <c r="CH109" s="44">
        <v>0</v>
      </c>
      <c r="CI109" s="44">
        <v>1</v>
      </c>
      <c r="CK109" s="44">
        <v>0</v>
      </c>
      <c r="CL109" s="44">
        <v>0</v>
      </c>
      <c r="CM109" s="44">
        <v>0</v>
      </c>
      <c r="CN109" s="44">
        <v>0</v>
      </c>
      <c r="CO109" s="44">
        <v>0</v>
      </c>
      <c r="CP109" s="44">
        <v>0</v>
      </c>
      <c r="CQ109" s="44">
        <v>1</v>
      </c>
      <c r="CR109" s="44">
        <v>0</v>
      </c>
      <c r="CV109" s="44">
        <v>0</v>
      </c>
      <c r="CW109" s="44">
        <v>0</v>
      </c>
    </row>
    <row r="110" s="44" customFormat="1" customHeight="1" spans="1:101">
      <c r="A110" s="45">
        <v>12016</v>
      </c>
      <c r="B110" s="79" t="s">
        <v>246</v>
      </c>
      <c r="O110" s="77"/>
      <c r="P110" s="77"/>
      <c r="Q110" s="77"/>
      <c r="R110" s="77"/>
      <c r="S110" s="64"/>
      <c r="T110" s="64"/>
      <c r="U110" s="64"/>
      <c r="V110" s="64"/>
      <c r="W110" s="63"/>
      <c r="X110" s="63"/>
      <c r="Y110" s="63"/>
      <c r="Z110" s="63"/>
      <c r="AA110" s="78"/>
      <c r="AB110" s="78"/>
      <c r="AC110" s="78"/>
      <c r="AD110" s="78"/>
      <c r="AE110" s="48"/>
      <c r="AU110" s="62"/>
      <c r="BK110" s="62"/>
      <c r="CA110" s="44">
        <v>1000</v>
      </c>
      <c r="CB110" s="44">
        <v>1000</v>
      </c>
      <c r="CC110" s="44">
        <v>0</v>
      </c>
      <c r="CD110" s="44">
        <v>0</v>
      </c>
      <c r="CE110" s="44">
        <v>0</v>
      </c>
      <c r="CF110" s="44">
        <v>0</v>
      </c>
      <c r="CG110" s="44">
        <v>0</v>
      </c>
      <c r="CH110" s="44">
        <v>0</v>
      </c>
      <c r="CI110" s="44">
        <v>1</v>
      </c>
      <c r="CK110" s="44">
        <v>0</v>
      </c>
      <c r="CL110" s="44">
        <v>0</v>
      </c>
      <c r="CM110" s="44">
        <v>0</v>
      </c>
      <c r="CN110" s="44">
        <v>0</v>
      </c>
      <c r="CO110" s="44">
        <v>0</v>
      </c>
      <c r="CP110" s="44">
        <v>0</v>
      </c>
      <c r="CQ110" s="44">
        <v>1</v>
      </c>
      <c r="CR110" s="44">
        <v>0</v>
      </c>
      <c r="CV110" s="44">
        <v>0</v>
      </c>
      <c r="CW110" s="44">
        <v>0</v>
      </c>
    </row>
    <row r="111" s="44" customFormat="1" customHeight="1" spans="1:101">
      <c r="A111" s="45">
        <v>12017</v>
      </c>
      <c r="B111" s="79" t="s">
        <v>247</v>
      </c>
      <c r="O111" s="77"/>
      <c r="P111" s="77"/>
      <c r="Q111" s="77"/>
      <c r="R111" s="77"/>
      <c r="S111" s="64"/>
      <c r="T111" s="64"/>
      <c r="U111" s="64"/>
      <c r="V111" s="64"/>
      <c r="W111" s="63"/>
      <c r="X111" s="63"/>
      <c r="Y111" s="63"/>
      <c r="Z111" s="63"/>
      <c r="AA111" s="78"/>
      <c r="AB111" s="78"/>
      <c r="AC111" s="78"/>
      <c r="AD111" s="78"/>
      <c r="AE111" s="48"/>
      <c r="AU111" s="62"/>
      <c r="BK111" s="62"/>
      <c r="CA111" s="44">
        <v>1000</v>
      </c>
      <c r="CB111" s="44">
        <v>1000</v>
      </c>
      <c r="CC111" s="44">
        <v>0</v>
      </c>
      <c r="CD111" s="44">
        <v>0</v>
      </c>
      <c r="CE111" s="44">
        <v>0</v>
      </c>
      <c r="CF111" s="44">
        <v>0</v>
      </c>
      <c r="CG111" s="44">
        <v>0</v>
      </c>
      <c r="CH111" s="44">
        <v>0</v>
      </c>
      <c r="CI111" s="44">
        <v>1</v>
      </c>
      <c r="CK111" s="44">
        <v>0</v>
      </c>
      <c r="CL111" s="44">
        <v>0</v>
      </c>
      <c r="CM111" s="44">
        <v>0</v>
      </c>
      <c r="CN111" s="44">
        <v>0</v>
      </c>
      <c r="CO111" s="44">
        <v>0</v>
      </c>
      <c r="CP111" s="44">
        <v>0</v>
      </c>
      <c r="CQ111" s="44">
        <v>1</v>
      </c>
      <c r="CR111" s="44">
        <v>0</v>
      </c>
      <c r="CV111" s="44">
        <v>0</v>
      </c>
      <c r="CW111" s="44">
        <v>0</v>
      </c>
    </row>
    <row r="112" s="44" customFormat="1" customHeight="1" spans="1:101">
      <c r="A112" s="45">
        <v>12018</v>
      </c>
      <c r="B112" s="79" t="s">
        <v>248</v>
      </c>
      <c r="H112" s="44">
        <v>3000</v>
      </c>
      <c r="O112" s="77"/>
      <c r="P112" s="77"/>
      <c r="Q112" s="77"/>
      <c r="R112" s="77"/>
      <c r="S112" s="64"/>
      <c r="T112" s="64"/>
      <c r="U112" s="64"/>
      <c r="V112" s="64"/>
      <c r="W112" s="63"/>
      <c r="X112" s="63"/>
      <c r="Y112" s="63"/>
      <c r="Z112" s="63"/>
      <c r="AA112" s="78"/>
      <c r="AB112" s="78"/>
      <c r="AC112" s="78"/>
      <c r="AD112" s="78"/>
      <c r="AE112" s="48"/>
      <c r="AU112" s="62"/>
      <c r="BK112" s="62"/>
      <c r="CA112" s="44">
        <v>1000</v>
      </c>
      <c r="CB112" s="44">
        <v>1000</v>
      </c>
      <c r="CC112" s="44">
        <v>0</v>
      </c>
      <c r="CD112" s="44">
        <v>0</v>
      </c>
      <c r="CE112" s="44">
        <v>0</v>
      </c>
      <c r="CF112" s="44">
        <v>0</v>
      </c>
      <c r="CG112" s="44">
        <v>0</v>
      </c>
      <c r="CH112" s="44">
        <v>0</v>
      </c>
      <c r="CI112" s="44">
        <v>1</v>
      </c>
      <c r="CK112" s="44">
        <v>0</v>
      </c>
      <c r="CL112" s="44">
        <v>0</v>
      </c>
      <c r="CM112" s="44">
        <v>0</v>
      </c>
      <c r="CN112" s="44">
        <v>0</v>
      </c>
      <c r="CO112" s="44">
        <v>0</v>
      </c>
      <c r="CP112" s="44">
        <v>0</v>
      </c>
      <c r="CQ112" s="44">
        <v>1</v>
      </c>
      <c r="CR112" s="44">
        <v>0</v>
      </c>
      <c r="CV112" s="44">
        <v>0</v>
      </c>
      <c r="CW112" s="44">
        <v>0</v>
      </c>
    </row>
    <row r="113" s="44" customFormat="1" customHeight="1" spans="1:101">
      <c r="A113" s="45">
        <v>12019</v>
      </c>
      <c r="B113" s="79" t="s">
        <v>249</v>
      </c>
      <c r="O113" s="77"/>
      <c r="P113" s="77"/>
      <c r="Q113" s="77"/>
      <c r="R113" s="77"/>
      <c r="S113" s="64"/>
      <c r="T113" s="64"/>
      <c r="U113" s="64"/>
      <c r="V113" s="64"/>
      <c r="W113" s="63"/>
      <c r="X113" s="63"/>
      <c r="Y113" s="63"/>
      <c r="Z113" s="63"/>
      <c r="AA113" s="78"/>
      <c r="AB113" s="78"/>
      <c r="AC113" s="78"/>
      <c r="AD113" s="78"/>
      <c r="AE113" s="48"/>
      <c r="AU113" s="62"/>
      <c r="BK113" s="62"/>
      <c r="CA113" s="44">
        <v>1000</v>
      </c>
      <c r="CB113" s="44">
        <v>1000</v>
      </c>
      <c r="CC113" s="44">
        <v>0</v>
      </c>
      <c r="CD113" s="44">
        <v>0</v>
      </c>
      <c r="CE113" s="44">
        <v>0</v>
      </c>
      <c r="CF113" s="44">
        <v>0</v>
      </c>
      <c r="CG113" s="44">
        <v>0</v>
      </c>
      <c r="CH113" s="44">
        <v>0</v>
      </c>
      <c r="CI113" s="44">
        <v>1</v>
      </c>
      <c r="CK113" s="44">
        <v>0</v>
      </c>
      <c r="CL113" s="44">
        <v>0</v>
      </c>
      <c r="CM113" s="44">
        <v>0</v>
      </c>
      <c r="CN113" s="44">
        <v>0</v>
      </c>
      <c r="CO113" s="44">
        <v>0</v>
      </c>
      <c r="CP113" s="44">
        <v>0</v>
      </c>
      <c r="CQ113" s="44">
        <v>1</v>
      </c>
      <c r="CR113" s="44">
        <v>0</v>
      </c>
      <c r="CV113" s="44">
        <v>0</v>
      </c>
      <c r="CW113" s="44">
        <v>0</v>
      </c>
    </row>
    <row r="114" s="44" customFormat="1" customHeight="1" spans="1:101">
      <c r="A114" s="45">
        <v>12020</v>
      </c>
      <c r="B114" s="79" t="s">
        <v>250</v>
      </c>
      <c r="O114" s="77"/>
      <c r="P114" s="77"/>
      <c r="Q114" s="77"/>
      <c r="R114" s="77"/>
      <c r="S114" s="64"/>
      <c r="T114" s="64"/>
      <c r="U114" s="64"/>
      <c r="V114" s="64"/>
      <c r="W114" s="63"/>
      <c r="X114" s="63"/>
      <c r="Y114" s="63"/>
      <c r="Z114" s="63"/>
      <c r="AA114" s="78"/>
      <c r="AB114" s="78"/>
      <c r="AC114" s="78"/>
      <c r="AD114" s="78"/>
      <c r="AE114" s="48"/>
      <c r="AU114" s="62"/>
      <c r="BK114" s="62"/>
      <c r="CA114" s="44">
        <v>1000</v>
      </c>
      <c r="CB114" s="44">
        <v>1000</v>
      </c>
      <c r="CC114" s="44">
        <v>0</v>
      </c>
      <c r="CD114" s="44">
        <v>0</v>
      </c>
      <c r="CE114" s="44">
        <v>0</v>
      </c>
      <c r="CF114" s="44">
        <v>0</v>
      </c>
      <c r="CG114" s="44">
        <v>0</v>
      </c>
      <c r="CH114" s="44">
        <v>0</v>
      </c>
      <c r="CI114" s="44">
        <v>1</v>
      </c>
      <c r="CK114" s="44">
        <v>0</v>
      </c>
      <c r="CL114" s="44">
        <v>0</v>
      </c>
      <c r="CM114" s="44">
        <v>0</v>
      </c>
      <c r="CN114" s="44">
        <v>0</v>
      </c>
      <c r="CO114" s="44">
        <v>0</v>
      </c>
      <c r="CP114" s="44">
        <v>0</v>
      </c>
      <c r="CQ114" s="44">
        <v>1</v>
      </c>
      <c r="CR114" s="44">
        <v>0</v>
      </c>
      <c r="CV114" s="44">
        <v>0</v>
      </c>
      <c r="CW114" s="44">
        <v>0</v>
      </c>
    </row>
    <row r="115" s="44" customFormat="1" customHeight="1" spans="1:101">
      <c r="A115" s="45">
        <v>12021</v>
      </c>
      <c r="B115" s="79" t="s">
        <v>251</v>
      </c>
      <c r="O115" s="77"/>
      <c r="P115" s="77"/>
      <c r="Q115" s="77"/>
      <c r="R115" s="77"/>
      <c r="S115" s="64"/>
      <c r="T115" s="64"/>
      <c r="U115" s="64"/>
      <c r="V115" s="64"/>
      <c r="W115" s="63"/>
      <c r="X115" s="63"/>
      <c r="Y115" s="63"/>
      <c r="Z115" s="63"/>
      <c r="AA115" s="78"/>
      <c r="AB115" s="78"/>
      <c r="AC115" s="78"/>
      <c r="AD115" s="78"/>
      <c r="AE115" s="48"/>
      <c r="AU115" s="62"/>
      <c r="BK115" s="62"/>
      <c r="CA115" s="44">
        <v>1000</v>
      </c>
      <c r="CB115" s="44">
        <v>1000</v>
      </c>
      <c r="CC115" s="44">
        <v>0</v>
      </c>
      <c r="CD115" s="44">
        <v>0</v>
      </c>
      <c r="CE115" s="44">
        <v>0</v>
      </c>
      <c r="CF115" s="44">
        <v>0</v>
      </c>
      <c r="CG115" s="44">
        <v>0</v>
      </c>
      <c r="CH115" s="44">
        <v>0</v>
      </c>
      <c r="CI115" s="44">
        <v>1</v>
      </c>
      <c r="CK115" s="44">
        <v>0</v>
      </c>
      <c r="CL115" s="44">
        <v>0</v>
      </c>
      <c r="CM115" s="44">
        <v>0</v>
      </c>
      <c r="CN115" s="44">
        <v>0</v>
      </c>
      <c r="CO115" s="44">
        <v>0</v>
      </c>
      <c r="CP115" s="44">
        <v>0</v>
      </c>
      <c r="CQ115" s="44">
        <v>1</v>
      </c>
      <c r="CR115" s="44">
        <v>0</v>
      </c>
      <c r="CV115" s="44">
        <v>0</v>
      </c>
      <c r="CW115" s="44">
        <v>0</v>
      </c>
    </row>
    <row r="116" s="44" customFormat="1" customHeight="1" spans="1:101">
      <c r="A116" s="45">
        <v>12022</v>
      </c>
      <c r="B116" s="79" t="s">
        <v>252</v>
      </c>
      <c r="H116" s="44">
        <v>2000</v>
      </c>
      <c r="O116" s="77"/>
      <c r="P116" s="77"/>
      <c r="Q116" s="77"/>
      <c r="R116" s="77"/>
      <c r="S116" s="64"/>
      <c r="T116" s="64"/>
      <c r="U116" s="64"/>
      <c r="V116" s="64"/>
      <c r="W116" s="63"/>
      <c r="X116" s="63"/>
      <c r="Y116" s="63"/>
      <c r="Z116" s="63"/>
      <c r="AA116" s="78"/>
      <c r="AB116" s="78"/>
      <c r="AC116" s="78"/>
      <c r="AD116" s="78"/>
      <c r="AE116" s="48"/>
      <c r="AU116" s="62"/>
      <c r="BK116" s="62"/>
      <c r="CA116" s="44">
        <v>1000</v>
      </c>
      <c r="CB116" s="44">
        <v>1000</v>
      </c>
      <c r="CC116" s="44">
        <v>0</v>
      </c>
      <c r="CD116" s="44">
        <v>0</v>
      </c>
      <c r="CE116" s="44">
        <v>0</v>
      </c>
      <c r="CF116" s="44">
        <v>0</v>
      </c>
      <c r="CG116" s="44">
        <v>0</v>
      </c>
      <c r="CH116" s="44">
        <v>0</v>
      </c>
      <c r="CI116" s="44">
        <v>1</v>
      </c>
      <c r="CK116" s="44">
        <v>0</v>
      </c>
      <c r="CL116" s="44">
        <v>0</v>
      </c>
      <c r="CM116" s="44">
        <v>0</v>
      </c>
      <c r="CN116" s="44">
        <v>0</v>
      </c>
      <c r="CO116" s="44">
        <v>0</v>
      </c>
      <c r="CP116" s="44">
        <v>0</v>
      </c>
      <c r="CQ116" s="44">
        <v>1</v>
      </c>
      <c r="CR116" s="44">
        <v>0</v>
      </c>
      <c r="CV116" s="44">
        <v>0</v>
      </c>
      <c r="CW116" s="44">
        <v>0</v>
      </c>
    </row>
    <row r="117" s="44" customFormat="1" customHeight="1" spans="1:101">
      <c r="A117" s="45">
        <v>12023</v>
      </c>
      <c r="B117" s="79" t="s">
        <v>253</v>
      </c>
      <c r="O117" s="77"/>
      <c r="P117" s="77"/>
      <c r="Q117" s="77"/>
      <c r="R117" s="77"/>
      <c r="S117" s="64"/>
      <c r="T117" s="64"/>
      <c r="U117" s="64"/>
      <c r="V117" s="64"/>
      <c r="W117" s="63"/>
      <c r="X117" s="63"/>
      <c r="Y117" s="63"/>
      <c r="Z117" s="63"/>
      <c r="AA117" s="78"/>
      <c r="AB117" s="78"/>
      <c r="AC117" s="78"/>
      <c r="AD117" s="78"/>
      <c r="AE117" s="48"/>
      <c r="AU117" s="62"/>
      <c r="BK117" s="62"/>
      <c r="CA117" s="44">
        <v>1000</v>
      </c>
      <c r="CB117" s="44">
        <v>1000</v>
      </c>
      <c r="CC117" s="44">
        <v>0</v>
      </c>
      <c r="CD117" s="44">
        <v>0</v>
      </c>
      <c r="CE117" s="44">
        <v>0</v>
      </c>
      <c r="CF117" s="44">
        <v>0</v>
      </c>
      <c r="CG117" s="44">
        <v>0</v>
      </c>
      <c r="CH117" s="44">
        <v>0</v>
      </c>
      <c r="CI117" s="44">
        <v>1</v>
      </c>
      <c r="CK117" s="44">
        <v>0</v>
      </c>
      <c r="CL117" s="44">
        <v>0</v>
      </c>
      <c r="CM117" s="44">
        <v>0</v>
      </c>
      <c r="CN117" s="44">
        <v>0</v>
      </c>
      <c r="CO117" s="44">
        <v>0</v>
      </c>
      <c r="CP117" s="44">
        <v>0</v>
      </c>
      <c r="CQ117" s="44">
        <v>1</v>
      </c>
      <c r="CR117" s="44">
        <v>0</v>
      </c>
      <c r="CV117" s="44">
        <v>0</v>
      </c>
      <c r="CW117" s="44">
        <v>0</v>
      </c>
    </row>
    <row r="118" s="44" customFormat="1" customHeight="1" spans="1:101">
      <c r="A118" s="45">
        <v>12024</v>
      </c>
      <c r="B118" s="79" t="s">
        <v>254</v>
      </c>
      <c r="H118" s="44">
        <v>2000</v>
      </c>
      <c r="O118" s="77"/>
      <c r="P118" s="77"/>
      <c r="Q118" s="77"/>
      <c r="R118" s="77"/>
      <c r="S118" s="64"/>
      <c r="T118" s="64"/>
      <c r="U118" s="64"/>
      <c r="V118" s="64"/>
      <c r="W118" s="63"/>
      <c r="X118" s="63"/>
      <c r="Y118" s="63"/>
      <c r="Z118" s="63"/>
      <c r="AA118" s="78"/>
      <c r="AB118" s="78"/>
      <c r="AC118" s="78"/>
      <c r="AD118" s="78"/>
      <c r="AE118" s="48"/>
      <c r="AU118" s="62"/>
      <c r="BK118" s="62"/>
      <c r="CA118" s="44">
        <v>1000</v>
      </c>
      <c r="CB118" s="44">
        <v>1000</v>
      </c>
      <c r="CC118" s="44">
        <v>0</v>
      </c>
      <c r="CD118" s="44">
        <v>0</v>
      </c>
      <c r="CE118" s="44">
        <v>0</v>
      </c>
      <c r="CF118" s="44">
        <v>0</v>
      </c>
      <c r="CG118" s="44">
        <v>0</v>
      </c>
      <c r="CH118" s="44">
        <v>0</v>
      </c>
      <c r="CI118" s="44">
        <v>1</v>
      </c>
      <c r="CK118" s="44">
        <v>0</v>
      </c>
      <c r="CL118" s="44">
        <v>0</v>
      </c>
      <c r="CM118" s="44">
        <v>0</v>
      </c>
      <c r="CN118" s="44">
        <v>0</v>
      </c>
      <c r="CO118" s="44">
        <v>0</v>
      </c>
      <c r="CP118" s="44">
        <v>0</v>
      </c>
      <c r="CQ118" s="44">
        <v>1</v>
      </c>
      <c r="CR118" s="44">
        <v>0</v>
      </c>
      <c r="CV118" s="44">
        <v>0</v>
      </c>
      <c r="CW118" s="44">
        <v>0</v>
      </c>
    </row>
    <row r="119" s="44" customFormat="1" customHeight="1" spans="1:101">
      <c r="A119" s="45">
        <v>12025</v>
      </c>
      <c r="B119" s="79" t="s">
        <v>255</v>
      </c>
      <c r="H119" s="44">
        <v>8000</v>
      </c>
      <c r="O119" s="77"/>
      <c r="P119" s="77"/>
      <c r="Q119" s="77"/>
      <c r="R119" s="77"/>
      <c r="S119" s="64"/>
      <c r="T119" s="64"/>
      <c r="U119" s="64"/>
      <c r="V119" s="64"/>
      <c r="W119" s="63"/>
      <c r="X119" s="63"/>
      <c r="Y119" s="63"/>
      <c r="Z119" s="63"/>
      <c r="AA119" s="78"/>
      <c r="AB119" s="78"/>
      <c r="AC119" s="78"/>
      <c r="AD119" s="78"/>
      <c r="AE119" s="48"/>
      <c r="AU119" s="62"/>
      <c r="BK119" s="62"/>
      <c r="CA119" s="44">
        <v>1000</v>
      </c>
      <c r="CB119" s="44">
        <v>1000</v>
      </c>
      <c r="CC119" s="44">
        <v>0</v>
      </c>
      <c r="CD119" s="44">
        <v>0</v>
      </c>
      <c r="CE119" s="44">
        <v>0</v>
      </c>
      <c r="CF119" s="44">
        <v>0</v>
      </c>
      <c r="CG119" s="44">
        <v>0</v>
      </c>
      <c r="CH119" s="44">
        <v>0</v>
      </c>
      <c r="CI119" s="44">
        <v>1</v>
      </c>
      <c r="CK119" s="44">
        <v>0</v>
      </c>
      <c r="CL119" s="44">
        <v>0</v>
      </c>
      <c r="CM119" s="44">
        <v>0</v>
      </c>
      <c r="CN119" s="44">
        <v>0</v>
      </c>
      <c r="CO119" s="44">
        <v>0</v>
      </c>
      <c r="CP119" s="44">
        <v>0</v>
      </c>
      <c r="CQ119" s="44">
        <v>1</v>
      </c>
      <c r="CR119" s="44">
        <v>0</v>
      </c>
      <c r="CV119" s="44">
        <v>0</v>
      </c>
      <c r="CW119" s="44">
        <v>0</v>
      </c>
    </row>
    <row r="120" s="44" customFormat="1" customHeight="1" spans="1:101">
      <c r="A120" s="45">
        <v>12026</v>
      </c>
      <c r="B120" s="79" t="s">
        <v>256</v>
      </c>
      <c r="O120" s="77"/>
      <c r="P120" s="77"/>
      <c r="Q120" s="77"/>
      <c r="R120" s="77"/>
      <c r="S120" s="64"/>
      <c r="T120" s="64"/>
      <c r="U120" s="64"/>
      <c r="V120" s="64"/>
      <c r="W120" s="63"/>
      <c r="X120" s="63"/>
      <c r="Y120" s="63"/>
      <c r="Z120" s="63"/>
      <c r="AA120" s="78"/>
      <c r="AB120" s="78"/>
      <c r="AC120" s="78"/>
      <c r="AD120" s="78"/>
      <c r="AE120" s="48"/>
      <c r="AU120" s="62"/>
      <c r="BK120" s="62"/>
      <c r="CA120" s="44">
        <v>1000</v>
      </c>
      <c r="CB120" s="44">
        <v>1000</v>
      </c>
      <c r="CC120" s="44">
        <v>0</v>
      </c>
      <c r="CD120" s="44">
        <v>0</v>
      </c>
      <c r="CE120" s="44">
        <v>0</v>
      </c>
      <c r="CF120" s="44">
        <v>0</v>
      </c>
      <c r="CG120" s="44">
        <v>0</v>
      </c>
      <c r="CH120" s="44">
        <v>0</v>
      </c>
      <c r="CI120" s="44">
        <v>1</v>
      </c>
      <c r="CK120" s="44">
        <v>0</v>
      </c>
      <c r="CL120" s="44">
        <v>0</v>
      </c>
      <c r="CM120" s="44">
        <v>0</v>
      </c>
      <c r="CN120" s="44">
        <v>0</v>
      </c>
      <c r="CO120" s="44">
        <v>0</v>
      </c>
      <c r="CP120" s="44">
        <v>0</v>
      </c>
      <c r="CQ120" s="44">
        <v>1</v>
      </c>
      <c r="CR120" s="44">
        <v>0</v>
      </c>
      <c r="CV120" s="44">
        <v>0</v>
      </c>
      <c r="CW120" s="44">
        <v>0</v>
      </c>
    </row>
    <row r="121" s="44" customFormat="1" customHeight="1" spans="1:101">
      <c r="A121" s="45">
        <v>12027</v>
      </c>
      <c r="B121" s="44" t="s">
        <v>257</v>
      </c>
      <c r="O121" s="77"/>
      <c r="P121" s="77"/>
      <c r="Q121" s="77"/>
      <c r="R121" s="77"/>
      <c r="S121" s="64"/>
      <c r="T121" s="64"/>
      <c r="U121" s="64"/>
      <c r="V121" s="64"/>
      <c r="W121" s="63"/>
      <c r="X121" s="63"/>
      <c r="Y121" s="63"/>
      <c r="Z121" s="63"/>
      <c r="AA121" s="78"/>
      <c r="AB121" s="78"/>
      <c r="AC121" s="78"/>
      <c r="AD121" s="78"/>
      <c r="AE121" s="48"/>
      <c r="AU121" s="62"/>
      <c r="BK121" s="62"/>
      <c r="CA121" s="44">
        <v>1000</v>
      </c>
      <c r="CB121" s="44">
        <v>1000</v>
      </c>
      <c r="CC121" s="44">
        <v>0</v>
      </c>
      <c r="CD121" s="44">
        <v>0</v>
      </c>
      <c r="CE121" s="44">
        <v>0</v>
      </c>
      <c r="CF121" s="44">
        <v>0</v>
      </c>
      <c r="CG121" s="44">
        <v>0</v>
      </c>
      <c r="CH121" s="44">
        <v>0</v>
      </c>
      <c r="CI121" s="44">
        <v>1</v>
      </c>
      <c r="CK121" s="44">
        <v>0</v>
      </c>
      <c r="CL121" s="44">
        <v>0</v>
      </c>
      <c r="CM121" s="44">
        <v>0</v>
      </c>
      <c r="CN121" s="44">
        <v>0</v>
      </c>
      <c r="CO121" s="44">
        <v>0</v>
      </c>
      <c r="CP121" s="44">
        <v>0</v>
      </c>
      <c r="CQ121" s="44">
        <v>1</v>
      </c>
      <c r="CR121" s="44">
        <v>0</v>
      </c>
      <c r="CV121" s="44">
        <v>0</v>
      </c>
      <c r="CW121" s="44">
        <v>0</v>
      </c>
    </row>
    <row r="122" s="44" customFormat="1" customHeight="1" spans="1:101">
      <c r="A122" s="45">
        <v>12028</v>
      </c>
      <c r="B122" s="79" t="s">
        <v>258</v>
      </c>
      <c r="O122" s="77"/>
      <c r="P122" s="77"/>
      <c r="Q122" s="77"/>
      <c r="R122" s="77"/>
      <c r="S122" s="64"/>
      <c r="T122" s="64"/>
      <c r="U122" s="64"/>
      <c r="V122" s="64"/>
      <c r="W122" s="63"/>
      <c r="X122" s="63"/>
      <c r="Y122" s="63"/>
      <c r="Z122" s="63"/>
      <c r="AA122" s="78"/>
      <c r="AB122" s="78"/>
      <c r="AC122" s="78"/>
      <c r="AD122" s="78"/>
      <c r="AE122" s="48"/>
      <c r="AU122" s="62"/>
      <c r="BK122" s="62"/>
      <c r="CA122" s="44">
        <v>1000</v>
      </c>
      <c r="CB122" s="44">
        <v>1000</v>
      </c>
      <c r="CC122" s="44">
        <v>0</v>
      </c>
      <c r="CD122" s="44">
        <v>0</v>
      </c>
      <c r="CE122" s="44">
        <v>0</v>
      </c>
      <c r="CF122" s="44">
        <v>0</v>
      </c>
      <c r="CG122" s="44">
        <v>0</v>
      </c>
      <c r="CH122" s="44">
        <v>0</v>
      </c>
      <c r="CI122" s="44">
        <v>1</v>
      </c>
      <c r="CK122" s="44">
        <v>0</v>
      </c>
      <c r="CL122" s="44">
        <v>0</v>
      </c>
      <c r="CM122" s="44">
        <v>0</v>
      </c>
      <c r="CN122" s="44">
        <v>0</v>
      </c>
      <c r="CO122" s="44">
        <v>0</v>
      </c>
      <c r="CP122" s="44">
        <v>0</v>
      </c>
      <c r="CQ122" s="44">
        <v>1</v>
      </c>
      <c r="CR122" s="44">
        <v>0</v>
      </c>
      <c r="CV122" s="44">
        <v>0</v>
      </c>
      <c r="CW122" s="44">
        <v>0</v>
      </c>
    </row>
    <row r="123" s="44" customFormat="1" customHeight="1" spans="1:101">
      <c r="A123" s="45">
        <v>12029</v>
      </c>
      <c r="B123" s="44" t="s">
        <v>259</v>
      </c>
      <c r="O123" s="77"/>
      <c r="P123" s="77"/>
      <c r="Q123" s="77"/>
      <c r="R123" s="77"/>
      <c r="S123" s="64"/>
      <c r="T123" s="64"/>
      <c r="U123" s="64"/>
      <c r="V123" s="64"/>
      <c r="W123" s="63"/>
      <c r="X123" s="63"/>
      <c r="Y123" s="63"/>
      <c r="Z123" s="63"/>
      <c r="AA123" s="78"/>
      <c r="AB123" s="78"/>
      <c r="AC123" s="78"/>
      <c r="AD123" s="78"/>
      <c r="AE123" s="48"/>
      <c r="AU123" s="62"/>
      <c r="BK123" s="62"/>
      <c r="CA123" s="44">
        <v>1000</v>
      </c>
      <c r="CB123" s="44">
        <v>1000</v>
      </c>
      <c r="CC123" s="44">
        <v>0</v>
      </c>
      <c r="CD123" s="44">
        <v>0</v>
      </c>
      <c r="CE123" s="44">
        <v>0</v>
      </c>
      <c r="CF123" s="44">
        <v>0</v>
      </c>
      <c r="CG123" s="44">
        <v>0</v>
      </c>
      <c r="CH123" s="44">
        <v>0</v>
      </c>
      <c r="CI123" s="44">
        <v>1</v>
      </c>
      <c r="CK123" s="44">
        <v>0</v>
      </c>
      <c r="CL123" s="44">
        <v>0</v>
      </c>
      <c r="CM123" s="44">
        <v>0</v>
      </c>
      <c r="CN123" s="44">
        <v>0</v>
      </c>
      <c r="CO123" s="44">
        <v>0</v>
      </c>
      <c r="CP123" s="44">
        <v>0</v>
      </c>
      <c r="CQ123" s="44">
        <v>1</v>
      </c>
      <c r="CR123" s="44">
        <v>0</v>
      </c>
      <c r="CV123" s="44">
        <v>0</v>
      </c>
      <c r="CW123" s="44">
        <v>0</v>
      </c>
    </row>
    <row r="124" s="44" customFormat="1" customHeight="1" spans="1:101">
      <c r="A124" s="45">
        <v>12030</v>
      </c>
      <c r="B124" s="79" t="s">
        <v>260</v>
      </c>
      <c r="O124" s="77"/>
      <c r="P124" s="77"/>
      <c r="Q124" s="77"/>
      <c r="R124" s="77"/>
      <c r="S124" s="64"/>
      <c r="T124" s="64"/>
      <c r="U124" s="64"/>
      <c r="V124" s="64"/>
      <c r="W124" s="63"/>
      <c r="X124" s="63"/>
      <c r="Y124" s="63"/>
      <c r="Z124" s="63"/>
      <c r="AA124" s="78"/>
      <c r="AB124" s="78"/>
      <c r="AC124" s="78"/>
      <c r="AD124" s="78"/>
      <c r="AE124" s="48"/>
      <c r="AU124" s="62"/>
      <c r="BK124" s="62"/>
      <c r="CA124" s="44">
        <v>1000</v>
      </c>
      <c r="CB124" s="44">
        <v>1000</v>
      </c>
      <c r="CC124" s="44">
        <v>0</v>
      </c>
      <c r="CD124" s="44">
        <v>0</v>
      </c>
      <c r="CE124" s="44">
        <v>0</v>
      </c>
      <c r="CF124" s="44">
        <v>0</v>
      </c>
      <c r="CG124" s="44">
        <v>0</v>
      </c>
      <c r="CH124" s="44">
        <v>0</v>
      </c>
      <c r="CI124" s="44">
        <v>1</v>
      </c>
      <c r="CK124" s="44">
        <v>0</v>
      </c>
      <c r="CL124" s="44">
        <v>0</v>
      </c>
      <c r="CM124" s="44">
        <v>0</v>
      </c>
      <c r="CN124" s="44">
        <v>0</v>
      </c>
      <c r="CO124" s="44">
        <v>0</v>
      </c>
      <c r="CP124" s="44">
        <v>0</v>
      </c>
      <c r="CQ124" s="44">
        <v>1</v>
      </c>
      <c r="CR124" s="44">
        <v>0</v>
      </c>
      <c r="CV124" s="44">
        <v>0</v>
      </c>
      <c r="CW124" s="44">
        <v>0</v>
      </c>
    </row>
    <row r="125" s="44" customFormat="1" customHeight="1" spans="1:101">
      <c r="A125" s="45">
        <v>12031</v>
      </c>
      <c r="B125" s="79" t="s">
        <v>261</v>
      </c>
      <c r="O125" s="77"/>
      <c r="P125" s="77"/>
      <c r="Q125" s="77"/>
      <c r="R125" s="77"/>
      <c r="S125" s="64"/>
      <c r="T125" s="64"/>
      <c r="U125" s="64"/>
      <c r="V125" s="64"/>
      <c r="W125" s="63"/>
      <c r="X125" s="63"/>
      <c r="Y125" s="63"/>
      <c r="Z125" s="63"/>
      <c r="AA125" s="78"/>
      <c r="AB125" s="78"/>
      <c r="AC125" s="78"/>
      <c r="AD125" s="78"/>
      <c r="AE125" s="48"/>
      <c r="AU125" s="62"/>
      <c r="BK125" s="62"/>
      <c r="CA125" s="44">
        <v>1000</v>
      </c>
      <c r="CB125" s="44">
        <v>1000</v>
      </c>
      <c r="CC125" s="44">
        <v>0</v>
      </c>
      <c r="CD125" s="44">
        <v>0</v>
      </c>
      <c r="CE125" s="44">
        <v>0</v>
      </c>
      <c r="CF125" s="44">
        <v>0</v>
      </c>
      <c r="CG125" s="44">
        <v>0</v>
      </c>
      <c r="CH125" s="44">
        <v>0</v>
      </c>
      <c r="CI125" s="44">
        <v>1</v>
      </c>
      <c r="CK125" s="44">
        <v>0</v>
      </c>
      <c r="CL125" s="44">
        <v>0</v>
      </c>
      <c r="CM125" s="44">
        <v>0</v>
      </c>
      <c r="CN125" s="44">
        <v>0</v>
      </c>
      <c r="CO125" s="44">
        <v>0</v>
      </c>
      <c r="CP125" s="44">
        <v>0</v>
      </c>
      <c r="CQ125" s="44">
        <v>1</v>
      </c>
      <c r="CR125" s="44">
        <v>0</v>
      </c>
      <c r="CV125" s="44">
        <v>0</v>
      </c>
      <c r="CW125" s="44">
        <v>0</v>
      </c>
    </row>
    <row r="126" s="44" customFormat="1" customHeight="1" spans="1:101">
      <c r="A126" s="45">
        <v>12032</v>
      </c>
      <c r="B126" s="79" t="s">
        <v>262</v>
      </c>
      <c r="O126" s="77"/>
      <c r="P126" s="77"/>
      <c r="Q126" s="77"/>
      <c r="R126" s="77"/>
      <c r="S126" s="64"/>
      <c r="T126" s="64"/>
      <c r="U126" s="64"/>
      <c r="V126" s="64"/>
      <c r="W126" s="63"/>
      <c r="X126" s="63"/>
      <c r="Y126" s="63"/>
      <c r="Z126" s="63"/>
      <c r="AA126" s="78"/>
      <c r="AB126" s="78"/>
      <c r="AC126" s="78"/>
      <c r="AD126" s="78"/>
      <c r="AE126" s="48"/>
      <c r="AU126" s="62"/>
      <c r="BK126" s="62"/>
      <c r="CA126" s="44">
        <v>1000</v>
      </c>
      <c r="CB126" s="44">
        <v>1000</v>
      </c>
      <c r="CC126" s="44">
        <v>0</v>
      </c>
      <c r="CD126" s="44">
        <v>0</v>
      </c>
      <c r="CE126" s="44">
        <v>0</v>
      </c>
      <c r="CF126" s="44">
        <v>0</v>
      </c>
      <c r="CG126" s="44">
        <v>0</v>
      </c>
      <c r="CH126" s="44">
        <v>0</v>
      </c>
      <c r="CI126" s="44">
        <v>1</v>
      </c>
      <c r="CK126" s="44">
        <v>0</v>
      </c>
      <c r="CL126" s="44">
        <v>0</v>
      </c>
      <c r="CM126" s="44">
        <v>0</v>
      </c>
      <c r="CN126" s="44">
        <v>0</v>
      </c>
      <c r="CO126" s="44">
        <v>0</v>
      </c>
      <c r="CP126" s="44">
        <v>0</v>
      </c>
      <c r="CQ126" s="44">
        <v>1</v>
      </c>
      <c r="CR126" s="44">
        <v>0</v>
      </c>
      <c r="CV126" s="44">
        <v>0</v>
      </c>
      <c r="CW126" s="44">
        <v>0</v>
      </c>
    </row>
    <row r="127" s="44" customFormat="1" customHeight="1" spans="1:101">
      <c r="A127" s="45">
        <v>12033</v>
      </c>
      <c r="B127" s="79" t="s">
        <v>263</v>
      </c>
      <c r="O127" s="77"/>
      <c r="P127" s="77"/>
      <c r="Q127" s="77"/>
      <c r="R127" s="77"/>
      <c r="S127" s="64"/>
      <c r="T127" s="64"/>
      <c r="U127" s="64"/>
      <c r="V127" s="64"/>
      <c r="W127" s="63"/>
      <c r="X127" s="63"/>
      <c r="Y127" s="63"/>
      <c r="Z127" s="63"/>
      <c r="AA127" s="78"/>
      <c r="AB127" s="78"/>
      <c r="AC127" s="78"/>
      <c r="AD127" s="78"/>
      <c r="AE127" s="48"/>
      <c r="AU127" s="62"/>
      <c r="BK127" s="62"/>
      <c r="CA127" s="44">
        <v>1000</v>
      </c>
      <c r="CB127" s="44">
        <v>1000</v>
      </c>
      <c r="CC127" s="44">
        <v>0</v>
      </c>
      <c r="CD127" s="44">
        <v>0</v>
      </c>
      <c r="CE127" s="44">
        <v>0</v>
      </c>
      <c r="CF127" s="44">
        <v>0</v>
      </c>
      <c r="CG127" s="44">
        <v>0</v>
      </c>
      <c r="CH127" s="44">
        <v>0</v>
      </c>
      <c r="CI127" s="44">
        <v>1</v>
      </c>
      <c r="CK127" s="44">
        <v>0</v>
      </c>
      <c r="CL127" s="44">
        <v>0</v>
      </c>
      <c r="CM127" s="44">
        <v>0</v>
      </c>
      <c r="CN127" s="44">
        <v>0</v>
      </c>
      <c r="CO127" s="44">
        <v>0</v>
      </c>
      <c r="CP127" s="44">
        <v>0</v>
      </c>
      <c r="CQ127" s="44">
        <v>1</v>
      </c>
      <c r="CR127" s="44">
        <v>0</v>
      </c>
      <c r="CV127" s="44">
        <v>0</v>
      </c>
      <c r="CW127" s="44">
        <v>0</v>
      </c>
    </row>
    <row r="128" s="44" customFormat="1" customHeight="1" spans="1:101">
      <c r="A128" s="45">
        <v>12034</v>
      </c>
      <c r="B128" s="79" t="s">
        <v>264</v>
      </c>
      <c r="O128" s="77"/>
      <c r="P128" s="77"/>
      <c r="Q128" s="77"/>
      <c r="R128" s="77"/>
      <c r="S128" s="64"/>
      <c r="T128" s="64"/>
      <c r="U128" s="64"/>
      <c r="V128" s="64"/>
      <c r="W128" s="63"/>
      <c r="X128" s="63"/>
      <c r="Y128" s="63"/>
      <c r="Z128" s="63"/>
      <c r="AA128" s="78"/>
      <c r="AB128" s="78"/>
      <c r="AC128" s="78"/>
      <c r="AD128" s="78"/>
      <c r="AE128" s="48"/>
      <c r="AU128" s="62"/>
      <c r="BK128" s="62"/>
      <c r="CA128" s="44">
        <v>1000</v>
      </c>
      <c r="CB128" s="44">
        <v>1000</v>
      </c>
      <c r="CC128" s="44">
        <v>0</v>
      </c>
      <c r="CD128" s="44">
        <v>0</v>
      </c>
      <c r="CE128" s="44">
        <v>0</v>
      </c>
      <c r="CF128" s="44">
        <v>0</v>
      </c>
      <c r="CG128" s="44">
        <v>0</v>
      </c>
      <c r="CH128" s="44">
        <v>0</v>
      </c>
      <c r="CI128" s="44">
        <v>1</v>
      </c>
      <c r="CK128" s="44">
        <v>0</v>
      </c>
      <c r="CL128" s="44">
        <v>0</v>
      </c>
      <c r="CM128" s="44">
        <v>0</v>
      </c>
      <c r="CN128" s="44">
        <v>0</v>
      </c>
      <c r="CO128" s="44">
        <v>0</v>
      </c>
      <c r="CP128" s="44">
        <v>0</v>
      </c>
      <c r="CQ128" s="44">
        <v>1</v>
      </c>
      <c r="CR128" s="44">
        <v>0</v>
      </c>
      <c r="CV128" s="44">
        <v>0</v>
      </c>
      <c r="CW128" s="44">
        <v>0</v>
      </c>
    </row>
    <row r="129" s="44" customFormat="1" customHeight="1" spans="1:101">
      <c r="A129" s="45">
        <v>12035</v>
      </c>
      <c r="B129" s="79" t="s">
        <v>265</v>
      </c>
      <c r="O129" s="77"/>
      <c r="P129" s="77"/>
      <c r="Q129" s="77"/>
      <c r="R129" s="77"/>
      <c r="S129" s="64"/>
      <c r="T129" s="64"/>
      <c r="U129" s="64"/>
      <c r="V129" s="64"/>
      <c r="W129" s="63"/>
      <c r="X129" s="63"/>
      <c r="Y129" s="63"/>
      <c r="Z129" s="63"/>
      <c r="AA129" s="78"/>
      <c r="AB129" s="78"/>
      <c r="AC129" s="78"/>
      <c r="AD129" s="78"/>
      <c r="AE129" s="48"/>
      <c r="AU129" s="62"/>
      <c r="BK129" s="62"/>
      <c r="CA129" s="44">
        <v>1000</v>
      </c>
      <c r="CB129" s="44">
        <v>1000</v>
      </c>
      <c r="CC129" s="44">
        <v>0</v>
      </c>
      <c r="CD129" s="44">
        <v>0</v>
      </c>
      <c r="CE129" s="44">
        <v>0</v>
      </c>
      <c r="CF129" s="44">
        <v>0</v>
      </c>
      <c r="CG129" s="44">
        <v>0</v>
      </c>
      <c r="CH129" s="44">
        <v>0</v>
      </c>
      <c r="CI129" s="44">
        <v>1</v>
      </c>
      <c r="CK129" s="44">
        <v>0</v>
      </c>
      <c r="CL129" s="44">
        <v>0</v>
      </c>
      <c r="CM129" s="44">
        <v>0</v>
      </c>
      <c r="CN129" s="44">
        <v>0</v>
      </c>
      <c r="CO129" s="44">
        <v>0</v>
      </c>
      <c r="CP129" s="44">
        <v>0</v>
      </c>
      <c r="CQ129" s="44">
        <v>1</v>
      </c>
      <c r="CR129" s="44">
        <v>0</v>
      </c>
      <c r="CV129" s="44">
        <v>0</v>
      </c>
      <c r="CW129" s="44">
        <v>0</v>
      </c>
    </row>
    <row r="130" s="44" customFormat="1" customHeight="1" spans="1:101">
      <c r="A130" s="45">
        <v>12036</v>
      </c>
      <c r="B130" s="79" t="s">
        <v>266</v>
      </c>
      <c r="O130" s="77"/>
      <c r="P130" s="77"/>
      <c r="Q130" s="77"/>
      <c r="R130" s="77"/>
      <c r="S130" s="64"/>
      <c r="T130" s="64"/>
      <c r="U130" s="64"/>
      <c r="V130" s="64"/>
      <c r="W130" s="63"/>
      <c r="X130" s="63"/>
      <c r="Y130" s="63"/>
      <c r="Z130" s="63"/>
      <c r="AA130" s="78"/>
      <c r="AB130" s="78"/>
      <c r="AC130" s="78"/>
      <c r="AD130" s="78"/>
      <c r="AE130" s="48"/>
      <c r="AU130" s="62"/>
      <c r="BK130" s="62"/>
      <c r="CA130" s="44">
        <v>1000</v>
      </c>
      <c r="CB130" s="44">
        <v>1000</v>
      </c>
      <c r="CC130" s="44">
        <v>0</v>
      </c>
      <c r="CD130" s="44">
        <v>0</v>
      </c>
      <c r="CE130" s="44">
        <v>0</v>
      </c>
      <c r="CF130" s="44">
        <v>0</v>
      </c>
      <c r="CG130" s="44">
        <v>0</v>
      </c>
      <c r="CH130" s="44">
        <v>0</v>
      </c>
      <c r="CI130" s="44">
        <v>1</v>
      </c>
      <c r="CK130" s="44">
        <v>0</v>
      </c>
      <c r="CL130" s="44">
        <v>0</v>
      </c>
      <c r="CM130" s="44">
        <v>0</v>
      </c>
      <c r="CN130" s="44">
        <v>0</v>
      </c>
      <c r="CO130" s="44">
        <v>0</v>
      </c>
      <c r="CP130" s="44">
        <v>0</v>
      </c>
      <c r="CQ130" s="44">
        <v>1</v>
      </c>
      <c r="CR130" s="44">
        <v>0</v>
      </c>
      <c r="CV130" s="44">
        <v>0</v>
      </c>
      <c r="CW130" s="44">
        <v>0</v>
      </c>
    </row>
    <row r="131" s="44" customFormat="1" customHeight="1" spans="1:101">
      <c r="A131" s="45">
        <v>12037</v>
      </c>
      <c r="B131" s="79" t="s">
        <v>267</v>
      </c>
      <c r="O131" s="77"/>
      <c r="P131" s="77"/>
      <c r="Q131" s="77"/>
      <c r="R131" s="77"/>
      <c r="S131" s="64"/>
      <c r="T131" s="64"/>
      <c r="U131" s="64"/>
      <c r="V131" s="64"/>
      <c r="W131" s="63"/>
      <c r="X131" s="63"/>
      <c r="Y131" s="63"/>
      <c r="Z131" s="63"/>
      <c r="AA131" s="78"/>
      <c r="AB131" s="78"/>
      <c r="AC131" s="78"/>
      <c r="AD131" s="78"/>
      <c r="AE131" s="48"/>
      <c r="AU131" s="62"/>
      <c r="BK131" s="62"/>
      <c r="CA131" s="44">
        <v>1000</v>
      </c>
      <c r="CB131" s="44">
        <v>1000</v>
      </c>
      <c r="CC131" s="44">
        <v>0</v>
      </c>
      <c r="CD131" s="44">
        <v>0</v>
      </c>
      <c r="CE131" s="44">
        <v>0</v>
      </c>
      <c r="CF131" s="44">
        <v>0</v>
      </c>
      <c r="CG131" s="44">
        <v>0</v>
      </c>
      <c r="CH131" s="44">
        <v>0</v>
      </c>
      <c r="CI131" s="44">
        <v>1</v>
      </c>
      <c r="CK131" s="44">
        <v>0</v>
      </c>
      <c r="CL131" s="44">
        <v>0</v>
      </c>
      <c r="CM131" s="44">
        <v>0</v>
      </c>
      <c r="CN131" s="44">
        <v>0</v>
      </c>
      <c r="CO131" s="44">
        <v>0</v>
      </c>
      <c r="CP131" s="44">
        <v>0</v>
      </c>
      <c r="CQ131" s="44">
        <v>1</v>
      </c>
      <c r="CR131" s="44">
        <v>0</v>
      </c>
      <c r="CV131" s="44">
        <v>0</v>
      </c>
      <c r="CW131" s="44">
        <v>0</v>
      </c>
    </row>
    <row r="132" s="44" customFormat="1" customHeight="1" spans="1:101">
      <c r="A132" s="45">
        <v>12038</v>
      </c>
      <c r="B132" s="79" t="s">
        <v>268</v>
      </c>
      <c r="K132" s="44">
        <v>100</v>
      </c>
      <c r="O132" s="77"/>
      <c r="P132" s="77"/>
      <c r="Q132" s="77"/>
      <c r="R132" s="77"/>
      <c r="S132" s="64"/>
      <c r="T132" s="64"/>
      <c r="U132" s="64"/>
      <c r="V132" s="64"/>
      <c r="W132" s="63"/>
      <c r="X132" s="63"/>
      <c r="Y132" s="63"/>
      <c r="Z132" s="63"/>
      <c r="AA132" s="78"/>
      <c r="AB132" s="78"/>
      <c r="AC132" s="78"/>
      <c r="AD132" s="78"/>
      <c r="AE132" s="48"/>
      <c r="AU132" s="62"/>
      <c r="BK132" s="62"/>
      <c r="CA132" s="44">
        <v>1000</v>
      </c>
      <c r="CB132" s="44">
        <v>1000</v>
      </c>
      <c r="CC132" s="44">
        <v>0</v>
      </c>
      <c r="CD132" s="44">
        <v>0</v>
      </c>
      <c r="CE132" s="44">
        <v>0</v>
      </c>
      <c r="CF132" s="44">
        <v>0</v>
      </c>
      <c r="CG132" s="44">
        <v>0</v>
      </c>
      <c r="CH132" s="44">
        <v>0</v>
      </c>
      <c r="CI132" s="44">
        <v>1</v>
      </c>
      <c r="CK132" s="44">
        <v>0</v>
      </c>
      <c r="CL132" s="44">
        <v>0</v>
      </c>
      <c r="CM132" s="44">
        <v>0</v>
      </c>
      <c r="CN132" s="44">
        <v>0</v>
      </c>
      <c r="CO132" s="44">
        <v>0</v>
      </c>
      <c r="CP132" s="44">
        <v>0</v>
      </c>
      <c r="CQ132" s="44">
        <v>1</v>
      </c>
      <c r="CR132" s="44">
        <v>0</v>
      </c>
      <c r="CV132" s="44">
        <v>0</v>
      </c>
      <c r="CW132" s="44">
        <v>0</v>
      </c>
    </row>
    <row r="133" s="44" customFormat="1" customHeight="1" spans="1:101">
      <c r="A133" s="45">
        <v>12040</v>
      </c>
      <c r="B133" s="79" t="s">
        <v>269</v>
      </c>
      <c r="O133" s="77"/>
      <c r="P133" s="77"/>
      <c r="Q133" s="77"/>
      <c r="R133" s="77"/>
      <c r="S133" s="64"/>
      <c r="T133" s="64"/>
      <c r="U133" s="64"/>
      <c r="V133" s="64"/>
      <c r="W133" s="63"/>
      <c r="X133" s="63"/>
      <c r="Y133" s="63"/>
      <c r="Z133" s="63"/>
      <c r="AA133" s="78"/>
      <c r="AB133" s="78"/>
      <c r="AC133" s="78"/>
      <c r="AD133" s="78"/>
      <c r="AE133" s="48"/>
      <c r="AU133" s="62"/>
      <c r="BK133" s="62"/>
      <c r="CA133" s="44">
        <v>1000</v>
      </c>
      <c r="CB133" s="44">
        <v>1000</v>
      </c>
      <c r="CC133" s="44">
        <v>0</v>
      </c>
      <c r="CD133" s="44">
        <v>0</v>
      </c>
      <c r="CE133" s="44">
        <v>0</v>
      </c>
      <c r="CF133" s="44">
        <v>0</v>
      </c>
      <c r="CG133" s="44">
        <v>0</v>
      </c>
      <c r="CH133" s="44">
        <v>0</v>
      </c>
      <c r="CI133" s="44">
        <v>1</v>
      </c>
      <c r="CK133" s="44">
        <v>0</v>
      </c>
      <c r="CL133" s="44">
        <v>0</v>
      </c>
      <c r="CM133" s="44">
        <v>0</v>
      </c>
      <c r="CN133" s="44">
        <v>0</v>
      </c>
      <c r="CO133" s="44">
        <v>0</v>
      </c>
      <c r="CP133" s="44">
        <v>0</v>
      </c>
      <c r="CQ133" s="44">
        <v>1</v>
      </c>
      <c r="CR133" s="44">
        <v>0</v>
      </c>
      <c r="CV133" s="44">
        <v>0</v>
      </c>
      <c r="CW133" s="44">
        <v>0</v>
      </c>
    </row>
    <row r="134" s="44" customFormat="1" customHeight="1" spans="1:101">
      <c r="A134" s="45">
        <v>12041</v>
      </c>
      <c r="B134" s="79" t="s">
        <v>270</v>
      </c>
      <c r="H134" s="44">
        <v>4500</v>
      </c>
      <c r="O134" s="77"/>
      <c r="P134" s="77"/>
      <c r="Q134" s="77"/>
      <c r="R134" s="77"/>
      <c r="S134" s="64"/>
      <c r="T134" s="64"/>
      <c r="U134" s="64"/>
      <c r="V134" s="64"/>
      <c r="W134" s="63"/>
      <c r="X134" s="63"/>
      <c r="Y134" s="63"/>
      <c r="Z134" s="63"/>
      <c r="AA134" s="78"/>
      <c r="AB134" s="78"/>
      <c r="AC134" s="78"/>
      <c r="AD134" s="78"/>
      <c r="AE134" s="48"/>
      <c r="AU134" s="62"/>
      <c r="BK134" s="62"/>
      <c r="CA134" s="44">
        <v>1000</v>
      </c>
      <c r="CB134" s="44">
        <v>1000</v>
      </c>
      <c r="CC134" s="44">
        <v>0</v>
      </c>
      <c r="CD134" s="44">
        <v>0</v>
      </c>
      <c r="CE134" s="44">
        <v>0</v>
      </c>
      <c r="CF134" s="44">
        <v>0</v>
      </c>
      <c r="CG134" s="44">
        <v>0</v>
      </c>
      <c r="CH134" s="44">
        <v>0</v>
      </c>
      <c r="CI134" s="44">
        <v>1</v>
      </c>
      <c r="CK134" s="44">
        <v>0</v>
      </c>
      <c r="CL134" s="44">
        <v>0</v>
      </c>
      <c r="CM134" s="44">
        <v>0</v>
      </c>
      <c r="CN134" s="44">
        <v>0</v>
      </c>
      <c r="CO134" s="44">
        <v>0</v>
      </c>
      <c r="CP134" s="44">
        <v>0</v>
      </c>
      <c r="CQ134" s="44">
        <v>1</v>
      </c>
      <c r="CR134" s="44">
        <v>0</v>
      </c>
      <c r="CV134" s="44">
        <v>0</v>
      </c>
      <c r="CW134" s="44">
        <v>0</v>
      </c>
    </row>
    <row r="135" s="44" customFormat="1" customHeight="1" spans="1:101">
      <c r="A135" s="45">
        <v>12042</v>
      </c>
      <c r="B135" s="79" t="s">
        <v>271</v>
      </c>
      <c r="O135" s="77"/>
      <c r="P135" s="77"/>
      <c r="Q135" s="77"/>
      <c r="R135" s="77"/>
      <c r="S135" s="64"/>
      <c r="T135" s="64"/>
      <c r="U135" s="64"/>
      <c r="V135" s="64"/>
      <c r="W135" s="63"/>
      <c r="X135" s="63"/>
      <c r="Y135" s="63"/>
      <c r="Z135" s="63"/>
      <c r="AA135" s="78"/>
      <c r="AB135" s="78"/>
      <c r="AC135" s="78"/>
      <c r="AD135" s="78"/>
      <c r="AE135" s="48"/>
      <c r="AU135" s="62"/>
      <c r="BK135" s="62"/>
      <c r="CA135" s="44">
        <v>1000</v>
      </c>
      <c r="CB135" s="44">
        <v>1000</v>
      </c>
      <c r="CC135" s="44">
        <v>0</v>
      </c>
      <c r="CD135" s="44">
        <v>0</v>
      </c>
      <c r="CE135" s="44">
        <v>0</v>
      </c>
      <c r="CF135" s="44">
        <v>0</v>
      </c>
      <c r="CG135" s="44">
        <v>0</v>
      </c>
      <c r="CH135" s="44">
        <v>0</v>
      </c>
      <c r="CI135" s="44">
        <v>1</v>
      </c>
      <c r="CK135" s="44">
        <v>0</v>
      </c>
      <c r="CL135" s="44">
        <v>0</v>
      </c>
      <c r="CM135" s="44">
        <v>0</v>
      </c>
      <c r="CN135" s="44">
        <v>0</v>
      </c>
      <c r="CO135" s="44">
        <v>0</v>
      </c>
      <c r="CP135" s="44">
        <v>0</v>
      </c>
      <c r="CQ135" s="44">
        <v>1</v>
      </c>
      <c r="CR135" s="44">
        <v>0</v>
      </c>
      <c r="CV135" s="44">
        <v>0</v>
      </c>
      <c r="CW135" s="44">
        <v>0</v>
      </c>
    </row>
    <row r="136" s="44" customFormat="1" customHeight="1" spans="1:101">
      <c r="A136" s="45">
        <v>12043</v>
      </c>
      <c r="B136" s="79" t="s">
        <v>272</v>
      </c>
      <c r="O136" s="77"/>
      <c r="P136" s="77"/>
      <c r="Q136" s="77"/>
      <c r="R136" s="77"/>
      <c r="S136" s="64"/>
      <c r="T136" s="64"/>
      <c r="U136" s="64"/>
      <c r="V136" s="64"/>
      <c r="W136" s="63"/>
      <c r="X136" s="63"/>
      <c r="Y136" s="63"/>
      <c r="Z136" s="63"/>
      <c r="AA136" s="78"/>
      <c r="AB136" s="78"/>
      <c r="AC136" s="78"/>
      <c r="AD136" s="78"/>
      <c r="AE136" s="48"/>
      <c r="AU136" s="62"/>
      <c r="BK136" s="62"/>
      <c r="CA136" s="44">
        <v>1000</v>
      </c>
      <c r="CB136" s="44">
        <v>1000</v>
      </c>
      <c r="CC136" s="44">
        <v>0</v>
      </c>
      <c r="CD136" s="44">
        <v>0</v>
      </c>
      <c r="CE136" s="44">
        <v>0</v>
      </c>
      <c r="CF136" s="44">
        <v>0</v>
      </c>
      <c r="CG136" s="44">
        <v>0</v>
      </c>
      <c r="CH136" s="44">
        <v>0</v>
      </c>
      <c r="CI136" s="44">
        <v>1</v>
      </c>
      <c r="CK136" s="44">
        <v>0</v>
      </c>
      <c r="CL136" s="44">
        <v>0</v>
      </c>
      <c r="CM136" s="44">
        <v>0</v>
      </c>
      <c r="CN136" s="44">
        <v>0</v>
      </c>
      <c r="CO136" s="44">
        <v>0</v>
      </c>
      <c r="CP136" s="44">
        <v>0</v>
      </c>
      <c r="CQ136" s="44">
        <v>1</v>
      </c>
      <c r="CR136" s="44">
        <v>0</v>
      </c>
      <c r="CV136" s="44">
        <v>0</v>
      </c>
      <c r="CW136" s="44">
        <v>0</v>
      </c>
    </row>
    <row r="137" s="44" customFormat="1" customHeight="1" spans="1:101">
      <c r="A137" s="45">
        <v>12044</v>
      </c>
      <c r="B137" s="79" t="s">
        <v>273</v>
      </c>
      <c r="O137" s="77"/>
      <c r="P137" s="77"/>
      <c r="Q137" s="77"/>
      <c r="R137" s="77"/>
      <c r="S137" s="64"/>
      <c r="T137" s="64"/>
      <c r="U137" s="64"/>
      <c r="V137" s="64"/>
      <c r="W137" s="63"/>
      <c r="X137" s="63"/>
      <c r="Y137" s="63"/>
      <c r="Z137" s="63"/>
      <c r="AA137" s="78"/>
      <c r="AB137" s="78"/>
      <c r="AC137" s="78"/>
      <c r="AD137" s="78"/>
      <c r="AE137" s="48"/>
      <c r="AU137" s="62"/>
      <c r="BK137" s="62"/>
      <c r="CA137" s="44">
        <v>1000</v>
      </c>
      <c r="CB137" s="44">
        <v>1000</v>
      </c>
      <c r="CC137" s="44">
        <v>0</v>
      </c>
      <c r="CD137" s="44">
        <v>0</v>
      </c>
      <c r="CE137" s="44">
        <v>0</v>
      </c>
      <c r="CF137" s="44">
        <v>0</v>
      </c>
      <c r="CG137" s="44">
        <v>0</v>
      </c>
      <c r="CH137" s="44">
        <v>0</v>
      </c>
      <c r="CI137" s="44">
        <v>1</v>
      </c>
      <c r="CK137" s="44">
        <v>0</v>
      </c>
      <c r="CL137" s="44">
        <v>0</v>
      </c>
      <c r="CM137" s="44">
        <v>0</v>
      </c>
      <c r="CN137" s="44">
        <v>0</v>
      </c>
      <c r="CO137" s="44">
        <v>0</v>
      </c>
      <c r="CP137" s="44">
        <v>0</v>
      </c>
      <c r="CQ137" s="44">
        <v>1</v>
      </c>
      <c r="CR137" s="44">
        <v>0</v>
      </c>
      <c r="CV137" s="44">
        <v>0</v>
      </c>
      <c r="CW137" s="44">
        <v>0</v>
      </c>
    </row>
    <row r="138" s="44" customFormat="1" customHeight="1" spans="1:101">
      <c r="A138" s="45">
        <v>12045</v>
      </c>
      <c r="B138" s="79" t="s">
        <v>274</v>
      </c>
      <c r="O138" s="77"/>
      <c r="P138" s="77"/>
      <c r="Q138" s="77"/>
      <c r="R138" s="77"/>
      <c r="S138" s="64"/>
      <c r="T138" s="64"/>
      <c r="U138" s="64"/>
      <c r="V138" s="64"/>
      <c r="W138" s="63"/>
      <c r="X138" s="63"/>
      <c r="Y138" s="63"/>
      <c r="Z138" s="63"/>
      <c r="AA138" s="78"/>
      <c r="AB138" s="78"/>
      <c r="AC138" s="78"/>
      <c r="AD138" s="78"/>
      <c r="AE138" s="48"/>
      <c r="AU138" s="62"/>
      <c r="BK138" s="62"/>
      <c r="CA138" s="44">
        <v>1000</v>
      </c>
      <c r="CB138" s="44">
        <v>1000</v>
      </c>
      <c r="CC138" s="44">
        <v>0</v>
      </c>
      <c r="CD138" s="44">
        <v>0</v>
      </c>
      <c r="CE138" s="44">
        <v>0</v>
      </c>
      <c r="CF138" s="44">
        <v>0</v>
      </c>
      <c r="CG138" s="44">
        <v>0</v>
      </c>
      <c r="CH138" s="44">
        <v>0</v>
      </c>
      <c r="CI138" s="44">
        <v>1</v>
      </c>
      <c r="CK138" s="44">
        <v>0</v>
      </c>
      <c r="CL138" s="44">
        <v>0</v>
      </c>
      <c r="CM138" s="44">
        <v>0</v>
      </c>
      <c r="CN138" s="44">
        <v>0</v>
      </c>
      <c r="CO138" s="44">
        <v>0</v>
      </c>
      <c r="CP138" s="44">
        <v>0</v>
      </c>
      <c r="CQ138" s="44">
        <v>1</v>
      </c>
      <c r="CR138" s="44">
        <v>0</v>
      </c>
      <c r="CV138" s="44">
        <v>0</v>
      </c>
      <c r="CW138" s="44">
        <v>0</v>
      </c>
    </row>
    <row r="139" s="44" customFormat="1" customHeight="1" spans="1:101">
      <c r="A139" s="45">
        <v>12047</v>
      </c>
      <c r="B139" s="79" t="s">
        <v>275</v>
      </c>
      <c r="O139" s="77"/>
      <c r="P139" s="77"/>
      <c r="Q139" s="77"/>
      <c r="R139" s="77"/>
      <c r="S139" s="64"/>
      <c r="T139" s="64"/>
      <c r="U139" s="64"/>
      <c r="V139" s="64"/>
      <c r="W139" s="63"/>
      <c r="X139" s="63"/>
      <c r="Y139" s="63"/>
      <c r="Z139" s="63"/>
      <c r="AA139" s="78"/>
      <c r="AB139" s="78"/>
      <c r="AC139" s="78"/>
      <c r="AD139" s="78"/>
      <c r="AE139" s="48"/>
      <c r="AU139" s="62"/>
      <c r="BK139" s="62"/>
      <c r="CA139" s="44">
        <v>1000</v>
      </c>
      <c r="CB139" s="44">
        <v>1000</v>
      </c>
      <c r="CC139" s="44">
        <v>0</v>
      </c>
      <c r="CD139" s="44">
        <v>0</v>
      </c>
      <c r="CE139" s="44">
        <v>0</v>
      </c>
      <c r="CF139" s="44">
        <v>0</v>
      </c>
      <c r="CG139" s="44">
        <v>0</v>
      </c>
      <c r="CH139" s="44">
        <v>0</v>
      </c>
      <c r="CI139" s="44">
        <v>1</v>
      </c>
      <c r="CK139" s="44">
        <v>0</v>
      </c>
      <c r="CL139" s="44">
        <v>0</v>
      </c>
      <c r="CM139" s="44">
        <v>0</v>
      </c>
      <c r="CN139" s="44">
        <v>0</v>
      </c>
      <c r="CO139" s="44">
        <v>0</v>
      </c>
      <c r="CP139" s="44">
        <v>0</v>
      </c>
      <c r="CQ139" s="44">
        <v>1</v>
      </c>
      <c r="CR139" s="44">
        <v>0</v>
      </c>
      <c r="CV139" s="44">
        <v>0</v>
      </c>
      <c r="CW139" s="44">
        <v>0</v>
      </c>
    </row>
    <row r="140" s="44" customFormat="1" customHeight="1" spans="1:101">
      <c r="A140" s="45">
        <v>12048</v>
      </c>
      <c r="B140" s="79" t="s">
        <v>276</v>
      </c>
      <c r="O140" s="77"/>
      <c r="P140" s="77"/>
      <c r="Q140" s="77"/>
      <c r="R140" s="77"/>
      <c r="S140" s="64"/>
      <c r="T140" s="64"/>
      <c r="U140" s="64"/>
      <c r="V140" s="64"/>
      <c r="W140" s="63"/>
      <c r="X140" s="63"/>
      <c r="Y140" s="63"/>
      <c r="Z140" s="63"/>
      <c r="AA140" s="78"/>
      <c r="AB140" s="78"/>
      <c r="AC140" s="78"/>
      <c r="AD140" s="78"/>
      <c r="AE140" s="48"/>
      <c r="AU140" s="62"/>
      <c r="BK140" s="62"/>
      <c r="CA140" s="44">
        <v>1000</v>
      </c>
      <c r="CB140" s="44">
        <v>1000</v>
      </c>
      <c r="CC140" s="44">
        <v>0</v>
      </c>
      <c r="CD140" s="44">
        <v>0</v>
      </c>
      <c r="CE140" s="44">
        <v>0</v>
      </c>
      <c r="CF140" s="44">
        <v>0</v>
      </c>
      <c r="CG140" s="44">
        <v>0</v>
      </c>
      <c r="CH140" s="44">
        <v>0</v>
      </c>
      <c r="CI140" s="44">
        <v>1</v>
      </c>
      <c r="CK140" s="44">
        <v>0</v>
      </c>
      <c r="CL140" s="44">
        <v>0</v>
      </c>
      <c r="CM140" s="44">
        <v>0</v>
      </c>
      <c r="CN140" s="44">
        <v>0</v>
      </c>
      <c r="CO140" s="44">
        <v>0</v>
      </c>
      <c r="CP140" s="44">
        <v>0</v>
      </c>
      <c r="CQ140" s="44">
        <v>1</v>
      </c>
      <c r="CR140" s="44">
        <v>0</v>
      </c>
      <c r="CV140" s="44">
        <v>0</v>
      </c>
      <c r="CW140" s="44">
        <v>0</v>
      </c>
    </row>
    <row r="141" s="44" customFormat="1" customHeight="1" spans="1:101">
      <c r="A141" s="45">
        <v>12049</v>
      </c>
      <c r="B141" s="79" t="s">
        <v>277</v>
      </c>
      <c r="O141" s="77"/>
      <c r="P141" s="77"/>
      <c r="Q141" s="77"/>
      <c r="R141" s="77"/>
      <c r="S141" s="64"/>
      <c r="T141" s="64"/>
      <c r="U141" s="64"/>
      <c r="V141" s="64"/>
      <c r="W141" s="63"/>
      <c r="X141" s="63"/>
      <c r="Y141" s="63"/>
      <c r="Z141" s="63"/>
      <c r="AA141" s="78"/>
      <c r="AB141" s="78"/>
      <c r="AC141" s="78"/>
      <c r="AD141" s="78"/>
      <c r="AE141" s="48"/>
      <c r="AU141" s="62"/>
      <c r="BK141" s="62"/>
      <c r="CA141" s="44">
        <v>1000</v>
      </c>
      <c r="CB141" s="44">
        <v>1000</v>
      </c>
      <c r="CC141" s="44">
        <v>0</v>
      </c>
      <c r="CD141" s="44">
        <v>0</v>
      </c>
      <c r="CE141" s="44">
        <v>0</v>
      </c>
      <c r="CF141" s="44">
        <v>0</v>
      </c>
      <c r="CG141" s="44">
        <v>0</v>
      </c>
      <c r="CH141" s="44">
        <v>0</v>
      </c>
      <c r="CI141" s="44">
        <v>1</v>
      </c>
      <c r="CK141" s="44">
        <v>0</v>
      </c>
      <c r="CL141" s="44">
        <v>0</v>
      </c>
      <c r="CM141" s="44">
        <v>0</v>
      </c>
      <c r="CN141" s="44">
        <v>0</v>
      </c>
      <c r="CO141" s="44">
        <v>0</v>
      </c>
      <c r="CP141" s="44">
        <v>0</v>
      </c>
      <c r="CQ141" s="44">
        <v>1</v>
      </c>
      <c r="CR141" s="44">
        <v>0</v>
      </c>
      <c r="CV141" s="44">
        <v>0</v>
      </c>
      <c r="CW141" s="44">
        <v>0</v>
      </c>
    </row>
    <row r="142" s="44" customFormat="1" customHeight="1" spans="1:101">
      <c r="A142" s="45">
        <v>12050</v>
      </c>
      <c r="B142" s="44" t="s">
        <v>278</v>
      </c>
      <c r="O142" s="77"/>
      <c r="P142" s="77"/>
      <c r="Q142" s="77"/>
      <c r="R142" s="77"/>
      <c r="S142" s="64"/>
      <c r="T142" s="64"/>
      <c r="U142" s="64"/>
      <c r="V142" s="64"/>
      <c r="W142" s="63"/>
      <c r="X142" s="63"/>
      <c r="Y142" s="63"/>
      <c r="Z142" s="63"/>
      <c r="AA142" s="78"/>
      <c r="AB142" s="78"/>
      <c r="AC142" s="78"/>
      <c r="AD142" s="78"/>
      <c r="AE142" s="48"/>
      <c r="AU142" s="62"/>
      <c r="BK142" s="62"/>
      <c r="CA142" s="44">
        <v>1000</v>
      </c>
      <c r="CB142" s="44">
        <v>1000</v>
      </c>
      <c r="CC142" s="44">
        <v>0</v>
      </c>
      <c r="CD142" s="44">
        <v>0</v>
      </c>
      <c r="CE142" s="44">
        <v>0</v>
      </c>
      <c r="CF142" s="44">
        <v>0</v>
      </c>
      <c r="CG142" s="44">
        <v>0</v>
      </c>
      <c r="CH142" s="44">
        <v>0</v>
      </c>
      <c r="CI142" s="44">
        <v>1</v>
      </c>
      <c r="CK142" s="44">
        <v>0</v>
      </c>
      <c r="CL142" s="44">
        <v>0</v>
      </c>
      <c r="CM142" s="44">
        <v>0</v>
      </c>
      <c r="CN142" s="44">
        <v>0</v>
      </c>
      <c r="CO142" s="44">
        <v>0</v>
      </c>
      <c r="CP142" s="44">
        <v>0</v>
      </c>
      <c r="CQ142" s="44">
        <v>1</v>
      </c>
      <c r="CR142" s="44">
        <v>0</v>
      </c>
      <c r="CV142" s="44">
        <v>0</v>
      </c>
      <c r="CW142" s="44">
        <v>0</v>
      </c>
    </row>
    <row r="143" s="44" customFormat="1" customHeight="1" spans="1:101">
      <c r="A143" s="45">
        <v>12051</v>
      </c>
      <c r="B143" s="79" t="s">
        <v>279</v>
      </c>
      <c r="O143" s="77"/>
      <c r="P143" s="77"/>
      <c r="Q143" s="77"/>
      <c r="R143" s="77"/>
      <c r="S143" s="64"/>
      <c r="T143" s="64"/>
      <c r="U143" s="64"/>
      <c r="V143" s="64"/>
      <c r="W143" s="63"/>
      <c r="X143" s="63"/>
      <c r="Y143" s="63"/>
      <c r="Z143" s="63"/>
      <c r="AA143" s="78"/>
      <c r="AB143" s="78"/>
      <c r="AC143" s="78"/>
      <c r="AD143" s="78"/>
      <c r="AE143" s="48"/>
      <c r="AU143" s="62"/>
      <c r="BK143" s="62"/>
      <c r="CA143" s="44">
        <v>1000</v>
      </c>
      <c r="CB143" s="44">
        <v>1000</v>
      </c>
      <c r="CC143" s="44">
        <v>0</v>
      </c>
      <c r="CD143" s="44">
        <v>0</v>
      </c>
      <c r="CE143" s="44">
        <v>0</v>
      </c>
      <c r="CF143" s="44">
        <v>0</v>
      </c>
      <c r="CG143" s="44">
        <v>0</v>
      </c>
      <c r="CH143" s="44">
        <v>0</v>
      </c>
      <c r="CI143" s="44">
        <v>1</v>
      </c>
      <c r="CK143" s="44">
        <v>0</v>
      </c>
      <c r="CL143" s="44">
        <v>0</v>
      </c>
      <c r="CM143" s="44">
        <v>0</v>
      </c>
      <c r="CN143" s="44">
        <v>0</v>
      </c>
      <c r="CO143" s="44">
        <v>0</v>
      </c>
      <c r="CP143" s="44">
        <v>0</v>
      </c>
      <c r="CQ143" s="44">
        <v>1</v>
      </c>
      <c r="CR143" s="44">
        <v>0</v>
      </c>
      <c r="CV143" s="44">
        <v>0</v>
      </c>
      <c r="CW143" s="44">
        <v>0</v>
      </c>
    </row>
    <row r="144" s="44" customFormat="1" customHeight="1" spans="1:101">
      <c r="A144" s="45">
        <v>12052</v>
      </c>
      <c r="B144" s="79" t="s">
        <v>280</v>
      </c>
      <c r="E144" s="44">
        <v>15</v>
      </c>
      <c r="O144" s="77"/>
      <c r="P144" s="77"/>
      <c r="Q144" s="77"/>
      <c r="R144" s="77"/>
      <c r="S144" s="64"/>
      <c r="T144" s="64"/>
      <c r="U144" s="64"/>
      <c r="V144" s="64"/>
      <c r="W144" s="63"/>
      <c r="X144" s="63"/>
      <c r="Y144" s="63"/>
      <c r="Z144" s="63"/>
      <c r="AA144" s="78"/>
      <c r="AB144" s="78"/>
      <c r="AC144" s="78"/>
      <c r="AD144" s="78"/>
      <c r="AE144" s="48"/>
      <c r="AU144" s="62"/>
      <c r="BK144" s="62"/>
      <c r="CA144" s="44">
        <v>1000</v>
      </c>
      <c r="CB144" s="44">
        <v>1000</v>
      </c>
      <c r="CC144" s="44">
        <v>0</v>
      </c>
      <c r="CD144" s="44">
        <v>0</v>
      </c>
      <c r="CE144" s="44">
        <v>0</v>
      </c>
      <c r="CF144" s="44">
        <v>0</v>
      </c>
      <c r="CG144" s="44">
        <v>0</v>
      </c>
      <c r="CH144" s="44">
        <v>0</v>
      </c>
      <c r="CI144" s="44">
        <v>1</v>
      </c>
      <c r="CK144" s="44">
        <v>0</v>
      </c>
      <c r="CL144" s="44">
        <v>0</v>
      </c>
      <c r="CM144" s="44">
        <v>0</v>
      </c>
      <c r="CN144" s="44">
        <v>0</v>
      </c>
      <c r="CO144" s="44">
        <v>0</v>
      </c>
      <c r="CP144" s="44">
        <v>0</v>
      </c>
      <c r="CQ144" s="44">
        <v>1</v>
      </c>
      <c r="CR144" s="44">
        <v>0</v>
      </c>
      <c r="CV144" s="44">
        <v>0</v>
      </c>
      <c r="CW144" s="44">
        <v>0</v>
      </c>
    </row>
    <row r="145" s="44" customFormat="1" customHeight="1" spans="1:101">
      <c r="A145" s="45">
        <v>12053</v>
      </c>
      <c r="B145" s="79" t="s">
        <v>281</v>
      </c>
      <c r="O145" s="77"/>
      <c r="P145" s="77"/>
      <c r="Q145" s="77"/>
      <c r="R145" s="77"/>
      <c r="S145" s="64"/>
      <c r="T145" s="64"/>
      <c r="U145" s="64"/>
      <c r="V145" s="64"/>
      <c r="W145" s="63"/>
      <c r="X145" s="63"/>
      <c r="Y145" s="63"/>
      <c r="Z145" s="63"/>
      <c r="AA145" s="78"/>
      <c r="AB145" s="78"/>
      <c r="AC145" s="78"/>
      <c r="AD145" s="78"/>
      <c r="AE145" s="48"/>
      <c r="AU145" s="62"/>
      <c r="BK145" s="62"/>
      <c r="CA145" s="44">
        <v>1000</v>
      </c>
      <c r="CB145" s="44">
        <v>1000</v>
      </c>
      <c r="CC145" s="44">
        <v>0</v>
      </c>
      <c r="CD145" s="44">
        <v>0</v>
      </c>
      <c r="CE145" s="44">
        <v>0</v>
      </c>
      <c r="CF145" s="44">
        <v>0</v>
      </c>
      <c r="CG145" s="44">
        <v>0</v>
      </c>
      <c r="CH145" s="44">
        <v>0</v>
      </c>
      <c r="CI145" s="44">
        <v>1</v>
      </c>
      <c r="CK145" s="44">
        <v>0</v>
      </c>
      <c r="CL145" s="44">
        <v>0</v>
      </c>
      <c r="CM145" s="44">
        <v>0</v>
      </c>
      <c r="CN145" s="44">
        <v>0</v>
      </c>
      <c r="CO145" s="44">
        <v>0</v>
      </c>
      <c r="CP145" s="44">
        <v>0</v>
      </c>
      <c r="CQ145" s="44">
        <v>1</v>
      </c>
      <c r="CR145" s="44">
        <v>0</v>
      </c>
      <c r="CV145" s="44">
        <v>0</v>
      </c>
      <c r="CW145" s="44">
        <v>0</v>
      </c>
    </row>
    <row r="146" s="44" customFormat="1" customHeight="1" spans="1:101">
      <c r="A146" s="45">
        <v>12054</v>
      </c>
      <c r="B146" s="79" t="s">
        <v>282</v>
      </c>
      <c r="O146" s="77"/>
      <c r="P146" s="77"/>
      <c r="Q146" s="77"/>
      <c r="R146" s="77"/>
      <c r="S146" s="64"/>
      <c r="T146" s="64"/>
      <c r="U146" s="64"/>
      <c r="V146" s="64"/>
      <c r="W146" s="63"/>
      <c r="X146" s="63"/>
      <c r="Y146" s="63"/>
      <c r="Z146" s="63"/>
      <c r="AA146" s="78"/>
      <c r="AB146" s="78"/>
      <c r="AC146" s="78"/>
      <c r="AD146" s="78"/>
      <c r="AE146" s="48"/>
      <c r="AU146" s="62"/>
      <c r="BK146" s="62"/>
      <c r="CA146" s="44">
        <v>1000</v>
      </c>
      <c r="CB146" s="44">
        <v>1000</v>
      </c>
      <c r="CC146" s="44">
        <v>0</v>
      </c>
      <c r="CD146" s="44">
        <v>0</v>
      </c>
      <c r="CE146" s="44">
        <v>0</v>
      </c>
      <c r="CF146" s="44">
        <v>0</v>
      </c>
      <c r="CG146" s="44">
        <v>0</v>
      </c>
      <c r="CH146" s="44">
        <v>0</v>
      </c>
      <c r="CI146" s="44">
        <v>1</v>
      </c>
      <c r="CK146" s="44">
        <v>0</v>
      </c>
      <c r="CL146" s="44">
        <v>0</v>
      </c>
      <c r="CM146" s="44">
        <v>0</v>
      </c>
      <c r="CN146" s="44">
        <v>0</v>
      </c>
      <c r="CO146" s="44">
        <v>0</v>
      </c>
      <c r="CP146" s="44">
        <v>0</v>
      </c>
      <c r="CQ146" s="44">
        <v>1</v>
      </c>
      <c r="CR146" s="44">
        <v>0</v>
      </c>
      <c r="CV146" s="44">
        <v>0</v>
      </c>
      <c r="CW146" s="44">
        <v>0</v>
      </c>
    </row>
    <row r="147" s="44" customFormat="1" customHeight="1" spans="1:101">
      <c r="A147" s="45">
        <v>12055</v>
      </c>
      <c r="B147" s="79" t="s">
        <v>283</v>
      </c>
      <c r="O147" s="77"/>
      <c r="P147" s="77"/>
      <c r="Q147" s="77"/>
      <c r="R147" s="77"/>
      <c r="S147" s="64"/>
      <c r="T147" s="64"/>
      <c r="U147" s="64"/>
      <c r="V147" s="64"/>
      <c r="W147" s="63"/>
      <c r="X147" s="63"/>
      <c r="Y147" s="63"/>
      <c r="Z147" s="63"/>
      <c r="AA147" s="78"/>
      <c r="AB147" s="78"/>
      <c r="AC147" s="78"/>
      <c r="AD147" s="78"/>
      <c r="AE147" s="48"/>
      <c r="AU147" s="62"/>
      <c r="BK147" s="62"/>
      <c r="CA147" s="44">
        <v>1000</v>
      </c>
      <c r="CB147" s="44">
        <v>1000</v>
      </c>
      <c r="CC147" s="44">
        <v>0</v>
      </c>
      <c r="CD147" s="44">
        <v>0</v>
      </c>
      <c r="CE147" s="44">
        <v>0</v>
      </c>
      <c r="CF147" s="44">
        <v>0</v>
      </c>
      <c r="CG147" s="44">
        <v>0</v>
      </c>
      <c r="CH147" s="44">
        <v>0</v>
      </c>
      <c r="CI147" s="44">
        <v>1</v>
      </c>
      <c r="CK147" s="44">
        <v>0</v>
      </c>
      <c r="CL147" s="44">
        <v>0</v>
      </c>
      <c r="CM147" s="44">
        <v>0</v>
      </c>
      <c r="CN147" s="44">
        <v>0</v>
      </c>
      <c r="CO147" s="44">
        <v>0</v>
      </c>
      <c r="CP147" s="44">
        <v>0</v>
      </c>
      <c r="CQ147" s="44">
        <v>1</v>
      </c>
      <c r="CR147" s="44">
        <v>0</v>
      </c>
      <c r="CV147" s="44">
        <v>0</v>
      </c>
      <c r="CW147" s="44">
        <v>0</v>
      </c>
    </row>
    <row r="148" s="44" customFormat="1" customHeight="1" spans="1:101">
      <c r="A148" s="45">
        <v>12056</v>
      </c>
      <c r="B148" s="79" t="s">
        <v>284</v>
      </c>
      <c r="O148" s="77"/>
      <c r="P148" s="77"/>
      <c r="Q148" s="77"/>
      <c r="R148" s="77"/>
      <c r="S148" s="64"/>
      <c r="T148" s="64"/>
      <c r="U148" s="64"/>
      <c r="V148" s="64"/>
      <c r="W148" s="63"/>
      <c r="X148" s="63"/>
      <c r="Y148" s="63"/>
      <c r="Z148" s="63"/>
      <c r="AA148" s="78"/>
      <c r="AB148" s="78"/>
      <c r="AC148" s="78"/>
      <c r="AD148" s="78"/>
      <c r="AE148" s="48"/>
      <c r="AU148" s="62"/>
      <c r="BK148" s="62"/>
      <c r="CA148" s="44">
        <v>1000</v>
      </c>
      <c r="CB148" s="44">
        <v>1000</v>
      </c>
      <c r="CC148" s="44">
        <v>0</v>
      </c>
      <c r="CD148" s="44">
        <v>0</v>
      </c>
      <c r="CE148" s="44">
        <v>0</v>
      </c>
      <c r="CF148" s="44">
        <v>0</v>
      </c>
      <c r="CG148" s="44">
        <v>0</v>
      </c>
      <c r="CH148" s="44">
        <v>0</v>
      </c>
      <c r="CI148" s="44">
        <v>1</v>
      </c>
      <c r="CK148" s="44">
        <v>0</v>
      </c>
      <c r="CL148" s="44">
        <v>0</v>
      </c>
      <c r="CM148" s="44">
        <v>0</v>
      </c>
      <c r="CN148" s="44">
        <v>0</v>
      </c>
      <c r="CO148" s="44">
        <v>0</v>
      </c>
      <c r="CP148" s="44">
        <v>0</v>
      </c>
      <c r="CQ148" s="44">
        <v>1</v>
      </c>
      <c r="CR148" s="44">
        <v>0</v>
      </c>
      <c r="CV148" s="44">
        <v>0</v>
      </c>
      <c r="CW148" s="44">
        <v>0</v>
      </c>
    </row>
    <row r="149" s="44" customFormat="1" customHeight="1" spans="1:101">
      <c r="A149" s="45">
        <v>12057</v>
      </c>
      <c r="B149" s="44" t="s">
        <v>285</v>
      </c>
      <c r="O149" s="77"/>
      <c r="P149" s="77"/>
      <c r="Q149" s="77"/>
      <c r="R149" s="77"/>
      <c r="S149" s="64"/>
      <c r="T149" s="64"/>
      <c r="U149" s="64"/>
      <c r="V149" s="64"/>
      <c r="W149" s="63"/>
      <c r="X149" s="63"/>
      <c r="Y149" s="63"/>
      <c r="Z149" s="63"/>
      <c r="AA149" s="78"/>
      <c r="AB149" s="78"/>
      <c r="AC149" s="78"/>
      <c r="AD149" s="78"/>
      <c r="AE149" s="48"/>
      <c r="AU149" s="62"/>
      <c r="BK149" s="62"/>
      <c r="CA149" s="44">
        <v>1000</v>
      </c>
      <c r="CB149" s="44">
        <v>1000</v>
      </c>
      <c r="CC149" s="44">
        <v>0</v>
      </c>
      <c r="CD149" s="44">
        <v>0</v>
      </c>
      <c r="CE149" s="44">
        <v>0</v>
      </c>
      <c r="CF149" s="44">
        <v>0</v>
      </c>
      <c r="CG149" s="44">
        <v>0</v>
      </c>
      <c r="CH149" s="44">
        <v>0</v>
      </c>
      <c r="CI149" s="44">
        <v>1</v>
      </c>
      <c r="CK149" s="44">
        <v>0</v>
      </c>
      <c r="CL149" s="44">
        <v>0</v>
      </c>
      <c r="CM149" s="44">
        <v>0</v>
      </c>
      <c r="CN149" s="44">
        <v>0</v>
      </c>
      <c r="CO149" s="44">
        <v>0</v>
      </c>
      <c r="CP149" s="44">
        <v>0</v>
      </c>
      <c r="CQ149" s="44">
        <v>1</v>
      </c>
      <c r="CR149" s="44">
        <v>0</v>
      </c>
      <c r="CV149" s="44">
        <v>0</v>
      </c>
      <c r="CW149" s="44">
        <v>0</v>
      </c>
    </row>
    <row r="150" s="44" customFormat="1" customHeight="1" spans="1:101">
      <c r="A150" s="45">
        <v>12058</v>
      </c>
      <c r="B150" s="79" t="s">
        <v>286</v>
      </c>
      <c r="O150" s="77"/>
      <c r="P150" s="77"/>
      <c r="Q150" s="77"/>
      <c r="R150" s="77"/>
      <c r="S150" s="64"/>
      <c r="T150" s="64"/>
      <c r="U150" s="64"/>
      <c r="V150" s="64"/>
      <c r="W150" s="63"/>
      <c r="X150" s="63"/>
      <c r="Y150" s="63"/>
      <c r="Z150" s="63"/>
      <c r="AA150" s="78"/>
      <c r="AB150" s="78"/>
      <c r="AC150" s="78"/>
      <c r="AD150" s="78"/>
      <c r="AE150" s="48"/>
      <c r="AU150" s="62"/>
      <c r="BK150" s="62"/>
      <c r="CA150" s="44">
        <v>1000</v>
      </c>
      <c r="CB150" s="44">
        <v>1000</v>
      </c>
      <c r="CC150" s="44">
        <v>0</v>
      </c>
      <c r="CD150" s="44">
        <v>0</v>
      </c>
      <c r="CE150" s="44">
        <v>0</v>
      </c>
      <c r="CF150" s="44">
        <v>0</v>
      </c>
      <c r="CG150" s="44">
        <v>0</v>
      </c>
      <c r="CH150" s="44">
        <v>0</v>
      </c>
      <c r="CI150" s="44">
        <v>1</v>
      </c>
      <c r="CK150" s="44">
        <v>0</v>
      </c>
      <c r="CL150" s="44">
        <v>0</v>
      </c>
      <c r="CM150" s="44">
        <v>0</v>
      </c>
      <c r="CN150" s="44">
        <v>0</v>
      </c>
      <c r="CO150" s="44">
        <v>0</v>
      </c>
      <c r="CP150" s="44">
        <v>0</v>
      </c>
      <c r="CQ150" s="44">
        <v>1</v>
      </c>
      <c r="CR150" s="44">
        <v>0</v>
      </c>
      <c r="CV150" s="44">
        <v>0</v>
      </c>
      <c r="CW150" s="44">
        <v>0</v>
      </c>
    </row>
    <row r="151" s="44" customFormat="1" customHeight="1" spans="1:101">
      <c r="A151" s="45">
        <v>12059</v>
      </c>
      <c r="B151" s="79" t="s">
        <v>287</v>
      </c>
      <c r="O151" s="77"/>
      <c r="P151" s="77"/>
      <c r="Q151" s="77"/>
      <c r="R151" s="77"/>
      <c r="S151" s="64"/>
      <c r="T151" s="64"/>
      <c r="U151" s="64"/>
      <c r="V151" s="64"/>
      <c r="W151" s="63"/>
      <c r="X151" s="63"/>
      <c r="Y151" s="63"/>
      <c r="Z151" s="63"/>
      <c r="AA151" s="78"/>
      <c r="AB151" s="78"/>
      <c r="AC151" s="78"/>
      <c r="AD151" s="78"/>
      <c r="AE151" s="48"/>
      <c r="AU151" s="62"/>
      <c r="BK151" s="62"/>
      <c r="CA151" s="44">
        <v>1000</v>
      </c>
      <c r="CB151" s="44">
        <v>1000</v>
      </c>
      <c r="CC151" s="44">
        <v>0</v>
      </c>
      <c r="CD151" s="44">
        <v>0</v>
      </c>
      <c r="CE151" s="44">
        <v>0</v>
      </c>
      <c r="CF151" s="44">
        <v>0</v>
      </c>
      <c r="CG151" s="44">
        <v>0</v>
      </c>
      <c r="CH151" s="44">
        <v>0</v>
      </c>
      <c r="CI151" s="44">
        <v>1</v>
      </c>
      <c r="CK151" s="44">
        <v>0</v>
      </c>
      <c r="CL151" s="44">
        <v>0</v>
      </c>
      <c r="CM151" s="44">
        <v>0</v>
      </c>
      <c r="CN151" s="44">
        <v>0</v>
      </c>
      <c r="CO151" s="44">
        <v>0</v>
      </c>
      <c r="CP151" s="44">
        <v>0</v>
      </c>
      <c r="CQ151" s="44">
        <v>1</v>
      </c>
      <c r="CR151" s="44">
        <v>0</v>
      </c>
      <c r="CV151" s="44">
        <v>0</v>
      </c>
      <c r="CW151" s="44">
        <v>0</v>
      </c>
    </row>
    <row r="152" s="44" customFormat="1" customHeight="1" spans="1:101">
      <c r="A152" s="45">
        <v>12060</v>
      </c>
      <c r="B152" s="79" t="s">
        <v>288</v>
      </c>
      <c r="E152" s="44">
        <v>30</v>
      </c>
      <c r="O152" s="77"/>
      <c r="P152" s="77"/>
      <c r="Q152" s="77"/>
      <c r="R152" s="77"/>
      <c r="S152" s="64"/>
      <c r="T152" s="64"/>
      <c r="U152" s="64"/>
      <c r="V152" s="64"/>
      <c r="W152" s="63"/>
      <c r="X152" s="63"/>
      <c r="Y152" s="63"/>
      <c r="Z152" s="63"/>
      <c r="AA152" s="78"/>
      <c r="AB152" s="78"/>
      <c r="AC152" s="78"/>
      <c r="AD152" s="78"/>
      <c r="AE152" s="48"/>
      <c r="AU152" s="62"/>
      <c r="BK152" s="62"/>
      <c r="CA152" s="44">
        <v>1000</v>
      </c>
      <c r="CB152" s="44">
        <v>1000</v>
      </c>
      <c r="CC152" s="44">
        <v>0</v>
      </c>
      <c r="CD152" s="44">
        <v>0</v>
      </c>
      <c r="CE152" s="44">
        <v>0</v>
      </c>
      <c r="CF152" s="44">
        <v>0</v>
      </c>
      <c r="CG152" s="44">
        <v>0</v>
      </c>
      <c r="CH152" s="44">
        <v>0</v>
      </c>
      <c r="CI152" s="44">
        <v>1</v>
      </c>
      <c r="CK152" s="44">
        <v>0</v>
      </c>
      <c r="CL152" s="44">
        <v>0</v>
      </c>
      <c r="CM152" s="44">
        <v>0</v>
      </c>
      <c r="CN152" s="44">
        <v>0</v>
      </c>
      <c r="CO152" s="44">
        <v>0</v>
      </c>
      <c r="CP152" s="44">
        <v>0</v>
      </c>
      <c r="CQ152" s="44">
        <v>1</v>
      </c>
      <c r="CR152" s="44">
        <v>0</v>
      </c>
      <c r="CV152" s="44">
        <v>0</v>
      </c>
      <c r="CW152" s="44">
        <v>0</v>
      </c>
    </row>
    <row r="153" s="44" customFormat="1" customHeight="1" spans="1:101">
      <c r="A153" s="45">
        <v>12061</v>
      </c>
      <c r="B153" s="79" t="s">
        <v>289</v>
      </c>
      <c r="O153" s="77"/>
      <c r="P153" s="77"/>
      <c r="Q153" s="77"/>
      <c r="R153" s="77"/>
      <c r="S153" s="64"/>
      <c r="T153" s="64"/>
      <c r="U153" s="64"/>
      <c r="V153" s="64"/>
      <c r="W153" s="63"/>
      <c r="X153" s="63"/>
      <c r="Y153" s="63"/>
      <c r="Z153" s="63"/>
      <c r="AA153" s="78"/>
      <c r="AB153" s="78"/>
      <c r="AC153" s="78"/>
      <c r="AD153" s="78"/>
      <c r="AE153" s="48"/>
      <c r="AU153" s="62"/>
      <c r="BK153" s="62"/>
      <c r="CA153" s="44">
        <v>1000</v>
      </c>
      <c r="CB153" s="44">
        <v>1000</v>
      </c>
      <c r="CC153" s="44">
        <v>0</v>
      </c>
      <c r="CD153" s="44">
        <v>0</v>
      </c>
      <c r="CE153" s="44">
        <v>0</v>
      </c>
      <c r="CF153" s="44">
        <v>0</v>
      </c>
      <c r="CG153" s="44">
        <v>0</v>
      </c>
      <c r="CH153" s="44">
        <v>0</v>
      </c>
      <c r="CI153" s="44">
        <v>1</v>
      </c>
      <c r="CK153" s="44">
        <v>0</v>
      </c>
      <c r="CL153" s="44">
        <v>0</v>
      </c>
      <c r="CM153" s="44">
        <v>0</v>
      </c>
      <c r="CN153" s="44">
        <v>0</v>
      </c>
      <c r="CO153" s="44">
        <v>0</v>
      </c>
      <c r="CP153" s="44">
        <v>0</v>
      </c>
      <c r="CQ153" s="44">
        <v>1</v>
      </c>
      <c r="CR153" s="44">
        <v>0</v>
      </c>
      <c r="CV153" s="44">
        <v>0</v>
      </c>
      <c r="CW153" s="44">
        <v>0</v>
      </c>
    </row>
    <row r="154" s="44" customFormat="1" customHeight="1" spans="1:101">
      <c r="A154" s="45">
        <v>12062</v>
      </c>
      <c r="B154" s="79" t="s">
        <v>290</v>
      </c>
      <c r="O154" s="77"/>
      <c r="P154" s="77"/>
      <c r="Q154" s="77"/>
      <c r="R154" s="77"/>
      <c r="S154" s="64"/>
      <c r="T154" s="64"/>
      <c r="U154" s="64"/>
      <c r="V154" s="64"/>
      <c r="W154" s="63"/>
      <c r="X154" s="63"/>
      <c r="Y154" s="63"/>
      <c r="Z154" s="63"/>
      <c r="AA154" s="78"/>
      <c r="AB154" s="78"/>
      <c r="AC154" s="78"/>
      <c r="AD154" s="78"/>
      <c r="AE154" s="48"/>
      <c r="AU154" s="62"/>
      <c r="BK154" s="62"/>
      <c r="CA154" s="44">
        <v>1000</v>
      </c>
      <c r="CB154" s="44">
        <v>1000</v>
      </c>
      <c r="CC154" s="44">
        <v>0</v>
      </c>
      <c r="CD154" s="44">
        <v>0</v>
      </c>
      <c r="CE154" s="44">
        <v>0</v>
      </c>
      <c r="CF154" s="44">
        <v>0</v>
      </c>
      <c r="CG154" s="44">
        <v>0</v>
      </c>
      <c r="CH154" s="44">
        <v>0</v>
      </c>
      <c r="CI154" s="44">
        <v>1</v>
      </c>
      <c r="CK154" s="44">
        <v>0</v>
      </c>
      <c r="CL154" s="44">
        <v>0</v>
      </c>
      <c r="CM154" s="44">
        <v>0</v>
      </c>
      <c r="CN154" s="44">
        <v>0</v>
      </c>
      <c r="CO154" s="44">
        <v>0</v>
      </c>
      <c r="CP154" s="44">
        <v>0</v>
      </c>
      <c r="CQ154" s="44">
        <v>1</v>
      </c>
      <c r="CR154" s="44">
        <v>0</v>
      </c>
      <c r="CV154" s="44">
        <v>0</v>
      </c>
      <c r="CW154" s="44">
        <v>0</v>
      </c>
    </row>
    <row r="155" s="44" customFormat="1" customHeight="1" spans="1:101">
      <c r="A155" s="45">
        <v>12063</v>
      </c>
      <c r="B155" s="79" t="s">
        <v>291</v>
      </c>
      <c r="O155" s="77"/>
      <c r="P155" s="77"/>
      <c r="Q155" s="77"/>
      <c r="R155" s="77"/>
      <c r="S155" s="64"/>
      <c r="T155" s="64"/>
      <c r="U155" s="64"/>
      <c r="V155" s="64"/>
      <c r="W155" s="63"/>
      <c r="X155" s="63"/>
      <c r="Y155" s="63"/>
      <c r="Z155" s="63"/>
      <c r="AA155" s="78"/>
      <c r="AB155" s="78"/>
      <c r="AC155" s="78"/>
      <c r="AD155" s="78"/>
      <c r="AE155" s="48"/>
      <c r="AU155" s="62"/>
      <c r="BK155" s="62"/>
      <c r="CA155" s="44">
        <v>1000</v>
      </c>
      <c r="CB155" s="44">
        <v>1000</v>
      </c>
      <c r="CC155" s="44">
        <v>0</v>
      </c>
      <c r="CD155" s="44">
        <v>0</v>
      </c>
      <c r="CE155" s="44">
        <v>0</v>
      </c>
      <c r="CF155" s="44">
        <v>0</v>
      </c>
      <c r="CG155" s="44">
        <v>0</v>
      </c>
      <c r="CH155" s="44">
        <v>0</v>
      </c>
      <c r="CI155" s="44">
        <v>1</v>
      </c>
      <c r="CK155" s="44">
        <v>0</v>
      </c>
      <c r="CL155" s="44">
        <v>0</v>
      </c>
      <c r="CM155" s="44">
        <v>0</v>
      </c>
      <c r="CN155" s="44">
        <v>0</v>
      </c>
      <c r="CO155" s="44">
        <v>0</v>
      </c>
      <c r="CP155" s="44">
        <v>0</v>
      </c>
      <c r="CQ155" s="44">
        <v>1</v>
      </c>
      <c r="CR155" s="44">
        <v>0</v>
      </c>
      <c r="CV155" s="44">
        <v>0</v>
      </c>
      <c r="CW155" s="44">
        <v>0</v>
      </c>
    </row>
    <row r="156" s="44" customFormat="1" customHeight="1" spans="1:101">
      <c r="A156" s="102">
        <v>12064</v>
      </c>
      <c r="B156" s="103" t="s">
        <v>292</v>
      </c>
      <c r="D156" s="104"/>
      <c r="E156" s="104"/>
      <c r="F156" s="104"/>
      <c r="G156" s="104"/>
      <c r="H156" s="104">
        <v>2500</v>
      </c>
      <c r="I156" s="104"/>
      <c r="K156" s="104"/>
      <c r="L156" s="104"/>
      <c r="M156" s="104"/>
      <c r="O156" s="105"/>
      <c r="P156" s="105"/>
      <c r="Q156" s="105"/>
      <c r="R156" s="105"/>
      <c r="S156" s="107"/>
      <c r="T156" s="107"/>
      <c r="U156" s="107"/>
      <c r="V156" s="107"/>
      <c r="W156" s="108"/>
      <c r="X156" s="108"/>
      <c r="Y156" s="108"/>
      <c r="Z156" s="108"/>
      <c r="AA156" s="110"/>
      <c r="AB156" s="110"/>
      <c r="AC156" s="110"/>
      <c r="AD156" s="110"/>
      <c r="AE156" s="111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  <c r="AU156" s="113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13"/>
      <c r="BL156" s="104"/>
      <c r="BM156" s="104"/>
      <c r="BN156" s="104"/>
      <c r="BO156" s="104"/>
      <c r="BP156" s="104"/>
      <c r="BQ156" s="104"/>
      <c r="BR156" s="104"/>
      <c r="BS156" s="104"/>
      <c r="BT156" s="104"/>
      <c r="BU156" s="104"/>
      <c r="BV156" s="104"/>
      <c r="BW156" s="104"/>
      <c r="BX156" s="104"/>
      <c r="BY156" s="104"/>
      <c r="BZ156" s="104"/>
      <c r="CA156" s="104">
        <v>1000</v>
      </c>
      <c r="CB156" s="104">
        <v>1000</v>
      </c>
      <c r="CC156" s="104">
        <v>0</v>
      </c>
      <c r="CD156" s="104">
        <v>0</v>
      </c>
      <c r="CE156" s="104">
        <v>0</v>
      </c>
      <c r="CF156" s="104">
        <v>0</v>
      </c>
      <c r="CG156" s="104">
        <v>0</v>
      </c>
      <c r="CH156" s="104">
        <v>0</v>
      </c>
      <c r="CI156" s="104">
        <v>1</v>
      </c>
      <c r="CJ156" s="104"/>
      <c r="CK156" s="104">
        <v>0</v>
      </c>
      <c r="CL156" s="104">
        <v>0</v>
      </c>
      <c r="CM156" s="104">
        <v>0</v>
      </c>
      <c r="CN156" s="104">
        <v>0</v>
      </c>
      <c r="CO156" s="104">
        <v>0</v>
      </c>
      <c r="CP156" s="104">
        <v>0</v>
      </c>
      <c r="CQ156" s="104">
        <v>1</v>
      </c>
      <c r="CR156" s="104">
        <v>0</v>
      </c>
      <c r="CS156" s="104"/>
      <c r="CT156" s="104"/>
      <c r="CU156" s="104"/>
      <c r="CV156" s="104">
        <v>0</v>
      </c>
      <c r="CW156" s="104">
        <v>0</v>
      </c>
    </row>
    <row r="157" s="44" customFormat="1" customHeight="1" spans="1:101">
      <c r="A157" s="102">
        <v>12065</v>
      </c>
      <c r="B157" s="103" t="s">
        <v>293</v>
      </c>
      <c r="D157" s="104"/>
      <c r="E157" s="104"/>
      <c r="F157" s="104"/>
      <c r="G157" s="104"/>
      <c r="H157" s="104">
        <v>6000</v>
      </c>
      <c r="I157" s="104"/>
      <c r="K157" s="104"/>
      <c r="L157" s="104"/>
      <c r="M157" s="104"/>
      <c r="O157" s="105"/>
      <c r="P157" s="105"/>
      <c r="Q157" s="105"/>
      <c r="R157" s="105"/>
      <c r="S157" s="107"/>
      <c r="T157" s="107"/>
      <c r="U157" s="107"/>
      <c r="V157" s="107"/>
      <c r="W157" s="108"/>
      <c r="X157" s="108"/>
      <c r="Y157" s="108"/>
      <c r="Z157" s="108"/>
      <c r="AA157" s="110"/>
      <c r="AB157" s="110"/>
      <c r="AC157" s="110"/>
      <c r="AD157" s="110"/>
      <c r="AE157" s="111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s="113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13"/>
      <c r="BL157" s="104"/>
      <c r="BM157" s="104"/>
      <c r="BN157" s="104"/>
      <c r="BO157" s="104"/>
      <c r="BP157" s="104"/>
      <c r="BQ157" s="104"/>
      <c r="BR157" s="104"/>
      <c r="BS157" s="104"/>
      <c r="BT157" s="104"/>
      <c r="BU157" s="104"/>
      <c r="BV157" s="104"/>
      <c r="BW157" s="104"/>
      <c r="BX157" s="104"/>
      <c r="BY157" s="104"/>
      <c r="BZ157" s="104"/>
      <c r="CA157" s="104">
        <v>1000</v>
      </c>
      <c r="CB157" s="104">
        <v>1000</v>
      </c>
      <c r="CC157" s="104">
        <v>0</v>
      </c>
      <c r="CD157" s="104">
        <v>0</v>
      </c>
      <c r="CE157" s="104">
        <v>0</v>
      </c>
      <c r="CF157" s="104">
        <v>0</v>
      </c>
      <c r="CG157" s="104">
        <v>0</v>
      </c>
      <c r="CH157" s="104">
        <v>0</v>
      </c>
      <c r="CI157" s="104">
        <v>1</v>
      </c>
      <c r="CJ157" s="104"/>
      <c r="CK157" s="104">
        <v>0</v>
      </c>
      <c r="CL157" s="104">
        <v>0</v>
      </c>
      <c r="CM157" s="104">
        <v>0</v>
      </c>
      <c r="CN157" s="104">
        <v>0</v>
      </c>
      <c r="CO157" s="104">
        <v>0</v>
      </c>
      <c r="CP157" s="104">
        <v>0</v>
      </c>
      <c r="CQ157" s="104">
        <v>1</v>
      </c>
      <c r="CR157" s="104">
        <v>0</v>
      </c>
      <c r="CS157" s="104"/>
      <c r="CT157" s="104"/>
      <c r="CU157" s="104"/>
      <c r="CV157" s="104">
        <v>0</v>
      </c>
      <c r="CW157" s="104">
        <v>0</v>
      </c>
    </row>
    <row r="158" s="44" customFormat="1" customHeight="1" spans="1:101">
      <c r="A158" s="45">
        <v>12200</v>
      </c>
      <c r="B158" s="44" t="s">
        <v>294</v>
      </c>
      <c r="O158" s="77"/>
      <c r="P158" s="77"/>
      <c r="Q158" s="77"/>
      <c r="R158" s="77"/>
      <c r="S158" s="64"/>
      <c r="T158" s="64"/>
      <c r="U158" s="64"/>
      <c r="V158" s="64"/>
      <c r="W158" s="63"/>
      <c r="X158" s="63"/>
      <c r="Y158" s="63"/>
      <c r="Z158" s="63"/>
      <c r="AA158" s="78"/>
      <c r="AB158" s="78"/>
      <c r="AC158" s="78"/>
      <c r="AD158" s="78"/>
      <c r="AE158" s="48"/>
      <c r="AU158" s="62"/>
      <c r="BK158" s="62"/>
      <c r="CA158" s="44">
        <v>1000</v>
      </c>
      <c r="CB158" s="44">
        <v>1000</v>
      </c>
      <c r="CC158" s="44">
        <v>0</v>
      </c>
      <c r="CD158" s="44">
        <v>0</v>
      </c>
      <c r="CE158" s="44">
        <v>0</v>
      </c>
      <c r="CF158" s="44">
        <v>0</v>
      </c>
      <c r="CG158" s="44">
        <v>0</v>
      </c>
      <c r="CH158" s="44">
        <v>0</v>
      </c>
      <c r="CI158" s="44">
        <v>1</v>
      </c>
      <c r="CK158" s="44">
        <v>0</v>
      </c>
      <c r="CL158" s="44">
        <v>0</v>
      </c>
      <c r="CM158" s="44">
        <v>0</v>
      </c>
      <c r="CN158" s="44">
        <v>0</v>
      </c>
      <c r="CO158" s="44">
        <v>0</v>
      </c>
      <c r="CP158" s="44">
        <v>0</v>
      </c>
      <c r="CQ158" s="44">
        <v>1</v>
      </c>
      <c r="CR158" s="44">
        <v>0</v>
      </c>
      <c r="CV158" s="44">
        <v>0</v>
      </c>
      <c r="CW158" s="44">
        <v>0</v>
      </c>
    </row>
    <row r="159" s="48" customFormat="1" customHeight="1" spans="1:101">
      <c r="A159" s="95">
        <v>5000</v>
      </c>
      <c r="B159" s="80" t="s">
        <v>295</v>
      </c>
      <c r="C159" s="48">
        <v>1</v>
      </c>
      <c r="H159" s="50" t="s">
        <v>227</v>
      </c>
      <c r="I159" s="48" t="s">
        <v>296</v>
      </c>
      <c r="J159" s="48" t="s">
        <v>297</v>
      </c>
      <c r="N159" s="44"/>
      <c r="O159" s="77"/>
      <c r="P159" s="77"/>
      <c r="Q159" s="77"/>
      <c r="R159" s="77"/>
      <c r="S159" s="64"/>
      <c r="T159" s="64"/>
      <c r="U159" s="64"/>
      <c r="V159" s="64"/>
      <c r="W159" s="63"/>
      <c r="X159" s="63"/>
      <c r="Y159" s="63"/>
      <c r="Z159" s="63"/>
      <c r="AA159" s="78"/>
      <c r="AB159" s="78"/>
      <c r="AC159" s="78"/>
      <c r="AD159" s="78"/>
      <c r="AE159" s="48">
        <v>200869</v>
      </c>
      <c r="AU159" s="62">
        <v>1</v>
      </c>
      <c r="BK159" s="62">
        <v>30</v>
      </c>
      <c r="CA159" s="48">
        <v>30</v>
      </c>
      <c r="CB159" s="48">
        <v>1000</v>
      </c>
      <c r="CC159" s="48">
        <v>0</v>
      </c>
      <c r="CD159" s="48">
        <v>0</v>
      </c>
      <c r="CE159" s="48">
        <v>0</v>
      </c>
      <c r="CF159" s="48">
        <v>193001</v>
      </c>
      <c r="CG159" s="48">
        <v>0</v>
      </c>
      <c r="CH159" s="48">
        <v>1</v>
      </c>
      <c r="CI159" s="48">
        <v>1</v>
      </c>
      <c r="CK159" s="48">
        <v>0</v>
      </c>
      <c r="CL159" s="48">
        <v>0</v>
      </c>
      <c r="CM159" s="48">
        <v>0</v>
      </c>
      <c r="CN159" s="48">
        <v>0</v>
      </c>
      <c r="CO159" s="48">
        <v>0</v>
      </c>
      <c r="CP159" s="48">
        <v>0</v>
      </c>
      <c r="CQ159" s="48">
        <v>0</v>
      </c>
      <c r="CR159" s="48">
        <v>0</v>
      </c>
      <c r="CV159" s="48">
        <v>0</v>
      </c>
      <c r="CW159" s="48">
        <v>0</v>
      </c>
    </row>
    <row r="160" s="48" customFormat="1" customHeight="1" spans="1:101">
      <c r="A160" s="95">
        <v>5001</v>
      </c>
      <c r="B160" s="80" t="s">
        <v>298</v>
      </c>
      <c r="C160" s="48">
        <v>5</v>
      </c>
      <c r="K160" s="48" t="s">
        <v>299</v>
      </c>
      <c r="N160" s="44"/>
      <c r="O160" s="77"/>
      <c r="P160" s="77"/>
      <c r="Q160" s="77"/>
      <c r="R160" s="77"/>
      <c r="S160" s="64"/>
      <c r="T160" s="64"/>
      <c r="U160" s="64"/>
      <c r="V160" s="64"/>
      <c r="W160" s="63"/>
      <c r="X160" s="63"/>
      <c r="Y160" s="63"/>
      <c r="Z160" s="63"/>
      <c r="AA160" s="78"/>
      <c r="AB160" s="78"/>
      <c r="AC160" s="78"/>
      <c r="AD160" s="78"/>
      <c r="AE160" s="48">
        <v>200869</v>
      </c>
      <c r="AU160" s="62">
        <v>1</v>
      </c>
      <c r="BK160" s="62">
        <v>100</v>
      </c>
      <c r="CA160" s="48">
        <v>100</v>
      </c>
      <c r="CB160" s="48">
        <v>1000</v>
      </c>
      <c r="CC160" s="48">
        <v>0</v>
      </c>
      <c r="CD160" s="48">
        <v>0</v>
      </c>
      <c r="CE160" s="48">
        <v>0</v>
      </c>
      <c r="CF160" s="48">
        <v>193001</v>
      </c>
      <c r="CG160" s="48">
        <v>0</v>
      </c>
      <c r="CH160" s="48">
        <v>1</v>
      </c>
      <c r="CI160" s="48">
        <v>1</v>
      </c>
      <c r="CK160" s="48">
        <v>0</v>
      </c>
      <c r="CL160" s="48">
        <v>0</v>
      </c>
      <c r="CM160" s="48">
        <v>0</v>
      </c>
      <c r="CN160" s="48">
        <v>0</v>
      </c>
      <c r="CO160" s="48">
        <v>0</v>
      </c>
      <c r="CP160" s="48">
        <v>0</v>
      </c>
      <c r="CQ160" s="48">
        <v>0</v>
      </c>
      <c r="CR160" s="48">
        <v>0</v>
      </c>
      <c r="CV160" s="48">
        <v>0</v>
      </c>
      <c r="CW160" s="48">
        <v>0</v>
      </c>
    </row>
    <row r="161" s="48" customFormat="1" customHeight="1" spans="1:101">
      <c r="A161" s="95">
        <v>5002</v>
      </c>
      <c r="B161" s="80" t="s">
        <v>300</v>
      </c>
      <c r="N161" s="44"/>
      <c r="O161" s="105"/>
      <c r="P161" s="77"/>
      <c r="Q161" s="77"/>
      <c r="R161" s="77"/>
      <c r="S161" s="64"/>
      <c r="T161" s="64"/>
      <c r="U161" s="64"/>
      <c r="V161" s="64"/>
      <c r="W161" s="63"/>
      <c r="X161" s="63"/>
      <c r="Y161" s="63"/>
      <c r="Z161" s="63"/>
      <c r="AA161" s="78"/>
      <c r="AB161" s="78"/>
      <c r="AC161" s="78"/>
      <c r="AD161" s="78"/>
      <c r="AU161" s="62"/>
      <c r="BK161" s="62"/>
      <c r="CA161" s="48">
        <v>0</v>
      </c>
      <c r="CB161" s="48">
        <v>1000</v>
      </c>
      <c r="CC161" s="48">
        <v>0</v>
      </c>
      <c r="CD161" s="48">
        <v>0</v>
      </c>
      <c r="CE161" s="48">
        <v>0</v>
      </c>
      <c r="CF161" s="48">
        <v>0</v>
      </c>
      <c r="CG161" s="48">
        <v>0</v>
      </c>
      <c r="CH161" s="48">
        <v>0</v>
      </c>
      <c r="CI161" s="48">
        <v>1</v>
      </c>
      <c r="CK161" s="48">
        <v>0</v>
      </c>
      <c r="CL161" s="48">
        <v>0</v>
      </c>
      <c r="CM161" s="48">
        <v>0</v>
      </c>
      <c r="CN161" s="48">
        <v>0</v>
      </c>
      <c r="CO161" s="48">
        <v>0</v>
      </c>
      <c r="CP161" s="48">
        <v>0</v>
      </c>
      <c r="CQ161" s="48">
        <v>0</v>
      </c>
      <c r="CR161" s="48">
        <v>0</v>
      </c>
      <c r="CV161" s="48">
        <v>0</v>
      </c>
      <c r="CW161" s="48">
        <v>0</v>
      </c>
    </row>
    <row r="162" s="48" customFormat="1" customHeight="1" spans="1:101">
      <c r="A162" s="95">
        <v>5003</v>
      </c>
      <c r="B162" s="80" t="s">
        <v>301</v>
      </c>
      <c r="H162" s="50" t="s">
        <v>227</v>
      </c>
      <c r="K162" s="48" t="s">
        <v>302</v>
      </c>
      <c r="N162" s="44"/>
      <c r="O162" s="105"/>
      <c r="P162" s="77"/>
      <c r="Q162" s="77"/>
      <c r="R162" s="77"/>
      <c r="S162" s="64"/>
      <c r="T162" s="64"/>
      <c r="U162" s="64"/>
      <c r="V162" s="64"/>
      <c r="W162" s="63"/>
      <c r="X162" s="63"/>
      <c r="Y162" s="63"/>
      <c r="Z162" s="63"/>
      <c r="AA162" s="78"/>
      <c r="AB162" s="78"/>
      <c r="AC162" s="78"/>
      <c r="AD162" s="78"/>
      <c r="AU162" s="62"/>
      <c r="BK162" s="62"/>
      <c r="CA162" s="48">
        <v>0</v>
      </c>
      <c r="CB162" s="48">
        <v>1000</v>
      </c>
      <c r="CC162" s="48">
        <v>0</v>
      </c>
      <c r="CD162" s="48">
        <v>0</v>
      </c>
      <c r="CE162" s="48">
        <v>0</v>
      </c>
      <c r="CF162" s="48">
        <v>0</v>
      </c>
      <c r="CG162" s="48">
        <v>0</v>
      </c>
      <c r="CH162" s="48">
        <v>0</v>
      </c>
      <c r="CI162" s="48">
        <v>1</v>
      </c>
      <c r="CK162" s="48">
        <v>0</v>
      </c>
      <c r="CL162" s="48">
        <v>0</v>
      </c>
      <c r="CM162" s="48">
        <v>0</v>
      </c>
      <c r="CN162" s="48">
        <v>0</v>
      </c>
      <c r="CO162" s="48">
        <v>0</v>
      </c>
      <c r="CP162" s="48">
        <v>0</v>
      </c>
      <c r="CQ162" s="48">
        <v>0</v>
      </c>
      <c r="CR162" s="48">
        <v>0</v>
      </c>
      <c r="CV162" s="48">
        <v>0</v>
      </c>
      <c r="CW162" s="48">
        <v>0</v>
      </c>
    </row>
    <row r="163" s="48" customFormat="1" customHeight="1" spans="1:101">
      <c r="A163" s="95">
        <v>5004</v>
      </c>
      <c r="B163" s="80" t="s">
        <v>303</v>
      </c>
      <c r="I163" s="48" t="s">
        <v>116</v>
      </c>
      <c r="J163" s="48">
        <v>45000</v>
      </c>
      <c r="K163" s="48" t="s">
        <v>304</v>
      </c>
      <c r="N163" s="44"/>
      <c r="O163" s="105"/>
      <c r="P163" s="77"/>
      <c r="Q163" s="77"/>
      <c r="R163" s="77"/>
      <c r="S163" s="64"/>
      <c r="T163" s="64"/>
      <c r="U163" s="64"/>
      <c r="V163" s="64"/>
      <c r="W163" s="63"/>
      <c r="X163" s="63"/>
      <c r="Y163" s="63"/>
      <c r="Z163" s="63"/>
      <c r="AA163" s="78"/>
      <c r="AB163" s="78"/>
      <c r="AC163" s="78"/>
      <c r="AD163" s="78"/>
      <c r="AE163" s="48">
        <v>200067</v>
      </c>
      <c r="AM163" s="48" t="s">
        <v>116</v>
      </c>
      <c r="AN163" s="48" t="s">
        <v>116</v>
      </c>
      <c r="AO163" s="48" t="s">
        <v>116</v>
      </c>
      <c r="AP163" s="48" t="s">
        <v>116</v>
      </c>
      <c r="AQ163" s="48" t="s">
        <v>116</v>
      </c>
      <c r="AR163" s="48" t="s">
        <v>116</v>
      </c>
      <c r="AS163" s="48" t="s">
        <v>116</v>
      </c>
      <c r="AT163" s="48" t="s">
        <v>116</v>
      </c>
      <c r="AU163" s="62">
        <f t="shared" ref="AU163:AU166" si="6">IF(AE163="","",1)</f>
        <v>1</v>
      </c>
      <c r="BD163" s="48" t="str">
        <f t="shared" ref="BD163:BJ163" si="7">IF(AN163="","",1)</f>
        <v/>
      </c>
      <c r="BE163" s="48" t="str">
        <f t="shared" si="7"/>
        <v/>
      </c>
      <c r="BF163" s="48" t="str">
        <f t="shared" si="7"/>
        <v/>
      </c>
      <c r="BG163" s="48" t="str">
        <f t="shared" si="7"/>
        <v/>
      </c>
      <c r="BH163" s="48" t="str">
        <f t="shared" si="7"/>
        <v/>
      </c>
      <c r="BI163" s="48" t="str">
        <f t="shared" si="7"/>
        <v/>
      </c>
      <c r="BJ163" s="48" t="str">
        <f t="shared" si="7"/>
        <v/>
      </c>
      <c r="BK163" s="62">
        <v>1000</v>
      </c>
      <c r="CA163" s="48">
        <f t="shared" ref="CA163:CA166" si="8">SUM(BK163:BZ163)</f>
        <v>1000</v>
      </c>
      <c r="CB163" s="48">
        <f t="shared" ref="CB163:CB165" si="9">SUM(BL163:CA163)</f>
        <v>1000</v>
      </c>
      <c r="CC163" s="48">
        <v>0</v>
      </c>
      <c r="CD163" s="48">
        <v>0</v>
      </c>
      <c r="CE163" s="48">
        <v>0</v>
      </c>
      <c r="CF163" s="48">
        <v>0</v>
      </c>
      <c r="CG163" s="48">
        <v>0</v>
      </c>
      <c r="CH163" s="48">
        <f>IF(RIGHT(B163,1)="0",1,0)</f>
        <v>0</v>
      </c>
      <c r="CI163" s="48">
        <v>1</v>
      </c>
      <c r="CK163" s="48">
        <v>0</v>
      </c>
      <c r="CL163" s="48">
        <v>0</v>
      </c>
      <c r="CM163" s="48">
        <v>0</v>
      </c>
      <c r="CN163" s="48">
        <v>0</v>
      </c>
      <c r="CO163" s="48">
        <v>0</v>
      </c>
      <c r="CP163" s="48">
        <v>0</v>
      </c>
      <c r="CQ163" s="48">
        <v>0</v>
      </c>
      <c r="CR163" s="48">
        <v>0</v>
      </c>
      <c r="CV163" s="48">
        <v>0</v>
      </c>
      <c r="CW163" s="48">
        <v>0</v>
      </c>
    </row>
    <row r="164" s="48" customFormat="1" customHeight="1" spans="1:101">
      <c r="A164" s="95">
        <v>5005</v>
      </c>
      <c r="B164" s="80" t="s">
        <v>305</v>
      </c>
      <c r="I164" s="48" t="s">
        <v>116</v>
      </c>
      <c r="J164" s="48">
        <v>105000</v>
      </c>
      <c r="K164" s="48" t="s">
        <v>304</v>
      </c>
      <c r="N164" s="44"/>
      <c r="O164" s="105"/>
      <c r="P164" s="77"/>
      <c r="Q164" s="77"/>
      <c r="R164" s="77"/>
      <c r="S164" s="64"/>
      <c r="T164" s="64"/>
      <c r="U164" s="64"/>
      <c r="V164" s="64"/>
      <c r="W164" s="63"/>
      <c r="X164" s="63"/>
      <c r="Y164" s="63"/>
      <c r="Z164" s="63"/>
      <c r="AA164" s="78"/>
      <c r="AB164" s="78"/>
      <c r="AC164" s="78"/>
      <c r="AD164" s="78"/>
      <c r="AE164" s="48">
        <v>200067</v>
      </c>
      <c r="AF164" s="48">
        <v>200067</v>
      </c>
      <c r="AM164" s="48" t="s">
        <v>116</v>
      </c>
      <c r="AN164" s="48" t="s">
        <v>116</v>
      </c>
      <c r="AO164" s="48" t="s">
        <v>116</v>
      </c>
      <c r="AP164" s="48" t="s">
        <v>116</v>
      </c>
      <c r="AQ164" s="48" t="s">
        <v>116</v>
      </c>
      <c r="AR164" s="48" t="s">
        <v>116</v>
      </c>
      <c r="AS164" s="48" t="s">
        <v>116</v>
      </c>
      <c r="AT164" s="48" t="s">
        <v>116</v>
      </c>
      <c r="AU164" s="62">
        <f t="shared" si="6"/>
        <v>1</v>
      </c>
      <c r="AV164" s="48">
        <v>2</v>
      </c>
      <c r="BD164" s="48" t="str">
        <f t="shared" ref="BD164:BJ164" si="10">IF(AN164="","",1)</f>
        <v/>
      </c>
      <c r="BE164" s="48" t="str">
        <f t="shared" si="10"/>
        <v/>
      </c>
      <c r="BF164" s="48" t="str">
        <f t="shared" si="10"/>
        <v/>
      </c>
      <c r="BG164" s="48" t="str">
        <f t="shared" si="10"/>
        <v/>
      </c>
      <c r="BH164" s="48" t="str">
        <f t="shared" si="10"/>
        <v/>
      </c>
      <c r="BI164" s="48" t="str">
        <f t="shared" si="10"/>
        <v/>
      </c>
      <c r="BJ164" s="48" t="str">
        <f t="shared" si="10"/>
        <v/>
      </c>
      <c r="BK164" s="62">
        <v>500</v>
      </c>
      <c r="BL164" s="48">
        <v>500</v>
      </c>
      <c r="CA164" s="48">
        <f t="shared" si="8"/>
        <v>1000</v>
      </c>
      <c r="CB164" s="48">
        <v>1000</v>
      </c>
      <c r="CC164" s="48">
        <v>0</v>
      </c>
      <c r="CD164" s="48">
        <v>0</v>
      </c>
      <c r="CE164" s="48">
        <v>0</v>
      </c>
      <c r="CF164" s="48">
        <v>0</v>
      </c>
      <c r="CG164" s="48">
        <v>0</v>
      </c>
      <c r="CH164" s="48">
        <f>IF(RIGHT(B164,1)="0",1,0)</f>
        <v>0</v>
      </c>
      <c r="CI164" s="48">
        <v>1</v>
      </c>
      <c r="CK164" s="48">
        <v>0</v>
      </c>
      <c r="CL164" s="48">
        <v>0</v>
      </c>
      <c r="CM164" s="48">
        <v>0</v>
      </c>
      <c r="CN164" s="48">
        <v>0</v>
      </c>
      <c r="CO164" s="48">
        <v>0</v>
      </c>
      <c r="CP164" s="48">
        <v>0</v>
      </c>
      <c r="CQ164" s="48">
        <v>0</v>
      </c>
      <c r="CR164" s="48">
        <v>0</v>
      </c>
      <c r="CV164" s="48">
        <v>0</v>
      </c>
      <c r="CW164" s="48">
        <v>0</v>
      </c>
    </row>
    <row r="165" s="48" customFormat="1" customHeight="1" spans="1:101">
      <c r="A165" s="95">
        <v>5006</v>
      </c>
      <c r="B165" s="80" t="s">
        <v>306</v>
      </c>
      <c r="I165" s="48" t="s">
        <v>116</v>
      </c>
      <c r="J165" s="48">
        <v>30000</v>
      </c>
      <c r="K165" s="48" t="s">
        <v>304</v>
      </c>
      <c r="N165" s="44"/>
      <c r="O165" s="105"/>
      <c r="P165" s="77"/>
      <c r="Q165" s="77"/>
      <c r="R165" s="77"/>
      <c r="S165" s="64"/>
      <c r="T165" s="64"/>
      <c r="U165" s="64"/>
      <c r="V165" s="64"/>
      <c r="W165" s="63"/>
      <c r="X165" s="63"/>
      <c r="Y165" s="63"/>
      <c r="Z165" s="63"/>
      <c r="AA165" s="78"/>
      <c r="AB165" s="78"/>
      <c r="AC165" s="78"/>
      <c r="AD165" s="78"/>
      <c r="AE165" s="48">
        <v>200105</v>
      </c>
      <c r="AF165" s="48">
        <v>200105</v>
      </c>
      <c r="AM165" s="48" t="s">
        <v>116</v>
      </c>
      <c r="AN165" s="48" t="s">
        <v>116</v>
      </c>
      <c r="AO165" s="48" t="s">
        <v>116</v>
      </c>
      <c r="AP165" s="48" t="s">
        <v>116</v>
      </c>
      <c r="AQ165" s="48" t="s">
        <v>116</v>
      </c>
      <c r="AR165" s="48" t="s">
        <v>116</v>
      </c>
      <c r="AS165" s="48" t="s">
        <v>116</v>
      </c>
      <c r="AT165" s="48" t="s">
        <v>116</v>
      </c>
      <c r="AU165" s="62">
        <f t="shared" si="6"/>
        <v>1</v>
      </c>
      <c r="AV165" s="48">
        <v>2</v>
      </c>
      <c r="BD165" s="48" t="str">
        <f t="shared" ref="BD165:BJ165" si="11">IF(AN165="","",1)</f>
        <v/>
      </c>
      <c r="BE165" s="48" t="str">
        <f t="shared" si="11"/>
        <v/>
      </c>
      <c r="BF165" s="48" t="str">
        <f t="shared" si="11"/>
        <v/>
      </c>
      <c r="BG165" s="48" t="str">
        <f t="shared" si="11"/>
        <v/>
      </c>
      <c r="BH165" s="48" t="str">
        <f t="shared" si="11"/>
        <v/>
      </c>
      <c r="BI165" s="48" t="str">
        <f t="shared" si="11"/>
        <v/>
      </c>
      <c r="BJ165" s="48" t="str">
        <f t="shared" si="11"/>
        <v/>
      </c>
      <c r="BK165" s="62">
        <v>200</v>
      </c>
      <c r="BL165" s="48">
        <v>100</v>
      </c>
      <c r="CA165" s="48">
        <f t="shared" si="8"/>
        <v>300</v>
      </c>
      <c r="CB165" s="48">
        <v>1000</v>
      </c>
      <c r="CC165" s="48">
        <v>0</v>
      </c>
      <c r="CD165" s="48">
        <v>0</v>
      </c>
      <c r="CE165" s="48">
        <v>0</v>
      </c>
      <c r="CF165" s="48">
        <v>0</v>
      </c>
      <c r="CG165" s="48">
        <v>0</v>
      </c>
      <c r="CH165" s="48">
        <f>IF(RIGHT(B165,1)="0",1,0)</f>
        <v>0</v>
      </c>
      <c r="CI165" s="48">
        <v>1</v>
      </c>
      <c r="CK165" s="48">
        <v>0</v>
      </c>
      <c r="CL165" s="48">
        <v>0</v>
      </c>
      <c r="CM165" s="48">
        <v>0</v>
      </c>
      <c r="CN165" s="48">
        <v>0</v>
      </c>
      <c r="CO165" s="48">
        <v>0</v>
      </c>
      <c r="CP165" s="48">
        <v>0</v>
      </c>
      <c r="CQ165" s="48">
        <v>0</v>
      </c>
      <c r="CR165" s="48">
        <v>0</v>
      </c>
      <c r="CV165" s="48">
        <v>0</v>
      </c>
      <c r="CW165" s="48">
        <v>0</v>
      </c>
    </row>
    <row r="166" s="48" customFormat="1" customHeight="1" spans="1:101">
      <c r="A166" s="95">
        <v>5007</v>
      </c>
      <c r="B166" s="80" t="s">
        <v>307</v>
      </c>
      <c r="I166" s="48" t="s">
        <v>116</v>
      </c>
      <c r="J166" s="48">
        <v>50000</v>
      </c>
      <c r="K166" s="48" t="s">
        <v>308</v>
      </c>
      <c r="N166" s="44"/>
      <c r="O166" s="105"/>
      <c r="P166" s="77"/>
      <c r="Q166" s="77"/>
      <c r="R166" s="77"/>
      <c r="S166" s="64"/>
      <c r="T166" s="64"/>
      <c r="U166" s="64"/>
      <c r="V166" s="64"/>
      <c r="W166" s="63"/>
      <c r="X166" s="63"/>
      <c r="Y166" s="63"/>
      <c r="Z166" s="63"/>
      <c r="AA166" s="78"/>
      <c r="AB166" s="78"/>
      <c r="AC166" s="78"/>
      <c r="AD166" s="78"/>
      <c r="AM166" s="48" t="s">
        <v>116</v>
      </c>
      <c r="AN166" s="48" t="s">
        <v>116</v>
      </c>
      <c r="AO166" s="48" t="s">
        <v>116</v>
      </c>
      <c r="AP166" s="48" t="s">
        <v>116</v>
      </c>
      <c r="AQ166" s="48" t="s">
        <v>116</v>
      </c>
      <c r="AR166" s="48" t="s">
        <v>116</v>
      </c>
      <c r="AS166" s="48" t="s">
        <v>116</v>
      </c>
      <c r="AT166" s="48" t="s">
        <v>116</v>
      </c>
      <c r="AU166" s="62" t="str">
        <f t="shared" si="6"/>
        <v/>
      </c>
      <c r="BD166" s="48" t="str">
        <f t="shared" ref="BD166:BJ166" si="12">IF(AN166="","",1)</f>
        <v/>
      </c>
      <c r="BE166" s="48" t="str">
        <f t="shared" si="12"/>
        <v/>
      </c>
      <c r="BF166" s="48" t="str">
        <f t="shared" si="12"/>
        <v/>
      </c>
      <c r="BG166" s="48" t="str">
        <f t="shared" si="12"/>
        <v/>
      </c>
      <c r="BH166" s="48" t="str">
        <f t="shared" si="12"/>
        <v/>
      </c>
      <c r="BI166" s="48" t="str">
        <f t="shared" si="12"/>
        <v/>
      </c>
      <c r="BJ166" s="48" t="str">
        <f t="shared" si="12"/>
        <v/>
      </c>
      <c r="BK166" s="62"/>
      <c r="CA166" s="48">
        <f t="shared" si="8"/>
        <v>0</v>
      </c>
      <c r="CB166" s="48">
        <v>1000</v>
      </c>
      <c r="CC166" s="48">
        <v>0</v>
      </c>
      <c r="CD166" s="48">
        <v>0</v>
      </c>
      <c r="CE166" s="48">
        <v>0</v>
      </c>
      <c r="CF166" s="48">
        <v>0</v>
      </c>
      <c r="CG166" s="48">
        <v>0</v>
      </c>
      <c r="CH166" s="48">
        <f>IF(RIGHT(B166,1)="0",1,0)</f>
        <v>0</v>
      </c>
      <c r="CI166" s="48">
        <v>1</v>
      </c>
      <c r="CK166" s="48">
        <v>0</v>
      </c>
      <c r="CL166" s="48">
        <v>0</v>
      </c>
      <c r="CM166" s="48">
        <v>0</v>
      </c>
      <c r="CN166" s="48">
        <v>0</v>
      </c>
      <c r="CO166" s="48">
        <v>0</v>
      </c>
      <c r="CP166" s="48">
        <v>0</v>
      </c>
      <c r="CQ166" s="48">
        <v>0</v>
      </c>
      <c r="CR166" s="48">
        <v>0</v>
      </c>
      <c r="CV166" s="48">
        <v>0</v>
      </c>
      <c r="CW166" s="48">
        <v>0</v>
      </c>
    </row>
    <row r="167" s="48" customFormat="1" customHeight="1" spans="1:101">
      <c r="A167" s="95">
        <v>5008</v>
      </c>
      <c r="B167" s="80" t="s">
        <v>309</v>
      </c>
      <c r="N167" s="44"/>
      <c r="O167" s="77"/>
      <c r="P167" s="77"/>
      <c r="Q167" s="77"/>
      <c r="R167" s="77"/>
      <c r="S167" s="64"/>
      <c r="T167" s="64"/>
      <c r="U167" s="64"/>
      <c r="V167" s="64"/>
      <c r="W167" s="63"/>
      <c r="X167" s="63"/>
      <c r="Y167" s="63"/>
      <c r="Z167" s="63"/>
      <c r="AA167" s="78"/>
      <c r="AB167" s="78"/>
      <c r="AC167" s="78"/>
      <c r="AD167" s="78"/>
      <c r="AE167" s="48">
        <v>200063</v>
      </c>
      <c r="AF167" s="48">
        <v>200064</v>
      </c>
      <c r="AU167" s="62">
        <v>2</v>
      </c>
      <c r="AV167" s="48">
        <v>1</v>
      </c>
      <c r="BK167" s="62">
        <v>500</v>
      </c>
      <c r="BL167" s="48">
        <v>500</v>
      </c>
      <c r="CA167" s="48">
        <v>1000</v>
      </c>
      <c r="CB167" s="48">
        <v>1000</v>
      </c>
      <c r="CC167" s="48">
        <v>0</v>
      </c>
      <c r="CD167" s="48">
        <v>0</v>
      </c>
      <c r="CE167" s="48">
        <v>0</v>
      </c>
      <c r="CF167" s="48">
        <v>0</v>
      </c>
      <c r="CG167" s="48">
        <v>0</v>
      </c>
      <c r="CH167" s="48">
        <v>0</v>
      </c>
      <c r="CI167" s="48">
        <v>1</v>
      </c>
      <c r="CK167" s="48">
        <v>0</v>
      </c>
      <c r="CL167" s="48">
        <v>0</v>
      </c>
      <c r="CM167" s="48">
        <v>0</v>
      </c>
      <c r="CN167" s="48">
        <v>0</v>
      </c>
      <c r="CO167" s="48">
        <v>0</v>
      </c>
      <c r="CP167" s="48">
        <v>0</v>
      </c>
      <c r="CQ167" s="48">
        <v>0</v>
      </c>
      <c r="CR167" s="48">
        <v>0</v>
      </c>
      <c r="CV167" s="48">
        <v>0</v>
      </c>
      <c r="CW167" s="48">
        <v>0</v>
      </c>
    </row>
    <row r="168" s="48" customFormat="1" customHeight="1" spans="1:101">
      <c r="A168" s="95">
        <v>5009</v>
      </c>
      <c r="B168" s="80" t="s">
        <v>310</v>
      </c>
      <c r="C168" s="48">
        <v>5</v>
      </c>
      <c r="K168" s="48" t="s">
        <v>299</v>
      </c>
      <c r="N168" s="44"/>
      <c r="O168" s="77">
        <v>200859</v>
      </c>
      <c r="P168" s="77">
        <v>1</v>
      </c>
      <c r="Q168" s="77">
        <v>0</v>
      </c>
      <c r="R168" s="77">
        <v>0</v>
      </c>
      <c r="S168" s="64"/>
      <c r="T168" s="64"/>
      <c r="U168" s="64"/>
      <c r="V168" s="64"/>
      <c r="W168" s="63"/>
      <c r="X168" s="63"/>
      <c r="Y168" s="63"/>
      <c r="Z168" s="63"/>
      <c r="AA168" s="78"/>
      <c r="AB168" s="78"/>
      <c r="AC168" s="78"/>
      <c r="AD168" s="78"/>
      <c r="AE168" s="48">
        <v>200869</v>
      </c>
      <c r="AU168" s="62">
        <v>1</v>
      </c>
      <c r="BK168" s="62">
        <v>100</v>
      </c>
      <c r="CA168" s="48">
        <v>100</v>
      </c>
      <c r="CB168" s="48">
        <v>1000</v>
      </c>
      <c r="CC168" s="48">
        <v>0</v>
      </c>
      <c r="CD168" s="48">
        <v>0</v>
      </c>
      <c r="CE168" s="48">
        <v>0</v>
      </c>
      <c r="CF168" s="48">
        <v>193001</v>
      </c>
      <c r="CG168" s="48">
        <v>0</v>
      </c>
      <c r="CH168" s="48">
        <v>1</v>
      </c>
      <c r="CI168" s="48">
        <v>1</v>
      </c>
      <c r="CK168" s="48">
        <v>0</v>
      </c>
      <c r="CL168" s="48">
        <v>0</v>
      </c>
      <c r="CM168" s="48">
        <v>0</v>
      </c>
      <c r="CN168" s="48">
        <v>0</v>
      </c>
      <c r="CO168" s="48">
        <v>0</v>
      </c>
      <c r="CP168" s="48">
        <v>0</v>
      </c>
      <c r="CQ168" s="48">
        <v>0</v>
      </c>
      <c r="CR168" s="48">
        <v>0</v>
      </c>
      <c r="CV168" s="48">
        <v>0</v>
      </c>
      <c r="CW168" s="48">
        <v>0</v>
      </c>
    </row>
    <row r="169" s="44" customFormat="1" customHeight="1" spans="1:101">
      <c r="A169" s="45">
        <v>5010</v>
      </c>
      <c r="B169" s="79" t="s">
        <v>311</v>
      </c>
      <c r="H169" s="44">
        <v>120000</v>
      </c>
      <c r="I169" s="44">
        <v>60000</v>
      </c>
      <c r="J169" s="44">
        <v>40000</v>
      </c>
      <c r="K169" s="44">
        <v>400</v>
      </c>
      <c r="O169" s="91"/>
      <c r="P169" s="77"/>
      <c r="Q169" s="77"/>
      <c r="R169" s="77"/>
      <c r="S169" s="64"/>
      <c r="T169" s="64"/>
      <c r="U169" s="64"/>
      <c r="V169" s="64"/>
      <c r="W169" s="63"/>
      <c r="X169" s="63"/>
      <c r="Y169" s="63"/>
      <c r="Z169" s="63"/>
      <c r="AA169" s="78"/>
      <c r="AB169" s="78"/>
      <c r="AC169" s="78"/>
      <c r="AD169" s="78"/>
      <c r="AE169" s="48"/>
      <c r="AU169" s="62"/>
      <c r="BK169" s="62"/>
      <c r="CA169" s="44">
        <f t="shared" ref="CA169:CA177" si="13">SUM(BK169:BZ169)</f>
        <v>0</v>
      </c>
      <c r="CB169" s="44">
        <v>0</v>
      </c>
      <c r="CC169" s="44">
        <v>0</v>
      </c>
      <c r="CD169" s="44">
        <v>0</v>
      </c>
      <c r="CE169" s="44">
        <v>0</v>
      </c>
      <c r="CF169" s="114">
        <v>0</v>
      </c>
      <c r="CG169" s="44">
        <v>0</v>
      </c>
      <c r="CH169" s="44">
        <f>IF(RIGHT(B169,1)="0",1,0)</f>
        <v>0</v>
      </c>
      <c r="CI169" s="44">
        <v>1</v>
      </c>
      <c r="CJ169" s="44">
        <v>0</v>
      </c>
      <c r="CK169" s="44">
        <v>0</v>
      </c>
      <c r="CL169" s="44">
        <v>0</v>
      </c>
      <c r="CM169" s="44">
        <v>0</v>
      </c>
      <c r="CN169" s="44">
        <v>0</v>
      </c>
      <c r="CO169" s="44">
        <v>0</v>
      </c>
      <c r="CP169" s="44">
        <v>0</v>
      </c>
      <c r="CQ169" s="44">
        <v>0</v>
      </c>
      <c r="CR169" s="44">
        <v>0</v>
      </c>
      <c r="CV169" s="44">
        <v>0</v>
      </c>
      <c r="CW169" s="44">
        <v>0</v>
      </c>
    </row>
    <row r="170" s="44" customFormat="1" customHeight="1" spans="1:101">
      <c r="A170" s="45">
        <v>5020</v>
      </c>
      <c r="B170" s="79" t="s">
        <v>312</v>
      </c>
      <c r="O170" s="91"/>
      <c r="P170" s="77"/>
      <c r="Q170" s="77"/>
      <c r="R170" s="77"/>
      <c r="S170" s="64"/>
      <c r="T170" s="64"/>
      <c r="U170" s="64"/>
      <c r="V170" s="64"/>
      <c r="W170" s="63"/>
      <c r="X170" s="63"/>
      <c r="Y170" s="63"/>
      <c r="Z170" s="63"/>
      <c r="AA170" s="78"/>
      <c r="AB170" s="78"/>
      <c r="AC170" s="78"/>
      <c r="AD170" s="78"/>
      <c r="AE170" s="48"/>
      <c r="AU170" s="62"/>
      <c r="BK170" s="62"/>
      <c r="CA170" s="44">
        <f t="shared" si="13"/>
        <v>0</v>
      </c>
      <c r="CB170" s="44">
        <v>0</v>
      </c>
      <c r="CC170" s="44">
        <v>0</v>
      </c>
      <c r="CD170" s="44">
        <v>0</v>
      </c>
      <c r="CE170" s="44">
        <v>0</v>
      </c>
      <c r="CF170" s="114">
        <v>0</v>
      </c>
      <c r="CG170" s="44">
        <v>0</v>
      </c>
      <c r="CH170" s="44">
        <f>IF(RIGHT(B170,1)="0",1,0)</f>
        <v>0</v>
      </c>
      <c r="CI170" s="44">
        <v>1</v>
      </c>
      <c r="CJ170" s="44">
        <v>0</v>
      </c>
      <c r="CK170" s="44">
        <v>0</v>
      </c>
      <c r="CL170" s="44">
        <v>0</v>
      </c>
      <c r="CM170" s="44">
        <v>0</v>
      </c>
      <c r="CN170" s="44">
        <v>0</v>
      </c>
      <c r="CO170" s="44">
        <v>0</v>
      </c>
      <c r="CP170" s="44">
        <v>0</v>
      </c>
      <c r="CQ170" s="44">
        <v>0</v>
      </c>
      <c r="CR170" s="44">
        <v>0</v>
      </c>
      <c r="CV170" s="44">
        <v>0</v>
      </c>
      <c r="CW170" s="44">
        <v>0</v>
      </c>
    </row>
    <row r="171" s="44" customFormat="1" customHeight="1" spans="1:101">
      <c r="A171" s="45">
        <v>5030</v>
      </c>
      <c r="B171" s="79" t="s">
        <v>313</v>
      </c>
      <c r="O171" s="91"/>
      <c r="P171" s="77"/>
      <c r="Q171" s="77"/>
      <c r="R171" s="77"/>
      <c r="S171" s="64"/>
      <c r="T171" s="64"/>
      <c r="U171" s="64"/>
      <c r="V171" s="64"/>
      <c r="W171" s="63"/>
      <c r="X171" s="63"/>
      <c r="Y171" s="63"/>
      <c r="Z171" s="63"/>
      <c r="AA171" s="78"/>
      <c r="AB171" s="78"/>
      <c r="AC171" s="78"/>
      <c r="AD171" s="78"/>
      <c r="AE171" s="48"/>
      <c r="AU171" s="62"/>
      <c r="BK171" s="62"/>
      <c r="CA171" s="44">
        <f t="shared" si="13"/>
        <v>0</v>
      </c>
      <c r="CB171" s="44">
        <v>0</v>
      </c>
      <c r="CC171" s="44">
        <v>0</v>
      </c>
      <c r="CD171" s="44">
        <v>0</v>
      </c>
      <c r="CE171" s="44">
        <v>0</v>
      </c>
      <c r="CF171" s="114">
        <v>0</v>
      </c>
      <c r="CG171" s="44">
        <v>0</v>
      </c>
      <c r="CH171" s="44">
        <f t="shared" ref="CH171:CH177" si="14">IF(RIGHT(B171,1)="0",1,0)</f>
        <v>0</v>
      </c>
      <c r="CI171" s="44">
        <v>1</v>
      </c>
      <c r="CJ171" s="44">
        <v>0</v>
      </c>
      <c r="CK171" s="44">
        <v>0</v>
      </c>
      <c r="CL171" s="44">
        <v>0</v>
      </c>
      <c r="CM171" s="44">
        <v>0</v>
      </c>
      <c r="CN171" s="44">
        <v>0</v>
      </c>
      <c r="CO171" s="44">
        <v>0</v>
      </c>
      <c r="CP171" s="44">
        <v>0</v>
      </c>
      <c r="CQ171" s="44">
        <v>0</v>
      </c>
      <c r="CR171" s="44">
        <v>0</v>
      </c>
      <c r="CV171" s="44">
        <v>0</v>
      </c>
      <c r="CW171" s="44">
        <v>0</v>
      </c>
    </row>
    <row r="172" s="44" customFormat="1" customHeight="1" spans="1:101">
      <c r="A172" s="45">
        <v>5040</v>
      </c>
      <c r="B172" s="79" t="s">
        <v>314</v>
      </c>
      <c r="O172" s="91"/>
      <c r="P172" s="77"/>
      <c r="Q172" s="77"/>
      <c r="R172" s="77"/>
      <c r="S172" s="64"/>
      <c r="T172" s="64"/>
      <c r="U172" s="64"/>
      <c r="V172" s="64"/>
      <c r="W172" s="63"/>
      <c r="X172" s="63"/>
      <c r="Y172" s="63"/>
      <c r="Z172" s="63"/>
      <c r="AA172" s="78"/>
      <c r="AB172" s="78"/>
      <c r="AC172" s="78"/>
      <c r="AD172" s="78"/>
      <c r="AE172" s="48"/>
      <c r="AU172" s="62"/>
      <c r="BK172" s="62"/>
      <c r="CA172" s="44">
        <f t="shared" si="13"/>
        <v>0</v>
      </c>
      <c r="CB172" s="44">
        <v>1000</v>
      </c>
      <c r="CC172" s="44">
        <v>0</v>
      </c>
      <c r="CD172" s="44">
        <v>0</v>
      </c>
      <c r="CE172" s="44">
        <v>0</v>
      </c>
      <c r="CF172" s="114">
        <v>0</v>
      </c>
      <c r="CG172" s="44">
        <v>0</v>
      </c>
      <c r="CH172" s="44">
        <f t="shared" si="14"/>
        <v>0</v>
      </c>
      <c r="CI172" s="44">
        <v>1</v>
      </c>
      <c r="CJ172" s="44">
        <v>0</v>
      </c>
      <c r="CK172" s="44">
        <v>0</v>
      </c>
      <c r="CL172" s="44">
        <v>0</v>
      </c>
      <c r="CM172" s="44">
        <v>0</v>
      </c>
      <c r="CN172" s="44">
        <v>0</v>
      </c>
      <c r="CO172" s="44">
        <v>0</v>
      </c>
      <c r="CP172" s="44">
        <v>0</v>
      </c>
      <c r="CQ172" s="44">
        <v>0</v>
      </c>
      <c r="CR172" s="44">
        <v>0</v>
      </c>
      <c r="CV172" s="44">
        <v>0</v>
      </c>
      <c r="CW172" s="44">
        <v>0</v>
      </c>
    </row>
    <row r="173" s="48" customFormat="1" customHeight="1" spans="1:101">
      <c r="A173" s="95">
        <v>5050</v>
      </c>
      <c r="B173" s="80" t="s">
        <v>315</v>
      </c>
      <c r="O173" s="48">
        <v>2021</v>
      </c>
      <c r="P173" s="48">
        <v>1</v>
      </c>
      <c r="Q173" s="48">
        <v>0</v>
      </c>
      <c r="R173" s="48">
        <v>0</v>
      </c>
      <c r="CA173" s="48">
        <f t="shared" si="13"/>
        <v>0</v>
      </c>
      <c r="CB173" s="48">
        <v>1000</v>
      </c>
      <c r="CC173" s="48">
        <v>0</v>
      </c>
      <c r="CD173" s="48">
        <v>0</v>
      </c>
      <c r="CE173" s="48">
        <v>0</v>
      </c>
      <c r="CF173" s="115">
        <v>0</v>
      </c>
      <c r="CG173" s="48">
        <v>0</v>
      </c>
      <c r="CH173" s="48">
        <f t="shared" si="14"/>
        <v>0</v>
      </c>
      <c r="CI173" s="48">
        <v>1</v>
      </c>
      <c r="CJ173" s="48">
        <v>0</v>
      </c>
      <c r="CK173" s="48">
        <v>0</v>
      </c>
      <c r="CL173" s="48">
        <v>0</v>
      </c>
      <c r="CM173" s="48">
        <v>0</v>
      </c>
      <c r="CN173" s="48">
        <v>0</v>
      </c>
      <c r="CO173" s="48">
        <v>0</v>
      </c>
      <c r="CP173" s="48">
        <v>0</v>
      </c>
      <c r="CQ173" s="48">
        <v>0</v>
      </c>
      <c r="CR173" s="48">
        <v>0</v>
      </c>
      <c r="CV173" s="48">
        <v>0</v>
      </c>
      <c r="CW173" s="48">
        <v>0</v>
      </c>
    </row>
    <row r="174" s="44" customFormat="1" customHeight="1" spans="1:101">
      <c r="A174" s="45">
        <v>5060</v>
      </c>
      <c r="B174" s="79" t="s">
        <v>316</v>
      </c>
      <c r="O174" s="77"/>
      <c r="P174" s="77"/>
      <c r="Q174" s="77"/>
      <c r="R174" s="77"/>
      <c r="S174" s="64"/>
      <c r="T174" s="64"/>
      <c r="U174" s="64"/>
      <c r="V174" s="64"/>
      <c r="W174" s="63"/>
      <c r="X174" s="63"/>
      <c r="Y174" s="63"/>
      <c r="Z174" s="63"/>
      <c r="AA174" s="78"/>
      <c r="AB174" s="78"/>
      <c r="AC174" s="78"/>
      <c r="AD174" s="78"/>
      <c r="AE174" s="48"/>
      <c r="AU174" s="62"/>
      <c r="BK174" s="62"/>
      <c r="CA174" s="44">
        <f t="shared" si="13"/>
        <v>0</v>
      </c>
      <c r="CB174" s="44">
        <v>1000</v>
      </c>
      <c r="CC174" s="44">
        <v>0</v>
      </c>
      <c r="CD174" s="44">
        <v>0</v>
      </c>
      <c r="CE174" s="44">
        <v>0</v>
      </c>
      <c r="CF174" s="114">
        <v>0</v>
      </c>
      <c r="CG174" s="44">
        <v>0</v>
      </c>
      <c r="CH174" s="44">
        <f t="shared" si="14"/>
        <v>0</v>
      </c>
      <c r="CI174" s="44">
        <v>1</v>
      </c>
      <c r="CJ174" s="44">
        <v>0</v>
      </c>
      <c r="CK174" s="44">
        <v>0</v>
      </c>
      <c r="CL174" s="44">
        <v>0</v>
      </c>
      <c r="CM174" s="44">
        <v>0</v>
      </c>
      <c r="CN174" s="44">
        <v>0</v>
      </c>
      <c r="CO174" s="44">
        <v>0</v>
      </c>
      <c r="CP174" s="44">
        <v>0</v>
      </c>
      <c r="CQ174" s="44">
        <v>0</v>
      </c>
      <c r="CR174" s="44">
        <v>0</v>
      </c>
      <c r="CV174" s="44">
        <v>0</v>
      </c>
      <c r="CW174" s="44">
        <v>0</v>
      </c>
    </row>
    <row r="175" s="48" customFormat="1" customHeight="1" spans="1:102">
      <c r="A175" s="95">
        <v>5070</v>
      </c>
      <c r="B175" s="80" t="s">
        <v>317</v>
      </c>
      <c r="H175" s="50" t="s">
        <v>318</v>
      </c>
      <c r="I175" s="106">
        <v>30000</v>
      </c>
      <c r="J175" s="106">
        <v>20000</v>
      </c>
      <c r="K175" s="106">
        <v>200</v>
      </c>
      <c r="N175" s="44"/>
      <c r="O175" s="91">
        <v>0</v>
      </c>
      <c r="P175" s="77">
        <v>0</v>
      </c>
      <c r="Q175" s="77">
        <v>0</v>
      </c>
      <c r="R175" s="77">
        <v>0</v>
      </c>
      <c r="S175" s="64"/>
      <c r="T175" s="64"/>
      <c r="U175" s="64"/>
      <c r="V175" s="64"/>
      <c r="W175" s="63"/>
      <c r="X175" s="63"/>
      <c r="Y175" s="63"/>
      <c r="Z175" s="63"/>
      <c r="AA175" s="78"/>
      <c r="AB175" s="78"/>
      <c r="AC175" s="78"/>
      <c r="AD175" s="78"/>
      <c r="AE175" s="112">
        <v>200814</v>
      </c>
      <c r="AF175" s="112">
        <v>200815</v>
      </c>
      <c r="AG175" s="112">
        <v>200816</v>
      </c>
      <c r="AU175" s="62" t="s">
        <v>319</v>
      </c>
      <c r="AV175" s="48" t="s">
        <v>319</v>
      </c>
      <c r="AW175" s="48" t="s">
        <v>319</v>
      </c>
      <c r="BK175" s="62" t="s">
        <v>320</v>
      </c>
      <c r="BL175" s="48" t="s">
        <v>321</v>
      </c>
      <c r="BM175" s="48" t="s">
        <v>322</v>
      </c>
      <c r="CA175" s="48" t="s">
        <v>323</v>
      </c>
      <c r="CB175" s="48" t="s">
        <v>324</v>
      </c>
      <c r="CC175" s="48">
        <v>0</v>
      </c>
      <c r="CD175" s="48">
        <v>0</v>
      </c>
      <c r="CE175" s="48">
        <v>0</v>
      </c>
      <c r="CF175" s="48">
        <v>0</v>
      </c>
      <c r="CG175" s="48">
        <v>0</v>
      </c>
      <c r="CH175" s="48">
        <f t="shared" si="14"/>
        <v>0</v>
      </c>
      <c r="CI175" s="48">
        <v>1</v>
      </c>
      <c r="CJ175" s="48">
        <v>0</v>
      </c>
      <c r="CK175" s="48">
        <v>0</v>
      </c>
      <c r="CL175" s="48">
        <v>0</v>
      </c>
      <c r="CM175" s="48">
        <v>0</v>
      </c>
      <c r="CN175" s="48">
        <v>0</v>
      </c>
      <c r="CO175" s="48">
        <v>0</v>
      </c>
      <c r="CP175" s="48">
        <v>0</v>
      </c>
      <c r="CQ175" s="48">
        <v>0</v>
      </c>
      <c r="CR175" s="48">
        <v>0</v>
      </c>
      <c r="CV175" s="48">
        <v>0</v>
      </c>
      <c r="CW175" s="48">
        <v>0</v>
      </c>
      <c r="CX175" s="115"/>
    </row>
    <row r="176" s="48" customFormat="1" customHeight="1" spans="1:102">
      <c r="A176" s="95">
        <v>5071</v>
      </c>
      <c r="B176" s="80" t="s">
        <v>325</v>
      </c>
      <c r="H176" s="50" t="s">
        <v>326</v>
      </c>
      <c r="K176" s="106" t="s">
        <v>327</v>
      </c>
      <c r="N176" s="44"/>
      <c r="O176" s="91"/>
      <c r="P176" s="77"/>
      <c r="Q176" s="77"/>
      <c r="R176" s="77"/>
      <c r="S176" s="64"/>
      <c r="T176" s="64"/>
      <c r="U176" s="64"/>
      <c r="V176" s="64"/>
      <c r="W176" s="63"/>
      <c r="X176" s="63"/>
      <c r="Y176" s="63"/>
      <c r="Z176" s="63"/>
      <c r="AA176" s="78"/>
      <c r="AB176" s="78"/>
      <c r="AC176" s="78"/>
      <c r="AD176" s="78"/>
      <c r="AU176" s="62"/>
      <c r="BK176" s="62"/>
      <c r="CA176" s="48">
        <f t="shared" si="13"/>
        <v>0</v>
      </c>
      <c r="CB176" s="48">
        <v>800</v>
      </c>
      <c r="CC176" s="48">
        <v>0</v>
      </c>
      <c r="CD176" s="48">
        <v>0</v>
      </c>
      <c r="CE176" s="48">
        <v>0</v>
      </c>
      <c r="CF176" s="48">
        <v>0</v>
      </c>
      <c r="CG176" s="48">
        <v>0</v>
      </c>
      <c r="CH176" s="48">
        <f t="shared" si="14"/>
        <v>0</v>
      </c>
      <c r="CI176" s="48">
        <v>1</v>
      </c>
      <c r="CJ176" s="48">
        <v>0</v>
      </c>
      <c r="CK176" s="48">
        <v>0</v>
      </c>
      <c r="CL176" s="48">
        <v>0</v>
      </c>
      <c r="CM176" s="48">
        <v>0</v>
      </c>
      <c r="CN176" s="48">
        <v>0</v>
      </c>
      <c r="CO176" s="48">
        <v>0</v>
      </c>
      <c r="CP176" s="48">
        <v>0</v>
      </c>
      <c r="CQ176" s="48">
        <v>0</v>
      </c>
      <c r="CR176" s="48">
        <v>0</v>
      </c>
      <c r="CV176" s="48">
        <v>0</v>
      </c>
      <c r="CW176" s="48">
        <v>0</v>
      </c>
      <c r="CX176" s="115"/>
    </row>
    <row r="177" s="48" customFormat="1" customHeight="1" spans="1:102">
      <c r="A177" s="95">
        <v>5072</v>
      </c>
      <c r="B177" s="80" t="s">
        <v>328</v>
      </c>
      <c r="H177" s="44"/>
      <c r="K177" s="106"/>
      <c r="N177" s="44"/>
      <c r="O177" s="91">
        <v>200871</v>
      </c>
      <c r="P177" s="77">
        <v>1</v>
      </c>
      <c r="Q177" s="77">
        <v>0</v>
      </c>
      <c r="R177" s="77">
        <v>0</v>
      </c>
      <c r="S177" s="64">
        <v>201101</v>
      </c>
      <c r="T177" s="64">
        <v>1</v>
      </c>
      <c r="U177" s="64">
        <v>0</v>
      </c>
      <c r="V177" s="64">
        <v>0</v>
      </c>
      <c r="W177" s="109">
        <v>230036</v>
      </c>
      <c r="X177" s="109" t="s">
        <v>319</v>
      </c>
      <c r="Y177" s="109" t="s">
        <v>329</v>
      </c>
      <c r="Z177" s="109" t="s">
        <v>329</v>
      </c>
      <c r="AA177" s="78"/>
      <c r="AB177" s="78"/>
      <c r="AC177" s="78"/>
      <c r="AD177" s="78"/>
      <c r="AE177" s="48">
        <v>200872</v>
      </c>
      <c r="AF177" s="49">
        <v>200207</v>
      </c>
      <c r="AG177" s="49">
        <v>200208</v>
      </c>
      <c r="AH177" s="49">
        <v>200101</v>
      </c>
      <c r="AI177" s="49">
        <v>200102</v>
      </c>
      <c r="AJ177" s="49">
        <v>200105</v>
      </c>
      <c r="AU177" s="62">
        <v>1</v>
      </c>
      <c r="AV177" s="48">
        <v>1</v>
      </c>
      <c r="AW177" s="48">
        <v>1</v>
      </c>
      <c r="AX177" s="48">
        <v>1</v>
      </c>
      <c r="AY177" s="48">
        <v>1</v>
      </c>
      <c r="AZ177" s="48">
        <v>1</v>
      </c>
      <c r="BK177" s="62">
        <v>100</v>
      </c>
      <c r="BL177" s="48">
        <v>100</v>
      </c>
      <c r="BM177" s="48">
        <v>100</v>
      </c>
      <c r="BN177" s="48">
        <v>100</v>
      </c>
      <c r="BO177" s="48">
        <v>100</v>
      </c>
      <c r="BP177" s="48">
        <v>100</v>
      </c>
      <c r="CA177" s="48">
        <f t="shared" si="13"/>
        <v>600</v>
      </c>
      <c r="CB177" s="48">
        <v>600</v>
      </c>
      <c r="CC177" s="48">
        <v>0</v>
      </c>
      <c r="CD177" s="48">
        <v>0</v>
      </c>
      <c r="CE177" s="48">
        <v>0</v>
      </c>
      <c r="CF177" s="48">
        <v>0</v>
      </c>
      <c r="CG177" s="48">
        <v>0</v>
      </c>
      <c r="CH177" s="48">
        <f t="shared" si="14"/>
        <v>0</v>
      </c>
      <c r="CI177" s="48">
        <v>1</v>
      </c>
      <c r="CJ177" s="48">
        <v>0</v>
      </c>
      <c r="CK177" s="48">
        <v>0</v>
      </c>
      <c r="CL177" s="48">
        <v>0</v>
      </c>
      <c r="CM177" s="48">
        <v>0</v>
      </c>
      <c r="CN177" s="48">
        <v>0</v>
      </c>
      <c r="CO177" s="48">
        <v>0</v>
      </c>
      <c r="CP177" s="48">
        <v>0</v>
      </c>
      <c r="CQ177" s="48">
        <v>0</v>
      </c>
      <c r="CR177" s="48">
        <v>0</v>
      </c>
      <c r="CV177" s="48">
        <v>0</v>
      </c>
      <c r="CW177" s="48">
        <v>0</v>
      </c>
      <c r="CX177" s="115"/>
    </row>
    <row r="178" s="44" customFormat="1" customHeight="1" spans="1:102">
      <c r="A178" s="45">
        <v>5080</v>
      </c>
      <c r="B178" s="79" t="s">
        <v>330</v>
      </c>
      <c r="O178" s="91"/>
      <c r="P178" s="77"/>
      <c r="Q178" s="77"/>
      <c r="R178" s="77"/>
      <c r="S178" s="64"/>
      <c r="T178" s="64"/>
      <c r="U178" s="64"/>
      <c r="V178" s="64"/>
      <c r="W178" s="63"/>
      <c r="X178" s="63"/>
      <c r="Y178" s="63"/>
      <c r="Z178" s="63"/>
      <c r="AA178" s="78"/>
      <c r="AB178" s="78"/>
      <c r="AC178" s="78"/>
      <c r="AD178" s="78"/>
      <c r="AE178" s="48"/>
      <c r="AU178" s="62"/>
      <c r="BK178" s="62"/>
      <c r="CA178" s="44">
        <f t="shared" ref="CA178:CA193" si="15">SUM(BK178:BZ178)</f>
        <v>0</v>
      </c>
      <c r="CB178" s="44">
        <v>100000</v>
      </c>
      <c r="CC178" s="44">
        <v>0</v>
      </c>
      <c r="CD178" s="44">
        <v>0</v>
      </c>
      <c r="CE178" s="44">
        <v>0</v>
      </c>
      <c r="CF178" s="44">
        <v>0</v>
      </c>
      <c r="CG178" s="44">
        <v>0</v>
      </c>
      <c r="CH178" s="44">
        <f t="shared" ref="CH178:CH211" si="16">IF(RIGHT(B178,1)="0",1,0)</f>
        <v>1</v>
      </c>
      <c r="CI178" s="44">
        <v>1</v>
      </c>
      <c r="CJ178" s="44">
        <v>0</v>
      </c>
      <c r="CK178" s="44">
        <v>0</v>
      </c>
      <c r="CL178" s="44">
        <v>0</v>
      </c>
      <c r="CM178" s="44">
        <v>0</v>
      </c>
      <c r="CN178" s="44">
        <v>0</v>
      </c>
      <c r="CO178" s="44">
        <v>0</v>
      </c>
      <c r="CP178" s="44">
        <v>0</v>
      </c>
      <c r="CQ178" s="44">
        <v>0</v>
      </c>
      <c r="CR178" s="44">
        <v>0</v>
      </c>
      <c r="CV178" s="44">
        <v>0</v>
      </c>
      <c r="CW178" s="44">
        <v>0</v>
      </c>
      <c r="CX178" s="114">
        <v>166123</v>
      </c>
    </row>
    <row r="179" s="44" customFormat="1" customHeight="1" spans="1:102">
      <c r="A179" s="45">
        <v>5090</v>
      </c>
      <c r="B179" s="79" t="s">
        <v>330</v>
      </c>
      <c r="O179" s="91"/>
      <c r="P179" s="77"/>
      <c r="Q179" s="77"/>
      <c r="R179" s="77"/>
      <c r="S179" s="64"/>
      <c r="T179" s="64"/>
      <c r="U179" s="64"/>
      <c r="V179" s="64"/>
      <c r="W179" s="63"/>
      <c r="X179" s="63"/>
      <c r="Y179" s="63"/>
      <c r="Z179" s="63"/>
      <c r="AA179" s="78"/>
      <c r="AB179" s="78"/>
      <c r="AC179" s="78"/>
      <c r="AD179" s="78"/>
      <c r="AE179" s="48"/>
      <c r="AU179" s="62"/>
      <c r="BK179" s="62"/>
      <c r="CA179" s="44">
        <f t="shared" si="15"/>
        <v>0</v>
      </c>
      <c r="CB179" s="44">
        <v>100000</v>
      </c>
      <c r="CC179" s="44">
        <v>0</v>
      </c>
      <c r="CD179" s="44">
        <v>0</v>
      </c>
      <c r="CE179" s="44">
        <v>0</v>
      </c>
      <c r="CF179" s="44">
        <v>0</v>
      </c>
      <c r="CG179" s="44">
        <v>0</v>
      </c>
      <c r="CH179" s="44">
        <f t="shared" si="16"/>
        <v>1</v>
      </c>
      <c r="CI179" s="44">
        <v>1</v>
      </c>
      <c r="CJ179" s="44">
        <v>0</v>
      </c>
      <c r="CK179" s="44">
        <v>0</v>
      </c>
      <c r="CL179" s="44">
        <v>0</v>
      </c>
      <c r="CM179" s="44">
        <v>0</v>
      </c>
      <c r="CN179" s="44">
        <v>0</v>
      </c>
      <c r="CO179" s="44">
        <v>0</v>
      </c>
      <c r="CP179" s="44">
        <v>0</v>
      </c>
      <c r="CQ179" s="44">
        <v>0</v>
      </c>
      <c r="CR179" s="44">
        <v>0</v>
      </c>
      <c r="CV179" s="44">
        <v>0</v>
      </c>
      <c r="CW179" s="44">
        <v>0</v>
      </c>
      <c r="CX179" s="114">
        <v>166123</v>
      </c>
    </row>
    <row r="180" s="44" customFormat="1" customHeight="1" spans="1:102">
      <c r="A180" s="45">
        <v>5100</v>
      </c>
      <c r="B180" s="79" t="s">
        <v>331</v>
      </c>
      <c r="O180" s="91"/>
      <c r="P180" s="77"/>
      <c r="Q180" s="77"/>
      <c r="R180" s="77"/>
      <c r="S180" s="64"/>
      <c r="T180" s="64"/>
      <c r="U180" s="64"/>
      <c r="V180" s="64"/>
      <c r="W180" s="63"/>
      <c r="X180" s="63"/>
      <c r="Y180" s="63"/>
      <c r="Z180" s="63"/>
      <c r="AA180" s="78"/>
      <c r="AB180" s="78"/>
      <c r="AC180" s="78"/>
      <c r="AD180" s="78"/>
      <c r="AE180" s="48"/>
      <c r="AU180" s="62"/>
      <c r="BK180" s="62"/>
      <c r="CA180" s="44">
        <f t="shared" si="15"/>
        <v>0</v>
      </c>
      <c r="CB180" s="44">
        <v>100000</v>
      </c>
      <c r="CC180" s="44">
        <v>0</v>
      </c>
      <c r="CD180" s="44">
        <v>0</v>
      </c>
      <c r="CE180" s="44">
        <v>0</v>
      </c>
      <c r="CF180" s="44">
        <v>0</v>
      </c>
      <c r="CG180" s="44">
        <v>0</v>
      </c>
      <c r="CH180" s="44">
        <f t="shared" si="16"/>
        <v>1</v>
      </c>
      <c r="CI180" s="44">
        <v>1</v>
      </c>
      <c r="CJ180" s="44">
        <v>0</v>
      </c>
      <c r="CK180" s="44">
        <v>0</v>
      </c>
      <c r="CL180" s="44">
        <v>0</v>
      </c>
      <c r="CM180" s="44">
        <v>0</v>
      </c>
      <c r="CN180" s="44">
        <v>0</v>
      </c>
      <c r="CO180" s="44">
        <v>0</v>
      </c>
      <c r="CP180" s="44">
        <v>0</v>
      </c>
      <c r="CQ180" s="44">
        <v>0</v>
      </c>
      <c r="CR180" s="44">
        <v>0</v>
      </c>
      <c r="CV180" s="44">
        <v>0</v>
      </c>
      <c r="CW180" s="44">
        <v>0</v>
      </c>
      <c r="CX180" s="114">
        <v>166123</v>
      </c>
    </row>
    <row r="181" s="44" customFormat="1" customHeight="1" spans="1:102">
      <c r="A181" s="45">
        <v>5101</v>
      </c>
      <c r="B181" s="79" t="s">
        <v>332</v>
      </c>
      <c r="O181" s="77"/>
      <c r="P181" s="77"/>
      <c r="Q181" s="77"/>
      <c r="R181" s="77"/>
      <c r="S181" s="64"/>
      <c r="T181" s="64"/>
      <c r="U181" s="64"/>
      <c r="V181" s="64"/>
      <c r="W181" s="63"/>
      <c r="X181" s="63"/>
      <c r="Y181" s="63"/>
      <c r="Z181" s="63"/>
      <c r="AA181" s="78"/>
      <c r="AB181" s="78"/>
      <c r="AC181" s="78"/>
      <c r="AD181" s="78"/>
      <c r="AE181" s="48"/>
      <c r="AU181" s="62"/>
      <c r="BK181" s="62"/>
      <c r="CA181" s="44">
        <f t="shared" si="15"/>
        <v>0</v>
      </c>
      <c r="CB181" s="44">
        <v>100000</v>
      </c>
      <c r="CC181" s="44">
        <v>0</v>
      </c>
      <c r="CD181" s="44">
        <v>0</v>
      </c>
      <c r="CE181" s="44">
        <v>0</v>
      </c>
      <c r="CF181" s="44">
        <v>0</v>
      </c>
      <c r="CG181" s="44">
        <v>0</v>
      </c>
      <c r="CH181" s="44">
        <f t="shared" si="16"/>
        <v>0</v>
      </c>
      <c r="CI181" s="44">
        <v>1</v>
      </c>
      <c r="CJ181" s="44">
        <v>0</v>
      </c>
      <c r="CK181" s="44">
        <v>0</v>
      </c>
      <c r="CL181" s="44">
        <v>0</v>
      </c>
      <c r="CM181" s="44">
        <v>0</v>
      </c>
      <c r="CN181" s="44">
        <v>0</v>
      </c>
      <c r="CO181" s="44">
        <v>0</v>
      </c>
      <c r="CP181" s="44">
        <v>0</v>
      </c>
      <c r="CQ181" s="44">
        <v>0</v>
      </c>
      <c r="CR181" s="44">
        <v>0</v>
      </c>
      <c r="CV181" s="44">
        <v>0</v>
      </c>
      <c r="CW181" s="44">
        <v>0</v>
      </c>
      <c r="CX181" s="114"/>
    </row>
    <row r="182" s="44" customFormat="1" customHeight="1" spans="1:101">
      <c r="A182" s="45">
        <v>5110</v>
      </c>
      <c r="B182" s="79" t="s">
        <v>333</v>
      </c>
      <c r="O182" s="77"/>
      <c r="P182" s="77"/>
      <c r="Q182" s="77"/>
      <c r="R182" s="77"/>
      <c r="S182" s="64"/>
      <c r="T182" s="64"/>
      <c r="U182" s="64"/>
      <c r="V182" s="64"/>
      <c r="W182" s="63"/>
      <c r="X182" s="63"/>
      <c r="Y182" s="63"/>
      <c r="Z182" s="63"/>
      <c r="AA182" s="78"/>
      <c r="AB182" s="78"/>
      <c r="AC182" s="78"/>
      <c r="AD182" s="78"/>
      <c r="AE182" s="48"/>
      <c r="AU182" s="62"/>
      <c r="BK182" s="62"/>
      <c r="CA182" s="44">
        <f t="shared" si="15"/>
        <v>0</v>
      </c>
      <c r="CB182" s="44">
        <v>100000</v>
      </c>
      <c r="CC182" s="44">
        <v>0</v>
      </c>
      <c r="CD182" s="44">
        <v>0</v>
      </c>
      <c r="CE182" s="44">
        <v>0</v>
      </c>
      <c r="CF182" s="114">
        <v>0</v>
      </c>
      <c r="CG182" s="44">
        <v>0</v>
      </c>
      <c r="CH182" s="44">
        <f t="shared" si="16"/>
        <v>0</v>
      </c>
      <c r="CI182" s="44">
        <v>1</v>
      </c>
      <c r="CJ182" s="44">
        <v>1</v>
      </c>
      <c r="CK182" s="44">
        <v>0</v>
      </c>
      <c r="CL182" s="44">
        <v>0</v>
      </c>
      <c r="CM182" s="44">
        <v>0</v>
      </c>
      <c r="CN182" s="44">
        <v>0</v>
      </c>
      <c r="CO182" s="44">
        <v>0</v>
      </c>
      <c r="CP182" s="44">
        <v>0</v>
      </c>
      <c r="CQ182" s="44">
        <v>0</v>
      </c>
      <c r="CR182" s="44">
        <v>0</v>
      </c>
      <c r="CV182" s="44">
        <v>0</v>
      </c>
      <c r="CW182" s="44">
        <v>0</v>
      </c>
    </row>
    <row r="183" s="44" customFormat="1" customHeight="1" spans="1:101">
      <c r="A183" s="45">
        <v>5120</v>
      </c>
      <c r="B183" s="79" t="s">
        <v>334</v>
      </c>
      <c r="O183" s="91"/>
      <c r="P183" s="77"/>
      <c r="Q183" s="77"/>
      <c r="R183" s="77"/>
      <c r="S183" s="64"/>
      <c r="T183" s="64"/>
      <c r="U183" s="64"/>
      <c r="V183" s="64"/>
      <c r="W183" s="63"/>
      <c r="X183" s="63"/>
      <c r="Y183" s="63"/>
      <c r="Z183" s="63"/>
      <c r="AA183" s="78"/>
      <c r="AB183" s="78"/>
      <c r="AC183" s="78"/>
      <c r="AD183" s="78"/>
      <c r="AE183" s="48"/>
      <c r="AU183" s="62"/>
      <c r="BK183" s="62"/>
      <c r="CA183" s="44">
        <f t="shared" si="15"/>
        <v>0</v>
      </c>
      <c r="CB183" s="44">
        <v>100000</v>
      </c>
      <c r="CC183" s="44">
        <v>0</v>
      </c>
      <c r="CD183" s="44">
        <v>0</v>
      </c>
      <c r="CE183" s="44">
        <v>0</v>
      </c>
      <c r="CF183" s="114">
        <v>0</v>
      </c>
      <c r="CG183" s="44">
        <v>0</v>
      </c>
      <c r="CH183" s="44">
        <f t="shared" si="16"/>
        <v>0</v>
      </c>
      <c r="CI183" s="44">
        <v>1</v>
      </c>
      <c r="CJ183" s="44">
        <v>1</v>
      </c>
      <c r="CK183" s="44">
        <v>0</v>
      </c>
      <c r="CL183" s="44">
        <v>0</v>
      </c>
      <c r="CM183" s="44">
        <v>0</v>
      </c>
      <c r="CN183" s="44">
        <v>0</v>
      </c>
      <c r="CO183" s="44">
        <v>0</v>
      </c>
      <c r="CP183" s="44">
        <v>0</v>
      </c>
      <c r="CQ183" s="44">
        <v>0</v>
      </c>
      <c r="CR183" s="44">
        <v>0</v>
      </c>
      <c r="CV183" s="44">
        <v>0</v>
      </c>
      <c r="CW183" s="44">
        <v>0</v>
      </c>
    </row>
    <row r="184" s="44" customFormat="1" customHeight="1" spans="1:101">
      <c r="A184" s="45">
        <v>5130</v>
      </c>
      <c r="B184" s="79" t="s">
        <v>335</v>
      </c>
      <c r="O184" s="91"/>
      <c r="P184" s="77"/>
      <c r="Q184" s="77"/>
      <c r="R184" s="77"/>
      <c r="S184" s="64"/>
      <c r="T184" s="64"/>
      <c r="U184" s="64"/>
      <c r="V184" s="64"/>
      <c r="W184" s="63"/>
      <c r="X184" s="63"/>
      <c r="Y184" s="63"/>
      <c r="Z184" s="63"/>
      <c r="AA184" s="78"/>
      <c r="AB184" s="78"/>
      <c r="AC184" s="78"/>
      <c r="AD184" s="78"/>
      <c r="AE184" s="48"/>
      <c r="AU184" s="62"/>
      <c r="BK184" s="62"/>
      <c r="CA184" s="44">
        <f t="shared" si="15"/>
        <v>0</v>
      </c>
      <c r="CB184" s="44">
        <v>100000</v>
      </c>
      <c r="CC184" s="44">
        <v>0</v>
      </c>
      <c r="CD184" s="44">
        <v>0</v>
      </c>
      <c r="CE184" s="44">
        <v>0</v>
      </c>
      <c r="CF184" s="114">
        <v>0</v>
      </c>
      <c r="CG184" s="44">
        <v>0</v>
      </c>
      <c r="CH184" s="44">
        <f t="shared" si="16"/>
        <v>0</v>
      </c>
      <c r="CI184" s="44">
        <v>1</v>
      </c>
      <c r="CJ184" s="44">
        <v>1</v>
      </c>
      <c r="CK184" s="44">
        <v>0</v>
      </c>
      <c r="CL184" s="44">
        <v>0</v>
      </c>
      <c r="CM184" s="44">
        <v>0</v>
      </c>
      <c r="CN184" s="44">
        <v>0</v>
      </c>
      <c r="CO184" s="44">
        <v>0</v>
      </c>
      <c r="CP184" s="44">
        <v>0</v>
      </c>
      <c r="CQ184" s="44">
        <v>0</v>
      </c>
      <c r="CR184" s="44">
        <v>0</v>
      </c>
      <c r="CV184" s="44">
        <v>0</v>
      </c>
      <c r="CW184" s="44">
        <v>0</v>
      </c>
    </row>
    <row r="185" s="44" customFormat="1" customHeight="1" spans="1:101">
      <c r="A185" s="45">
        <v>5140</v>
      </c>
      <c r="B185" s="79" t="s">
        <v>336</v>
      </c>
      <c r="O185" s="91"/>
      <c r="P185" s="77"/>
      <c r="Q185" s="77"/>
      <c r="R185" s="77"/>
      <c r="S185" s="64"/>
      <c r="T185" s="64"/>
      <c r="U185" s="64"/>
      <c r="V185" s="64"/>
      <c r="W185" s="63"/>
      <c r="X185" s="63"/>
      <c r="Y185" s="63"/>
      <c r="Z185" s="63"/>
      <c r="AA185" s="78"/>
      <c r="AB185" s="78"/>
      <c r="AC185" s="78"/>
      <c r="AD185" s="78"/>
      <c r="AE185" s="48"/>
      <c r="AU185" s="62"/>
      <c r="BK185" s="62"/>
      <c r="CA185" s="44">
        <f t="shared" si="15"/>
        <v>0</v>
      </c>
      <c r="CB185" s="44">
        <v>100000</v>
      </c>
      <c r="CC185" s="44">
        <v>0</v>
      </c>
      <c r="CD185" s="44">
        <v>0</v>
      </c>
      <c r="CE185" s="44">
        <v>0</v>
      </c>
      <c r="CF185" s="114">
        <v>0</v>
      </c>
      <c r="CG185" s="44">
        <v>0</v>
      </c>
      <c r="CH185" s="44">
        <f t="shared" si="16"/>
        <v>0</v>
      </c>
      <c r="CI185" s="44">
        <v>1</v>
      </c>
      <c r="CJ185" s="44">
        <v>1</v>
      </c>
      <c r="CK185" s="44">
        <v>0</v>
      </c>
      <c r="CL185" s="44">
        <v>0</v>
      </c>
      <c r="CM185" s="44">
        <v>0</v>
      </c>
      <c r="CN185" s="44">
        <v>0</v>
      </c>
      <c r="CO185" s="44">
        <v>0</v>
      </c>
      <c r="CP185" s="44">
        <v>0</v>
      </c>
      <c r="CQ185" s="44">
        <v>0</v>
      </c>
      <c r="CR185" s="44">
        <v>0</v>
      </c>
      <c r="CV185" s="44">
        <v>0</v>
      </c>
      <c r="CW185" s="44">
        <v>0</v>
      </c>
    </row>
    <row r="186" s="44" customFormat="1" customHeight="1" spans="1:101">
      <c r="A186" s="45">
        <v>5150</v>
      </c>
      <c r="B186" s="79" t="s">
        <v>337</v>
      </c>
      <c r="O186" s="77"/>
      <c r="P186" s="77"/>
      <c r="Q186" s="77"/>
      <c r="R186" s="77"/>
      <c r="S186" s="64"/>
      <c r="T186" s="64"/>
      <c r="U186" s="64"/>
      <c r="V186" s="64"/>
      <c r="W186" s="63"/>
      <c r="X186" s="63"/>
      <c r="Y186" s="63"/>
      <c r="Z186" s="63"/>
      <c r="AA186" s="78"/>
      <c r="AB186" s="78"/>
      <c r="AC186" s="78"/>
      <c r="AD186" s="78"/>
      <c r="AE186" s="48"/>
      <c r="AK186" s="44" t="s">
        <v>116</v>
      </c>
      <c r="AL186" s="44" t="s">
        <v>116</v>
      </c>
      <c r="AM186" s="44" t="s">
        <v>116</v>
      </c>
      <c r="AN186" s="44" t="s">
        <v>116</v>
      </c>
      <c r="AO186" s="44" t="s">
        <v>116</v>
      </c>
      <c r="AP186" s="44" t="s">
        <v>116</v>
      </c>
      <c r="AQ186" s="44" t="s">
        <v>116</v>
      </c>
      <c r="AR186" s="44" t="s">
        <v>116</v>
      </c>
      <c r="AS186" s="44" t="s">
        <v>116</v>
      </c>
      <c r="AT186" s="44" t="s">
        <v>116</v>
      </c>
      <c r="AU186" s="62"/>
      <c r="BA186" s="44" t="str">
        <f t="shared" ref="AU186:BJ186" si="17">IF(AK186="","",1)</f>
        <v/>
      </c>
      <c r="BB186" s="44" t="str">
        <f t="shared" si="17"/>
        <v/>
      </c>
      <c r="BC186" s="44" t="str">
        <f t="shared" si="17"/>
        <v/>
      </c>
      <c r="BD186" s="44" t="str">
        <f t="shared" si="17"/>
        <v/>
      </c>
      <c r="BE186" s="44" t="str">
        <f t="shared" si="17"/>
        <v/>
      </c>
      <c r="BF186" s="44" t="str">
        <f t="shared" si="17"/>
        <v/>
      </c>
      <c r="BG186" s="44" t="str">
        <f t="shared" si="17"/>
        <v/>
      </c>
      <c r="BH186" s="44" t="str">
        <f t="shared" si="17"/>
        <v/>
      </c>
      <c r="BI186" s="44" t="str">
        <f t="shared" si="17"/>
        <v/>
      </c>
      <c r="BJ186" s="44" t="str">
        <f t="shared" si="17"/>
        <v/>
      </c>
      <c r="BK186" s="62"/>
      <c r="CA186" s="44">
        <f t="shared" si="15"/>
        <v>0</v>
      </c>
      <c r="CB186" s="44">
        <v>1000</v>
      </c>
      <c r="CC186" s="44">
        <v>0</v>
      </c>
      <c r="CD186" s="44">
        <v>0</v>
      </c>
      <c r="CE186" s="44">
        <v>0</v>
      </c>
      <c r="CF186" s="114">
        <v>0</v>
      </c>
      <c r="CG186" s="44">
        <v>0</v>
      </c>
      <c r="CH186" s="44">
        <f t="shared" si="16"/>
        <v>1</v>
      </c>
      <c r="CI186" s="44">
        <v>1</v>
      </c>
      <c r="CJ186" s="44">
        <v>1</v>
      </c>
      <c r="CK186" s="44">
        <v>0</v>
      </c>
      <c r="CL186" s="44">
        <v>0</v>
      </c>
      <c r="CM186" s="44">
        <v>0</v>
      </c>
      <c r="CN186" s="44">
        <v>0</v>
      </c>
      <c r="CO186" s="44">
        <v>0</v>
      </c>
      <c r="CP186" s="44">
        <v>0</v>
      </c>
      <c r="CQ186" s="44">
        <v>0</v>
      </c>
      <c r="CR186" s="44">
        <v>0</v>
      </c>
      <c r="CS186" s="44">
        <v>1000</v>
      </c>
      <c r="CV186" s="44">
        <v>1</v>
      </c>
      <c r="CW186" s="44">
        <v>1</v>
      </c>
    </row>
    <row r="187" s="44" customFormat="1" customHeight="1" spans="1:101">
      <c r="A187" s="45">
        <v>5160</v>
      </c>
      <c r="B187" s="79" t="s">
        <v>338</v>
      </c>
      <c r="O187" s="77"/>
      <c r="P187" s="77"/>
      <c r="Q187" s="77"/>
      <c r="R187" s="77"/>
      <c r="S187" s="64"/>
      <c r="T187" s="64"/>
      <c r="U187" s="64"/>
      <c r="V187" s="64"/>
      <c r="W187" s="63"/>
      <c r="X187" s="63"/>
      <c r="Y187" s="63"/>
      <c r="Z187" s="63"/>
      <c r="AA187" s="78"/>
      <c r="AB187" s="78"/>
      <c r="AC187" s="78"/>
      <c r="AD187" s="78"/>
      <c r="AE187" s="48"/>
      <c r="AK187" s="44" t="s">
        <v>116</v>
      </c>
      <c r="AL187" s="44" t="s">
        <v>116</v>
      </c>
      <c r="AM187" s="44" t="s">
        <v>116</v>
      </c>
      <c r="AN187" s="44" t="s">
        <v>116</v>
      </c>
      <c r="AO187" s="44" t="s">
        <v>116</v>
      </c>
      <c r="AP187" s="44" t="s">
        <v>116</v>
      </c>
      <c r="AQ187" s="44" t="s">
        <v>116</v>
      </c>
      <c r="AR187" s="44" t="s">
        <v>116</v>
      </c>
      <c r="AS187" s="44" t="s">
        <v>116</v>
      </c>
      <c r="AT187" s="44" t="s">
        <v>116</v>
      </c>
      <c r="AU187" s="62"/>
      <c r="BA187" s="44" t="str">
        <f t="shared" ref="AU187:BJ187" si="18">IF(AK187="","",1)</f>
        <v/>
      </c>
      <c r="BB187" s="44" t="str">
        <f t="shared" si="18"/>
        <v/>
      </c>
      <c r="BC187" s="44" t="str">
        <f t="shared" si="18"/>
        <v/>
      </c>
      <c r="BD187" s="44" t="str">
        <f t="shared" si="18"/>
        <v/>
      </c>
      <c r="BE187" s="44" t="str">
        <f t="shared" si="18"/>
        <v/>
      </c>
      <c r="BF187" s="44" t="str">
        <f t="shared" si="18"/>
        <v/>
      </c>
      <c r="BG187" s="44" t="str">
        <f t="shared" si="18"/>
        <v/>
      </c>
      <c r="BH187" s="44" t="str">
        <f t="shared" si="18"/>
        <v/>
      </c>
      <c r="BI187" s="44" t="str">
        <f t="shared" si="18"/>
        <v/>
      </c>
      <c r="BJ187" s="44" t="str">
        <f t="shared" si="18"/>
        <v/>
      </c>
      <c r="BK187" s="62"/>
      <c r="CA187" s="44">
        <f t="shared" si="15"/>
        <v>0</v>
      </c>
      <c r="CB187" s="44">
        <v>1000</v>
      </c>
      <c r="CC187" s="44">
        <v>0</v>
      </c>
      <c r="CD187" s="44">
        <v>0</v>
      </c>
      <c r="CE187" s="44">
        <v>0</v>
      </c>
      <c r="CF187" s="114">
        <v>0</v>
      </c>
      <c r="CG187" s="44">
        <v>0</v>
      </c>
      <c r="CH187" s="44">
        <f t="shared" si="16"/>
        <v>1</v>
      </c>
      <c r="CI187" s="44">
        <v>1</v>
      </c>
      <c r="CJ187" s="44">
        <v>1</v>
      </c>
      <c r="CK187" s="44">
        <v>0</v>
      </c>
      <c r="CL187" s="44">
        <v>0</v>
      </c>
      <c r="CM187" s="44">
        <v>0</v>
      </c>
      <c r="CN187" s="44">
        <v>0</v>
      </c>
      <c r="CO187" s="44">
        <v>0</v>
      </c>
      <c r="CP187" s="44">
        <v>0</v>
      </c>
      <c r="CQ187" s="44">
        <v>0</v>
      </c>
      <c r="CR187" s="44">
        <v>0</v>
      </c>
      <c r="CS187" s="44">
        <v>1000</v>
      </c>
      <c r="CV187" s="44">
        <v>1</v>
      </c>
      <c r="CW187" s="44">
        <v>1</v>
      </c>
    </row>
    <row r="188" s="44" customFormat="1" customHeight="1" spans="1:101">
      <c r="A188" s="45">
        <v>5170</v>
      </c>
      <c r="B188" s="79" t="s">
        <v>339</v>
      </c>
      <c r="O188" s="77"/>
      <c r="P188" s="77"/>
      <c r="Q188" s="77"/>
      <c r="R188" s="77"/>
      <c r="S188" s="64"/>
      <c r="T188" s="64"/>
      <c r="U188" s="64"/>
      <c r="V188" s="64"/>
      <c r="W188" s="63"/>
      <c r="X188" s="63"/>
      <c r="Y188" s="63"/>
      <c r="Z188" s="63"/>
      <c r="AA188" s="78"/>
      <c r="AB188" s="78"/>
      <c r="AC188" s="78"/>
      <c r="AD188" s="78"/>
      <c r="AE188" s="48"/>
      <c r="AK188" s="44" t="s">
        <v>116</v>
      </c>
      <c r="AL188" s="44" t="s">
        <v>116</v>
      </c>
      <c r="AM188" s="44" t="s">
        <v>116</v>
      </c>
      <c r="AN188" s="44" t="s">
        <v>116</v>
      </c>
      <c r="AO188" s="44" t="s">
        <v>116</v>
      </c>
      <c r="AP188" s="44" t="s">
        <v>116</v>
      </c>
      <c r="AQ188" s="44" t="s">
        <v>116</v>
      </c>
      <c r="AR188" s="44" t="s">
        <v>116</v>
      </c>
      <c r="AS188" s="44" t="s">
        <v>116</v>
      </c>
      <c r="AT188" s="44" t="s">
        <v>116</v>
      </c>
      <c r="AU188" s="62"/>
      <c r="BA188" s="44" t="str">
        <f t="shared" ref="AU188:BJ188" si="19">IF(AK188="","",1)</f>
        <v/>
      </c>
      <c r="BB188" s="44" t="str">
        <f t="shared" si="19"/>
        <v/>
      </c>
      <c r="BC188" s="44" t="str">
        <f t="shared" si="19"/>
        <v/>
      </c>
      <c r="BD188" s="44" t="str">
        <f t="shared" si="19"/>
        <v/>
      </c>
      <c r="BE188" s="44" t="str">
        <f t="shared" si="19"/>
        <v/>
      </c>
      <c r="BF188" s="44" t="str">
        <f t="shared" si="19"/>
        <v/>
      </c>
      <c r="BG188" s="44" t="str">
        <f t="shared" si="19"/>
        <v/>
      </c>
      <c r="BH188" s="44" t="str">
        <f t="shared" si="19"/>
        <v/>
      </c>
      <c r="BI188" s="44" t="str">
        <f t="shared" si="19"/>
        <v/>
      </c>
      <c r="BJ188" s="44" t="str">
        <f t="shared" si="19"/>
        <v/>
      </c>
      <c r="BK188" s="62"/>
      <c r="CA188" s="44">
        <f t="shared" si="15"/>
        <v>0</v>
      </c>
      <c r="CB188" s="44">
        <v>1000</v>
      </c>
      <c r="CC188" s="44">
        <v>0</v>
      </c>
      <c r="CD188" s="44">
        <v>0</v>
      </c>
      <c r="CE188" s="44">
        <v>0</v>
      </c>
      <c r="CF188" s="114">
        <v>0</v>
      </c>
      <c r="CG188" s="44">
        <v>0</v>
      </c>
      <c r="CH188" s="44">
        <f t="shared" si="16"/>
        <v>1</v>
      </c>
      <c r="CI188" s="44">
        <v>1</v>
      </c>
      <c r="CJ188" s="44">
        <v>1</v>
      </c>
      <c r="CK188" s="44">
        <v>0</v>
      </c>
      <c r="CL188" s="44">
        <v>0</v>
      </c>
      <c r="CM188" s="44">
        <v>0</v>
      </c>
      <c r="CN188" s="44">
        <v>0</v>
      </c>
      <c r="CO188" s="44">
        <v>0</v>
      </c>
      <c r="CP188" s="44">
        <v>0</v>
      </c>
      <c r="CQ188" s="44">
        <v>0</v>
      </c>
      <c r="CR188" s="44">
        <v>0</v>
      </c>
      <c r="CS188" s="44">
        <v>1000</v>
      </c>
      <c r="CV188" s="44">
        <v>1</v>
      </c>
      <c r="CW188" s="44">
        <v>1</v>
      </c>
    </row>
    <row r="189" s="44" customFormat="1" customHeight="1" spans="1:101">
      <c r="A189" s="45">
        <v>5180</v>
      </c>
      <c r="B189" s="79" t="s">
        <v>340</v>
      </c>
      <c r="O189" s="77"/>
      <c r="P189" s="77"/>
      <c r="Q189" s="77"/>
      <c r="R189" s="77"/>
      <c r="S189" s="64"/>
      <c r="T189" s="64"/>
      <c r="U189" s="64"/>
      <c r="V189" s="64"/>
      <c r="W189" s="63"/>
      <c r="X189" s="63"/>
      <c r="Y189" s="63"/>
      <c r="Z189" s="63"/>
      <c r="AA189" s="78"/>
      <c r="AB189" s="78"/>
      <c r="AC189" s="78"/>
      <c r="AD189" s="78"/>
      <c r="AE189" s="48"/>
      <c r="AK189" s="44" t="s">
        <v>116</v>
      </c>
      <c r="AL189" s="44" t="s">
        <v>116</v>
      </c>
      <c r="AM189" s="44" t="s">
        <v>116</v>
      </c>
      <c r="AN189" s="44" t="s">
        <v>116</v>
      </c>
      <c r="AO189" s="44" t="s">
        <v>116</v>
      </c>
      <c r="AP189" s="44" t="s">
        <v>116</v>
      </c>
      <c r="AQ189" s="44" t="s">
        <v>116</v>
      </c>
      <c r="AR189" s="44" t="s">
        <v>116</v>
      </c>
      <c r="AS189" s="44" t="s">
        <v>116</v>
      </c>
      <c r="AT189" s="44" t="s">
        <v>116</v>
      </c>
      <c r="AU189" s="62"/>
      <c r="BA189" s="44" t="str">
        <f t="shared" ref="AU189:BJ189" si="20">IF(AK189="","",1)</f>
        <v/>
      </c>
      <c r="BB189" s="44" t="str">
        <f t="shared" si="20"/>
        <v/>
      </c>
      <c r="BC189" s="44" t="str">
        <f t="shared" si="20"/>
        <v/>
      </c>
      <c r="BD189" s="44" t="str">
        <f t="shared" si="20"/>
        <v/>
      </c>
      <c r="BE189" s="44" t="str">
        <f t="shared" si="20"/>
        <v/>
      </c>
      <c r="BF189" s="44" t="str">
        <f t="shared" si="20"/>
        <v/>
      </c>
      <c r="BG189" s="44" t="str">
        <f t="shared" si="20"/>
        <v/>
      </c>
      <c r="BH189" s="44" t="str">
        <f t="shared" si="20"/>
        <v/>
      </c>
      <c r="BI189" s="44" t="str">
        <f t="shared" si="20"/>
        <v/>
      </c>
      <c r="BJ189" s="44" t="str">
        <f t="shared" si="20"/>
        <v/>
      </c>
      <c r="BK189" s="62"/>
      <c r="CA189" s="44">
        <f t="shared" si="15"/>
        <v>0</v>
      </c>
      <c r="CB189" s="44">
        <v>1000</v>
      </c>
      <c r="CC189" s="44">
        <v>0</v>
      </c>
      <c r="CD189" s="44">
        <v>0</v>
      </c>
      <c r="CE189" s="44">
        <v>0</v>
      </c>
      <c r="CF189" s="114">
        <v>0</v>
      </c>
      <c r="CG189" s="44">
        <v>0</v>
      </c>
      <c r="CH189" s="44">
        <f t="shared" si="16"/>
        <v>1</v>
      </c>
      <c r="CI189" s="44">
        <v>1</v>
      </c>
      <c r="CJ189" s="44">
        <v>1</v>
      </c>
      <c r="CK189" s="44">
        <v>0</v>
      </c>
      <c r="CL189" s="44">
        <v>0</v>
      </c>
      <c r="CM189" s="44">
        <v>0</v>
      </c>
      <c r="CN189" s="44">
        <v>0</v>
      </c>
      <c r="CO189" s="44">
        <v>0</v>
      </c>
      <c r="CP189" s="44">
        <v>0</v>
      </c>
      <c r="CQ189" s="44">
        <v>0</v>
      </c>
      <c r="CR189" s="44">
        <v>0</v>
      </c>
      <c r="CS189" s="44">
        <v>1000</v>
      </c>
      <c r="CV189" s="44">
        <v>1</v>
      </c>
      <c r="CW189" s="44">
        <v>1</v>
      </c>
    </row>
    <row r="190" s="44" customFormat="1" customHeight="1" spans="1:101">
      <c r="A190" s="45">
        <v>5190</v>
      </c>
      <c r="B190" s="79" t="s">
        <v>341</v>
      </c>
      <c r="O190" s="77"/>
      <c r="P190" s="77"/>
      <c r="Q190" s="77"/>
      <c r="R190" s="77"/>
      <c r="S190" s="64"/>
      <c r="T190" s="64"/>
      <c r="U190" s="64"/>
      <c r="V190" s="64"/>
      <c r="W190" s="63"/>
      <c r="X190" s="63"/>
      <c r="Y190" s="63"/>
      <c r="Z190" s="63"/>
      <c r="AA190" s="78"/>
      <c r="AB190" s="78"/>
      <c r="AC190" s="78"/>
      <c r="AD190" s="78"/>
      <c r="AE190" s="48"/>
      <c r="AK190" s="44" t="s">
        <v>116</v>
      </c>
      <c r="AL190" s="44" t="s">
        <v>116</v>
      </c>
      <c r="AM190" s="44" t="s">
        <v>116</v>
      </c>
      <c r="AN190" s="44" t="s">
        <v>116</v>
      </c>
      <c r="AO190" s="44" t="s">
        <v>116</v>
      </c>
      <c r="AP190" s="44" t="s">
        <v>116</v>
      </c>
      <c r="AQ190" s="44" t="s">
        <v>116</v>
      </c>
      <c r="AR190" s="44" t="s">
        <v>116</v>
      </c>
      <c r="AS190" s="44" t="s">
        <v>116</v>
      </c>
      <c r="AT190" s="44" t="s">
        <v>116</v>
      </c>
      <c r="AU190" s="62"/>
      <c r="BA190" s="44" t="str">
        <f t="shared" ref="AU190:BJ190" si="21">IF(AK190="","",1)</f>
        <v/>
      </c>
      <c r="BB190" s="44" t="str">
        <f t="shared" si="21"/>
        <v/>
      </c>
      <c r="BC190" s="44" t="str">
        <f t="shared" si="21"/>
        <v/>
      </c>
      <c r="BD190" s="44" t="str">
        <f t="shared" si="21"/>
        <v/>
      </c>
      <c r="BE190" s="44" t="str">
        <f t="shared" si="21"/>
        <v/>
      </c>
      <c r="BF190" s="44" t="str">
        <f t="shared" si="21"/>
        <v/>
      </c>
      <c r="BG190" s="44" t="str">
        <f t="shared" si="21"/>
        <v/>
      </c>
      <c r="BH190" s="44" t="str">
        <f t="shared" si="21"/>
        <v/>
      </c>
      <c r="BI190" s="44" t="str">
        <f t="shared" si="21"/>
        <v/>
      </c>
      <c r="BJ190" s="44" t="str">
        <f t="shared" si="21"/>
        <v/>
      </c>
      <c r="BK190" s="62"/>
      <c r="CA190" s="44">
        <f t="shared" si="15"/>
        <v>0</v>
      </c>
      <c r="CB190" s="44">
        <v>1000</v>
      </c>
      <c r="CC190" s="44">
        <v>0</v>
      </c>
      <c r="CD190" s="44">
        <v>0</v>
      </c>
      <c r="CE190" s="44">
        <v>0</v>
      </c>
      <c r="CF190" s="114">
        <v>0</v>
      </c>
      <c r="CG190" s="44">
        <v>0</v>
      </c>
      <c r="CH190" s="44">
        <f t="shared" si="16"/>
        <v>1</v>
      </c>
      <c r="CI190" s="44">
        <v>1</v>
      </c>
      <c r="CJ190" s="44">
        <v>1</v>
      </c>
      <c r="CK190" s="44">
        <v>0</v>
      </c>
      <c r="CL190" s="44">
        <v>0</v>
      </c>
      <c r="CM190" s="44">
        <v>0</v>
      </c>
      <c r="CN190" s="44">
        <v>0</v>
      </c>
      <c r="CO190" s="44">
        <v>0</v>
      </c>
      <c r="CP190" s="44">
        <v>0</v>
      </c>
      <c r="CQ190" s="44">
        <v>0</v>
      </c>
      <c r="CR190" s="44">
        <v>0</v>
      </c>
      <c r="CS190" s="44">
        <v>1000</v>
      </c>
      <c r="CV190" s="44">
        <v>1</v>
      </c>
      <c r="CW190" s="44">
        <v>1</v>
      </c>
    </row>
    <row r="191" s="44" customFormat="1" customHeight="1" spans="1:101">
      <c r="A191" s="45">
        <v>5200</v>
      </c>
      <c r="B191" s="79" t="s">
        <v>342</v>
      </c>
      <c r="O191" s="77"/>
      <c r="P191" s="77"/>
      <c r="Q191" s="77"/>
      <c r="R191" s="77"/>
      <c r="S191" s="64"/>
      <c r="T191" s="64"/>
      <c r="U191" s="64"/>
      <c r="V191" s="64"/>
      <c r="W191" s="63"/>
      <c r="X191" s="63"/>
      <c r="Y191" s="63"/>
      <c r="Z191" s="63"/>
      <c r="AA191" s="78"/>
      <c r="AB191" s="78"/>
      <c r="AC191" s="78"/>
      <c r="AD191" s="78"/>
      <c r="AE191" s="48"/>
      <c r="AK191" s="44" t="s">
        <v>116</v>
      </c>
      <c r="AL191" s="44" t="s">
        <v>116</v>
      </c>
      <c r="AM191" s="44" t="s">
        <v>116</v>
      </c>
      <c r="AN191" s="44" t="s">
        <v>116</v>
      </c>
      <c r="AO191" s="44" t="s">
        <v>116</v>
      </c>
      <c r="AP191" s="44" t="s">
        <v>116</v>
      </c>
      <c r="AQ191" s="44" t="s">
        <v>116</v>
      </c>
      <c r="AR191" s="44" t="s">
        <v>116</v>
      </c>
      <c r="AS191" s="44" t="s">
        <v>116</v>
      </c>
      <c r="AT191" s="44" t="s">
        <v>116</v>
      </c>
      <c r="AU191" s="62"/>
      <c r="BA191" s="44" t="str">
        <f t="shared" ref="AU191:BJ191" si="22">IF(AK191="","",1)</f>
        <v/>
      </c>
      <c r="BB191" s="44" t="str">
        <f t="shared" si="22"/>
        <v/>
      </c>
      <c r="BC191" s="44" t="str">
        <f t="shared" si="22"/>
        <v/>
      </c>
      <c r="BD191" s="44" t="str">
        <f t="shared" si="22"/>
        <v/>
      </c>
      <c r="BE191" s="44" t="str">
        <f t="shared" si="22"/>
        <v/>
      </c>
      <c r="BF191" s="44" t="str">
        <f t="shared" si="22"/>
        <v/>
      </c>
      <c r="BG191" s="44" t="str">
        <f t="shared" si="22"/>
        <v/>
      </c>
      <c r="BH191" s="44" t="str">
        <f t="shared" si="22"/>
        <v/>
      </c>
      <c r="BI191" s="44" t="str">
        <f t="shared" si="22"/>
        <v/>
      </c>
      <c r="BJ191" s="44" t="str">
        <f t="shared" si="22"/>
        <v/>
      </c>
      <c r="BK191" s="62"/>
      <c r="CA191" s="44">
        <f t="shared" si="15"/>
        <v>0</v>
      </c>
      <c r="CB191" s="44">
        <v>1000</v>
      </c>
      <c r="CC191" s="44">
        <v>0</v>
      </c>
      <c r="CD191" s="44">
        <v>0</v>
      </c>
      <c r="CE191" s="44">
        <v>0</v>
      </c>
      <c r="CF191" s="114">
        <v>0</v>
      </c>
      <c r="CG191" s="44">
        <v>0</v>
      </c>
      <c r="CH191" s="44">
        <f t="shared" si="16"/>
        <v>1</v>
      </c>
      <c r="CI191" s="44">
        <v>1</v>
      </c>
      <c r="CJ191" s="44">
        <v>1</v>
      </c>
      <c r="CK191" s="44">
        <v>0</v>
      </c>
      <c r="CL191" s="44">
        <v>0</v>
      </c>
      <c r="CM191" s="44">
        <v>0</v>
      </c>
      <c r="CN191" s="44">
        <v>0</v>
      </c>
      <c r="CO191" s="44">
        <v>0</v>
      </c>
      <c r="CP191" s="44">
        <v>0</v>
      </c>
      <c r="CQ191" s="44">
        <v>0</v>
      </c>
      <c r="CR191" s="44">
        <v>0</v>
      </c>
      <c r="CS191" s="44">
        <v>1000</v>
      </c>
      <c r="CV191" s="44">
        <v>1</v>
      </c>
      <c r="CW191" s="44">
        <v>1</v>
      </c>
    </row>
    <row r="192" s="44" customFormat="1" customHeight="1" spans="1:101">
      <c r="A192" s="45">
        <v>5210</v>
      </c>
      <c r="B192" s="79" t="s">
        <v>343</v>
      </c>
      <c r="O192" s="77"/>
      <c r="P192" s="77"/>
      <c r="Q192" s="77"/>
      <c r="R192" s="77"/>
      <c r="S192" s="64"/>
      <c r="T192" s="64"/>
      <c r="U192" s="64"/>
      <c r="V192" s="64"/>
      <c r="W192" s="63"/>
      <c r="X192" s="63"/>
      <c r="Y192" s="63"/>
      <c r="Z192" s="63"/>
      <c r="AA192" s="78"/>
      <c r="AB192" s="78"/>
      <c r="AC192" s="78"/>
      <c r="AD192" s="78"/>
      <c r="AE192" s="48"/>
      <c r="AT192" s="44" t="s">
        <v>116</v>
      </c>
      <c r="AU192" s="62"/>
      <c r="BA192" s="44" t="str">
        <f t="shared" ref="AU192:BJ192" si="23">IF(AK192="","",1)</f>
        <v/>
      </c>
      <c r="BB192" s="44" t="str">
        <f t="shared" si="23"/>
        <v/>
      </c>
      <c r="BC192" s="44" t="str">
        <f t="shared" si="23"/>
        <v/>
      </c>
      <c r="BD192" s="44" t="str">
        <f t="shared" si="23"/>
        <v/>
      </c>
      <c r="BE192" s="44" t="str">
        <f t="shared" si="23"/>
        <v/>
      </c>
      <c r="BF192" s="44" t="str">
        <f t="shared" si="23"/>
        <v/>
      </c>
      <c r="BG192" s="44" t="str">
        <f t="shared" si="23"/>
        <v/>
      </c>
      <c r="BH192" s="44" t="str">
        <f t="shared" si="23"/>
        <v/>
      </c>
      <c r="BI192" s="44" t="str">
        <f t="shared" si="23"/>
        <v/>
      </c>
      <c r="BJ192" s="44" t="str">
        <f t="shared" si="23"/>
        <v/>
      </c>
      <c r="BK192" s="62"/>
      <c r="CA192" s="44">
        <f t="shared" si="15"/>
        <v>0</v>
      </c>
      <c r="CB192" s="44">
        <f>CA192</f>
        <v>0</v>
      </c>
      <c r="CC192" s="44">
        <v>0</v>
      </c>
      <c r="CD192" s="44">
        <v>0</v>
      </c>
      <c r="CE192" s="44">
        <v>0</v>
      </c>
      <c r="CF192" s="114">
        <v>0</v>
      </c>
      <c r="CG192" s="44">
        <v>0</v>
      </c>
      <c r="CH192" s="44">
        <f t="shared" si="16"/>
        <v>0</v>
      </c>
      <c r="CI192" s="44">
        <v>1</v>
      </c>
      <c r="CJ192" s="44">
        <v>0</v>
      </c>
      <c r="CK192" s="44">
        <v>0</v>
      </c>
      <c r="CL192" s="44">
        <v>0</v>
      </c>
      <c r="CM192" s="44">
        <v>0</v>
      </c>
      <c r="CN192" s="44">
        <v>0</v>
      </c>
      <c r="CO192" s="44">
        <v>0</v>
      </c>
      <c r="CP192" s="44">
        <v>0</v>
      </c>
      <c r="CQ192" s="44">
        <v>0</v>
      </c>
      <c r="CR192" s="44">
        <v>0</v>
      </c>
      <c r="CV192" s="44">
        <v>0</v>
      </c>
      <c r="CW192" s="44">
        <v>0</v>
      </c>
    </row>
    <row r="193" s="44" customFormat="1" customHeight="1" spans="1:101">
      <c r="A193" s="45">
        <v>5270</v>
      </c>
      <c r="B193" s="79" t="s">
        <v>344</v>
      </c>
      <c r="H193" s="44" t="s">
        <v>116</v>
      </c>
      <c r="I193" s="44" t="s">
        <v>116</v>
      </c>
      <c r="K193" s="44" t="s">
        <v>116</v>
      </c>
      <c r="O193" s="77"/>
      <c r="P193" s="77"/>
      <c r="Q193" s="77"/>
      <c r="R193" s="77"/>
      <c r="S193" s="64"/>
      <c r="T193" s="64"/>
      <c r="U193" s="64"/>
      <c r="V193" s="64"/>
      <c r="W193" s="63"/>
      <c r="X193" s="63"/>
      <c r="Y193" s="63"/>
      <c r="Z193" s="63"/>
      <c r="AA193" s="78"/>
      <c r="AB193" s="78"/>
      <c r="AC193" s="78"/>
      <c r="AD193" s="78"/>
      <c r="AE193" s="48"/>
      <c r="AK193" s="44" t="s">
        <v>116</v>
      </c>
      <c r="AL193" s="44" t="s">
        <v>116</v>
      </c>
      <c r="AM193" s="44" t="s">
        <v>116</v>
      </c>
      <c r="AN193" s="44" t="s">
        <v>116</v>
      </c>
      <c r="AO193" s="44" t="s">
        <v>116</v>
      </c>
      <c r="AP193" s="44" t="s">
        <v>116</v>
      </c>
      <c r="AQ193" s="44" t="s">
        <v>116</v>
      </c>
      <c r="AR193" s="44" t="s">
        <v>116</v>
      </c>
      <c r="AS193" s="44" t="s">
        <v>116</v>
      </c>
      <c r="AT193" s="44" t="s">
        <v>116</v>
      </c>
      <c r="AU193" s="62"/>
      <c r="BA193" s="44" t="str">
        <f t="shared" ref="AU193:BJ193" si="24">IF(AK193="","",1)</f>
        <v/>
      </c>
      <c r="BB193" s="44" t="str">
        <f t="shared" si="24"/>
        <v/>
      </c>
      <c r="BC193" s="44" t="str">
        <f t="shared" si="24"/>
        <v/>
      </c>
      <c r="BD193" s="44" t="str">
        <f t="shared" si="24"/>
        <v/>
      </c>
      <c r="BE193" s="44" t="str">
        <f t="shared" si="24"/>
        <v/>
      </c>
      <c r="BF193" s="44" t="str">
        <f t="shared" si="24"/>
        <v/>
      </c>
      <c r="BG193" s="44" t="str">
        <f t="shared" si="24"/>
        <v/>
      </c>
      <c r="BH193" s="44" t="str">
        <f t="shared" si="24"/>
        <v/>
      </c>
      <c r="BI193" s="44" t="str">
        <f t="shared" si="24"/>
        <v/>
      </c>
      <c r="BJ193" s="44" t="str">
        <f t="shared" si="24"/>
        <v/>
      </c>
      <c r="BK193" s="62"/>
      <c r="CA193" s="44">
        <f t="shared" si="15"/>
        <v>0</v>
      </c>
      <c r="CB193" s="44">
        <v>1000</v>
      </c>
      <c r="CC193" s="44">
        <v>0</v>
      </c>
      <c r="CD193" s="44">
        <v>0</v>
      </c>
      <c r="CE193" s="44">
        <v>0</v>
      </c>
      <c r="CF193" s="114">
        <v>162007</v>
      </c>
      <c r="CG193" s="44">
        <v>0</v>
      </c>
      <c r="CH193" s="44">
        <f t="shared" si="16"/>
        <v>0</v>
      </c>
      <c r="CI193" s="44">
        <v>1</v>
      </c>
      <c r="CJ193" s="44">
        <v>0</v>
      </c>
      <c r="CK193" s="44">
        <v>0</v>
      </c>
      <c r="CL193" s="44">
        <v>0</v>
      </c>
      <c r="CM193" s="44">
        <v>0</v>
      </c>
      <c r="CN193" s="44">
        <v>0</v>
      </c>
      <c r="CO193" s="44">
        <v>0</v>
      </c>
      <c r="CP193" s="44">
        <v>0</v>
      </c>
      <c r="CQ193" s="44">
        <v>0</v>
      </c>
      <c r="CR193" s="44">
        <v>0</v>
      </c>
      <c r="CV193" s="44">
        <v>0</v>
      </c>
      <c r="CW193" s="44">
        <v>0</v>
      </c>
    </row>
    <row r="194" s="44" customFormat="1" customHeight="1" spans="1:101">
      <c r="A194" s="45">
        <v>5271</v>
      </c>
      <c r="B194" s="79" t="s">
        <v>345</v>
      </c>
      <c r="H194" s="44" t="s">
        <v>116</v>
      </c>
      <c r="I194" s="44" t="s">
        <v>116</v>
      </c>
      <c r="K194" s="44" t="s">
        <v>116</v>
      </c>
      <c r="O194" s="77">
        <v>200602</v>
      </c>
      <c r="P194" s="77">
        <v>1</v>
      </c>
      <c r="Q194" s="77">
        <v>0</v>
      </c>
      <c r="R194" s="77">
        <v>0</v>
      </c>
      <c r="S194" s="64"/>
      <c r="T194" s="64"/>
      <c r="U194" s="64"/>
      <c r="V194" s="64"/>
      <c r="W194" s="63"/>
      <c r="X194" s="63"/>
      <c r="Y194" s="63"/>
      <c r="Z194" s="63"/>
      <c r="AA194" s="78"/>
      <c r="AB194" s="78"/>
      <c r="AC194" s="78"/>
      <c r="AD194" s="78"/>
      <c r="AE194" s="48"/>
      <c r="AJ194" s="44" t="s">
        <v>116</v>
      </c>
      <c r="AK194" s="44" t="s">
        <v>116</v>
      </c>
      <c r="AL194" s="44" t="s">
        <v>116</v>
      </c>
      <c r="AM194" s="44" t="s">
        <v>116</v>
      </c>
      <c r="AN194" s="44" t="s">
        <v>116</v>
      </c>
      <c r="AO194" s="44" t="s">
        <v>116</v>
      </c>
      <c r="AP194" s="44" t="s">
        <v>116</v>
      </c>
      <c r="AQ194" s="44" t="s">
        <v>116</v>
      </c>
      <c r="AR194" s="44" t="s">
        <v>116</v>
      </c>
      <c r="AS194" s="44" t="s">
        <v>116</v>
      </c>
      <c r="AT194" s="44" t="s">
        <v>116</v>
      </c>
      <c r="AU194" s="62" t="str">
        <f t="shared" ref="AU194:BJ194" si="25">IF(AE194="","",1)</f>
        <v/>
      </c>
      <c r="AV194" s="44" t="str">
        <f t="shared" si="25"/>
        <v/>
      </c>
      <c r="AW194" s="44" t="str">
        <f t="shared" si="25"/>
        <v/>
      </c>
      <c r="AX194" s="44" t="str">
        <f t="shared" si="25"/>
        <v/>
      </c>
      <c r="AY194" s="44" t="str">
        <f t="shared" si="25"/>
        <v/>
      </c>
      <c r="AZ194" s="44" t="str">
        <f t="shared" si="25"/>
        <v/>
      </c>
      <c r="BA194" s="44" t="str">
        <f t="shared" si="25"/>
        <v/>
      </c>
      <c r="BB194" s="44" t="str">
        <f t="shared" si="25"/>
        <v/>
      </c>
      <c r="BC194" s="44" t="str">
        <f t="shared" si="25"/>
        <v/>
      </c>
      <c r="BD194" s="44" t="str">
        <f t="shared" si="25"/>
        <v/>
      </c>
      <c r="BE194" s="44" t="str">
        <f t="shared" si="25"/>
        <v/>
      </c>
      <c r="BF194" s="44" t="str">
        <f t="shared" si="25"/>
        <v/>
      </c>
      <c r="BG194" s="44" t="str">
        <f t="shared" si="25"/>
        <v/>
      </c>
      <c r="BH194" s="44" t="str">
        <f t="shared" si="25"/>
        <v/>
      </c>
      <c r="BI194" s="44" t="str">
        <f t="shared" si="25"/>
        <v/>
      </c>
      <c r="BJ194" s="44" t="str">
        <f t="shared" si="25"/>
        <v/>
      </c>
      <c r="BK194" s="62"/>
      <c r="CA194" s="44">
        <v>1000</v>
      </c>
      <c r="CB194" s="44">
        <v>1000</v>
      </c>
      <c r="CC194" s="44">
        <v>0</v>
      </c>
      <c r="CD194" s="44">
        <v>0</v>
      </c>
      <c r="CE194" s="44">
        <v>0</v>
      </c>
      <c r="CF194" s="114">
        <v>162007</v>
      </c>
      <c r="CG194" s="44">
        <v>0</v>
      </c>
      <c r="CH194" s="44">
        <f t="shared" si="16"/>
        <v>0</v>
      </c>
      <c r="CI194" s="44">
        <v>1</v>
      </c>
      <c r="CJ194" s="44">
        <v>0</v>
      </c>
      <c r="CK194" s="44">
        <v>0</v>
      </c>
      <c r="CL194" s="44">
        <v>0</v>
      </c>
      <c r="CM194" s="44">
        <v>0</v>
      </c>
      <c r="CN194" s="44">
        <v>0</v>
      </c>
      <c r="CO194" s="44">
        <v>0</v>
      </c>
      <c r="CP194" s="44">
        <v>0</v>
      </c>
      <c r="CQ194" s="44">
        <v>0</v>
      </c>
      <c r="CR194" s="44">
        <v>0</v>
      </c>
      <c r="CV194" s="44">
        <v>0</v>
      </c>
      <c r="CW194" s="44">
        <v>0</v>
      </c>
    </row>
    <row r="195" s="48" customFormat="1" customHeight="1" spans="1:101">
      <c r="A195" s="95">
        <v>5280</v>
      </c>
      <c r="B195" s="80" t="s">
        <v>346</v>
      </c>
      <c r="H195" s="48" t="s">
        <v>206</v>
      </c>
      <c r="I195" s="48" t="s">
        <v>116</v>
      </c>
      <c r="K195" s="48" t="s">
        <v>116</v>
      </c>
      <c r="N195" s="44"/>
      <c r="O195" s="77">
        <v>200809</v>
      </c>
      <c r="P195" s="77">
        <v>1</v>
      </c>
      <c r="Q195" s="77">
        <v>0</v>
      </c>
      <c r="R195" s="77">
        <v>0</v>
      </c>
      <c r="S195" s="64"/>
      <c r="T195" s="64"/>
      <c r="U195" s="64"/>
      <c r="V195" s="64"/>
      <c r="W195" s="63"/>
      <c r="X195" s="63"/>
      <c r="Y195" s="63"/>
      <c r="Z195" s="63"/>
      <c r="AA195" s="78"/>
      <c r="AB195" s="78"/>
      <c r="AC195" s="78"/>
      <c r="AD195" s="78"/>
      <c r="AE195" s="48">
        <v>200857</v>
      </c>
      <c r="AF195" s="49">
        <v>200858</v>
      </c>
      <c r="AG195" s="48" t="s">
        <v>116</v>
      </c>
      <c r="AH195" s="48" t="s">
        <v>116</v>
      </c>
      <c r="AI195" s="48" t="s">
        <v>116</v>
      </c>
      <c r="AJ195" s="48" t="s">
        <v>116</v>
      </c>
      <c r="AK195" s="48" t="s">
        <v>116</v>
      </c>
      <c r="AL195" s="48" t="s">
        <v>116</v>
      </c>
      <c r="AM195" s="48" t="s">
        <v>116</v>
      </c>
      <c r="AN195" s="48" t="s">
        <v>116</v>
      </c>
      <c r="AO195" s="48" t="s">
        <v>116</v>
      </c>
      <c r="AP195" s="48" t="s">
        <v>116</v>
      </c>
      <c r="AQ195" s="48" t="s">
        <v>116</v>
      </c>
      <c r="AR195" s="48" t="s">
        <v>116</v>
      </c>
      <c r="AS195" s="48" t="s">
        <v>116</v>
      </c>
      <c r="AT195" s="48" t="s">
        <v>116</v>
      </c>
      <c r="AU195" s="62">
        <f t="shared" ref="AU195:BJ195" si="26">IF(AE195="","",1)</f>
        <v>1</v>
      </c>
      <c r="AV195" s="48">
        <f t="shared" si="26"/>
        <v>1</v>
      </c>
      <c r="AW195" s="48" t="str">
        <f t="shared" si="26"/>
        <v/>
      </c>
      <c r="AX195" s="48" t="str">
        <f t="shared" si="26"/>
        <v/>
      </c>
      <c r="AY195" s="48" t="str">
        <f t="shared" si="26"/>
        <v/>
      </c>
      <c r="AZ195" s="48" t="str">
        <f t="shared" si="26"/>
        <v/>
      </c>
      <c r="BA195" s="48" t="str">
        <f t="shared" si="26"/>
        <v/>
      </c>
      <c r="BB195" s="48" t="str">
        <f t="shared" si="26"/>
        <v/>
      </c>
      <c r="BC195" s="48" t="str">
        <f t="shared" si="26"/>
        <v/>
      </c>
      <c r="BD195" s="48" t="str">
        <f t="shared" si="26"/>
        <v/>
      </c>
      <c r="BE195" s="48" t="str">
        <f t="shared" si="26"/>
        <v/>
      </c>
      <c r="BF195" s="48" t="str">
        <f t="shared" si="26"/>
        <v/>
      </c>
      <c r="BG195" s="48" t="str">
        <f t="shared" si="26"/>
        <v/>
      </c>
      <c r="BH195" s="48" t="str">
        <f t="shared" si="26"/>
        <v/>
      </c>
      <c r="BI195" s="48" t="str">
        <f t="shared" si="26"/>
        <v/>
      </c>
      <c r="BJ195" s="48" t="str">
        <f t="shared" si="26"/>
        <v/>
      </c>
      <c r="BK195" s="62">
        <v>200</v>
      </c>
      <c r="BL195" s="48">
        <v>800</v>
      </c>
      <c r="CA195" s="48">
        <f>SUM(BK195:BZ195)</f>
        <v>1000</v>
      </c>
      <c r="CB195" s="48">
        <v>1000</v>
      </c>
      <c r="CC195" s="48">
        <v>0</v>
      </c>
      <c r="CD195" s="48">
        <v>0</v>
      </c>
      <c r="CE195" s="48">
        <v>0</v>
      </c>
      <c r="CF195" s="48">
        <v>0</v>
      </c>
      <c r="CG195" s="48">
        <v>0</v>
      </c>
      <c r="CH195" s="48">
        <f t="shared" si="16"/>
        <v>0</v>
      </c>
      <c r="CI195" s="48">
        <v>1</v>
      </c>
      <c r="CJ195" s="48">
        <v>0</v>
      </c>
      <c r="CK195" s="48">
        <v>0</v>
      </c>
      <c r="CL195" s="48">
        <v>0</v>
      </c>
      <c r="CM195" s="48">
        <v>0</v>
      </c>
      <c r="CN195" s="48">
        <v>0</v>
      </c>
      <c r="CO195" s="48">
        <v>0</v>
      </c>
      <c r="CP195" s="48">
        <v>0</v>
      </c>
      <c r="CQ195" s="48">
        <v>0</v>
      </c>
      <c r="CR195" s="48">
        <v>0</v>
      </c>
      <c r="CV195" s="48">
        <v>0</v>
      </c>
      <c r="CW195" s="48">
        <v>0</v>
      </c>
    </row>
    <row r="196" s="49" customFormat="1" customHeight="1" spans="1:101">
      <c r="A196" s="116">
        <v>5290</v>
      </c>
      <c r="B196" s="117" t="s">
        <v>347</v>
      </c>
      <c r="H196" s="50" t="s">
        <v>326</v>
      </c>
      <c r="I196" s="49" t="s">
        <v>348</v>
      </c>
      <c r="J196" s="49" t="s">
        <v>349</v>
      </c>
      <c r="K196" s="49">
        <v>2000</v>
      </c>
      <c r="N196" s="44"/>
      <c r="O196" s="77">
        <v>200115</v>
      </c>
      <c r="P196" s="77">
        <v>2</v>
      </c>
      <c r="Q196" s="77">
        <v>0</v>
      </c>
      <c r="R196" s="77">
        <v>0</v>
      </c>
      <c r="S196" s="64">
        <v>201204</v>
      </c>
      <c r="T196" s="64">
        <v>1</v>
      </c>
      <c r="U196" s="64">
        <v>0</v>
      </c>
      <c r="V196" s="64">
        <v>0</v>
      </c>
      <c r="W196" s="63"/>
      <c r="X196" s="63"/>
      <c r="Y196" s="63"/>
      <c r="Z196" s="63"/>
      <c r="AA196" s="78"/>
      <c r="AB196" s="78"/>
      <c r="AC196" s="78"/>
      <c r="AD196" s="78"/>
      <c r="AE196" s="48">
        <v>200067</v>
      </c>
      <c r="AF196" s="49">
        <v>200105</v>
      </c>
      <c r="AG196" s="49">
        <v>200101</v>
      </c>
      <c r="AH196" s="49">
        <v>200872</v>
      </c>
      <c r="AQ196" s="49" t="s">
        <v>116</v>
      </c>
      <c r="AR196" s="49" t="s">
        <v>116</v>
      </c>
      <c r="AS196" s="49" t="s">
        <v>116</v>
      </c>
      <c r="AT196" s="49" t="s">
        <v>116</v>
      </c>
      <c r="AU196" s="62">
        <v>1</v>
      </c>
      <c r="AV196" s="49">
        <v>1</v>
      </c>
      <c r="AW196" s="49">
        <v>1</v>
      </c>
      <c r="AX196" s="49">
        <v>1</v>
      </c>
      <c r="BA196" s="49" t="str">
        <f t="shared" ref="BA196:BJ196" si="27">IF(AK196="","",1)</f>
        <v/>
      </c>
      <c r="BB196" s="49" t="str">
        <f t="shared" si="27"/>
        <v/>
      </c>
      <c r="BC196" s="49" t="str">
        <f t="shared" si="27"/>
        <v/>
      </c>
      <c r="BD196" s="49" t="str">
        <f t="shared" si="27"/>
        <v/>
      </c>
      <c r="BE196" s="49" t="str">
        <f t="shared" si="27"/>
        <v/>
      </c>
      <c r="BF196" s="49" t="str">
        <f t="shared" si="27"/>
        <v/>
      </c>
      <c r="BG196" s="49" t="str">
        <f t="shared" si="27"/>
        <v/>
      </c>
      <c r="BH196" s="49" t="str">
        <f t="shared" si="27"/>
        <v/>
      </c>
      <c r="BI196" s="49" t="str">
        <f t="shared" si="27"/>
        <v/>
      </c>
      <c r="BJ196" s="49" t="str">
        <f t="shared" si="27"/>
        <v/>
      </c>
      <c r="BK196" s="62">
        <v>100</v>
      </c>
      <c r="BL196" s="49">
        <v>100</v>
      </c>
      <c r="BM196" s="49">
        <v>100</v>
      </c>
      <c r="BN196" s="49">
        <v>100</v>
      </c>
      <c r="CA196" s="49">
        <v>400</v>
      </c>
      <c r="CB196" s="49">
        <v>1000</v>
      </c>
      <c r="CC196" s="49">
        <v>0</v>
      </c>
      <c r="CD196" s="49">
        <v>0</v>
      </c>
      <c r="CE196" s="49">
        <v>0</v>
      </c>
      <c r="CF196" s="49">
        <v>193005</v>
      </c>
      <c r="CG196" s="49">
        <v>0</v>
      </c>
      <c r="CH196" s="49">
        <f t="shared" si="16"/>
        <v>0</v>
      </c>
      <c r="CI196" s="49">
        <v>1</v>
      </c>
      <c r="CJ196" s="49">
        <v>0</v>
      </c>
      <c r="CK196" s="49">
        <v>0</v>
      </c>
      <c r="CL196" s="49">
        <v>0</v>
      </c>
      <c r="CM196" s="49">
        <v>0</v>
      </c>
      <c r="CN196" s="49">
        <v>0</v>
      </c>
      <c r="CO196" s="49">
        <v>0</v>
      </c>
      <c r="CP196" s="49">
        <v>0</v>
      </c>
      <c r="CQ196" s="49">
        <v>0</v>
      </c>
      <c r="CR196" s="49">
        <v>0</v>
      </c>
      <c r="CV196" s="49">
        <v>0</v>
      </c>
      <c r="CW196" s="49">
        <v>0</v>
      </c>
    </row>
    <row r="197" s="49" customFormat="1" customHeight="1" spans="1:101">
      <c r="A197" s="116">
        <v>5291</v>
      </c>
      <c r="B197" s="117" t="s">
        <v>350</v>
      </c>
      <c r="H197" s="50" t="s">
        <v>326</v>
      </c>
      <c r="I197" s="49" t="s">
        <v>348</v>
      </c>
      <c r="J197" s="49" t="s">
        <v>351</v>
      </c>
      <c r="K197" s="49">
        <v>100</v>
      </c>
      <c r="N197" s="44"/>
      <c r="O197" s="77"/>
      <c r="P197" s="77"/>
      <c r="Q197" s="77"/>
      <c r="R197" s="77"/>
      <c r="S197" s="64"/>
      <c r="T197" s="64"/>
      <c r="U197" s="64"/>
      <c r="V197" s="64"/>
      <c r="W197" s="63"/>
      <c r="X197" s="63"/>
      <c r="Y197" s="63"/>
      <c r="Z197" s="63"/>
      <c r="AA197" s="78"/>
      <c r="AB197" s="78"/>
      <c r="AC197" s="78"/>
      <c r="AD197" s="78"/>
      <c r="AE197" s="48">
        <v>200067</v>
      </c>
      <c r="AF197" s="49">
        <v>200105</v>
      </c>
      <c r="AG197" s="49">
        <v>200101</v>
      </c>
      <c r="AH197" s="49">
        <v>200872</v>
      </c>
      <c r="AQ197" s="49" t="s">
        <v>116</v>
      </c>
      <c r="AR197" s="49" t="s">
        <v>116</v>
      </c>
      <c r="AS197" s="49" t="s">
        <v>116</v>
      </c>
      <c r="AT197" s="49" t="s">
        <v>116</v>
      </c>
      <c r="AU197" s="62">
        <v>1</v>
      </c>
      <c r="AV197" s="49">
        <v>1</v>
      </c>
      <c r="AW197" s="49">
        <v>1</v>
      </c>
      <c r="AX197" s="49">
        <v>1</v>
      </c>
      <c r="BA197" s="49" t="str">
        <f t="shared" ref="BA197:BJ197" si="28">IF(AK197="","",1)</f>
        <v/>
      </c>
      <c r="BB197" s="49" t="str">
        <f t="shared" si="28"/>
        <v/>
      </c>
      <c r="BC197" s="49" t="str">
        <f t="shared" si="28"/>
        <v/>
      </c>
      <c r="BD197" s="49" t="str">
        <f t="shared" si="28"/>
        <v/>
      </c>
      <c r="BE197" s="49" t="str">
        <f t="shared" si="28"/>
        <v/>
      </c>
      <c r="BF197" s="49" t="str">
        <f t="shared" si="28"/>
        <v/>
      </c>
      <c r="BG197" s="49" t="str">
        <f t="shared" si="28"/>
        <v/>
      </c>
      <c r="BH197" s="49" t="str">
        <f t="shared" si="28"/>
        <v/>
      </c>
      <c r="BI197" s="49" t="str">
        <f t="shared" si="28"/>
        <v/>
      </c>
      <c r="BJ197" s="49" t="str">
        <f t="shared" si="28"/>
        <v/>
      </c>
      <c r="BK197" s="62">
        <v>100</v>
      </c>
      <c r="BL197" s="49">
        <v>100</v>
      </c>
      <c r="BM197" s="49">
        <v>100</v>
      </c>
      <c r="BN197" s="49">
        <v>100</v>
      </c>
      <c r="CA197" s="49">
        <v>400</v>
      </c>
      <c r="CB197" s="49">
        <v>400</v>
      </c>
      <c r="CC197" s="49">
        <v>0</v>
      </c>
      <c r="CD197" s="49">
        <v>0</v>
      </c>
      <c r="CE197" s="49">
        <v>0</v>
      </c>
      <c r="CF197" s="49">
        <v>193005</v>
      </c>
      <c r="CG197" s="49">
        <v>0</v>
      </c>
      <c r="CH197" s="49">
        <f t="shared" si="16"/>
        <v>0</v>
      </c>
      <c r="CI197" s="49">
        <v>1</v>
      </c>
      <c r="CJ197" s="49">
        <v>0</v>
      </c>
      <c r="CK197" s="49">
        <v>0</v>
      </c>
      <c r="CL197" s="49">
        <v>0</v>
      </c>
      <c r="CM197" s="49">
        <v>0</v>
      </c>
      <c r="CN197" s="49">
        <v>0</v>
      </c>
      <c r="CO197" s="49">
        <v>0</v>
      </c>
      <c r="CP197" s="49">
        <v>0</v>
      </c>
      <c r="CQ197" s="49">
        <v>0</v>
      </c>
      <c r="CR197" s="49">
        <v>0</v>
      </c>
      <c r="CV197" s="49">
        <v>0</v>
      </c>
      <c r="CW197" s="49">
        <v>0</v>
      </c>
    </row>
    <row r="198" s="48" customFormat="1" customHeight="1" spans="1:101">
      <c r="A198" s="95">
        <v>5300</v>
      </c>
      <c r="B198" s="80" t="s">
        <v>352</v>
      </c>
      <c r="N198" s="44"/>
      <c r="O198" s="77"/>
      <c r="P198" s="77"/>
      <c r="Q198" s="77"/>
      <c r="R198" s="77"/>
      <c r="S198" s="64"/>
      <c r="T198" s="64"/>
      <c r="U198" s="64"/>
      <c r="V198" s="64"/>
      <c r="W198" s="63"/>
      <c r="X198" s="63"/>
      <c r="Y198" s="63"/>
      <c r="Z198" s="63"/>
      <c r="AA198" s="78"/>
      <c r="AB198" s="78"/>
      <c r="AC198" s="78"/>
      <c r="AD198" s="78"/>
      <c r="AE198" s="48">
        <v>200801</v>
      </c>
      <c r="AF198" s="48">
        <v>200801</v>
      </c>
      <c r="AG198" s="48">
        <v>200801</v>
      </c>
      <c r="AH198" s="48">
        <v>200801</v>
      </c>
      <c r="AI198" s="48">
        <v>200801</v>
      </c>
      <c r="AJ198" s="48">
        <v>200801</v>
      </c>
      <c r="AK198" s="48">
        <v>200801</v>
      </c>
      <c r="AL198" s="48">
        <v>200801</v>
      </c>
      <c r="AM198" s="48">
        <v>200801</v>
      </c>
      <c r="AN198" s="48">
        <v>200801</v>
      </c>
      <c r="AO198" s="48">
        <v>200801</v>
      </c>
      <c r="AP198" s="48">
        <v>200801</v>
      </c>
      <c r="AQ198" s="48">
        <v>200801</v>
      </c>
      <c r="AR198" s="48">
        <v>200801</v>
      </c>
      <c r="AS198" s="48">
        <v>200801</v>
      </c>
      <c r="AT198" s="48">
        <v>200801</v>
      </c>
      <c r="AU198" s="62">
        <v>1</v>
      </c>
      <c r="AV198" s="48">
        <f t="shared" ref="AV198:BJ198" si="29">IF(AF198="","",1)</f>
        <v>1</v>
      </c>
      <c r="AW198" s="48">
        <f t="shared" si="29"/>
        <v>1</v>
      </c>
      <c r="AX198" s="48">
        <f t="shared" si="29"/>
        <v>1</v>
      </c>
      <c r="AY198" s="48">
        <f t="shared" si="29"/>
        <v>1</v>
      </c>
      <c r="AZ198" s="48">
        <f t="shared" si="29"/>
        <v>1</v>
      </c>
      <c r="BA198" s="48">
        <f t="shared" si="29"/>
        <v>1</v>
      </c>
      <c r="BB198" s="48">
        <f t="shared" si="29"/>
        <v>1</v>
      </c>
      <c r="BC198" s="48">
        <f t="shared" si="29"/>
        <v>1</v>
      </c>
      <c r="BD198" s="48">
        <f t="shared" si="29"/>
        <v>1</v>
      </c>
      <c r="BE198" s="48">
        <f t="shared" si="29"/>
        <v>1</v>
      </c>
      <c r="BF198" s="48">
        <f t="shared" si="29"/>
        <v>1</v>
      </c>
      <c r="BG198" s="48">
        <f t="shared" si="29"/>
        <v>1</v>
      </c>
      <c r="BH198" s="48">
        <f t="shared" si="29"/>
        <v>1</v>
      </c>
      <c r="BI198" s="48">
        <f t="shared" si="29"/>
        <v>1</v>
      </c>
      <c r="BJ198" s="48">
        <f t="shared" si="29"/>
        <v>1</v>
      </c>
      <c r="BK198" s="62">
        <v>100</v>
      </c>
      <c r="BL198" s="48">
        <v>100</v>
      </c>
      <c r="BM198" s="48">
        <v>100</v>
      </c>
      <c r="BN198" s="48">
        <v>100</v>
      </c>
      <c r="BO198" s="48">
        <v>100</v>
      </c>
      <c r="BP198" s="48">
        <v>100</v>
      </c>
      <c r="BQ198" s="48">
        <v>100</v>
      </c>
      <c r="BR198" s="48">
        <v>100</v>
      </c>
      <c r="BS198" s="48">
        <v>100</v>
      </c>
      <c r="BT198" s="48">
        <v>100</v>
      </c>
      <c r="BU198" s="48">
        <v>100</v>
      </c>
      <c r="BV198" s="48">
        <v>100</v>
      </c>
      <c r="BW198" s="48">
        <v>100</v>
      </c>
      <c r="BX198" s="48">
        <v>100</v>
      </c>
      <c r="BY198" s="48">
        <v>100</v>
      </c>
      <c r="BZ198" s="48">
        <v>100</v>
      </c>
      <c r="CA198" s="48">
        <v>1600</v>
      </c>
      <c r="CB198" s="48">
        <v>1600</v>
      </c>
      <c r="CC198" s="48">
        <v>0</v>
      </c>
      <c r="CD198" s="48">
        <v>0</v>
      </c>
      <c r="CE198" s="48">
        <v>0</v>
      </c>
      <c r="CF198" s="48">
        <v>0</v>
      </c>
      <c r="CG198" s="48">
        <v>0</v>
      </c>
      <c r="CH198" s="48">
        <f t="shared" si="16"/>
        <v>0</v>
      </c>
      <c r="CI198" s="48">
        <v>1</v>
      </c>
      <c r="CJ198" s="48">
        <v>0</v>
      </c>
      <c r="CK198" s="48">
        <v>0</v>
      </c>
      <c r="CL198" s="48">
        <v>0</v>
      </c>
      <c r="CM198" s="48">
        <v>0</v>
      </c>
      <c r="CN198" s="48">
        <v>0</v>
      </c>
      <c r="CO198" s="48">
        <v>0</v>
      </c>
      <c r="CP198" s="48">
        <v>0</v>
      </c>
      <c r="CQ198" s="48">
        <v>0</v>
      </c>
      <c r="CR198" s="48">
        <v>0</v>
      </c>
      <c r="CV198" s="48">
        <v>0</v>
      </c>
      <c r="CW198" s="48">
        <v>0</v>
      </c>
    </row>
    <row r="199" s="48" customFormat="1" customHeight="1" spans="1:101">
      <c r="A199" s="95">
        <v>5310</v>
      </c>
      <c r="B199" s="80" t="s">
        <v>353</v>
      </c>
      <c r="N199" s="44"/>
      <c r="O199" s="77"/>
      <c r="P199" s="77"/>
      <c r="Q199" s="77"/>
      <c r="R199" s="77"/>
      <c r="S199" s="64"/>
      <c r="T199" s="64"/>
      <c r="U199" s="64"/>
      <c r="V199" s="64"/>
      <c r="W199" s="63"/>
      <c r="X199" s="63"/>
      <c r="Y199" s="63"/>
      <c r="Z199" s="63"/>
      <c r="AA199" s="78"/>
      <c r="AB199" s="78"/>
      <c r="AC199" s="78"/>
      <c r="AD199" s="78"/>
      <c r="AE199" s="48">
        <v>200801</v>
      </c>
      <c r="AF199" s="48">
        <v>200801</v>
      </c>
      <c r="AG199" s="48">
        <v>200801</v>
      </c>
      <c r="AH199" s="48">
        <v>200801</v>
      </c>
      <c r="AI199" s="48">
        <v>200801</v>
      </c>
      <c r="AJ199" s="48">
        <v>200801</v>
      </c>
      <c r="AK199" s="48">
        <v>200801</v>
      </c>
      <c r="AL199" s="48">
        <v>200801</v>
      </c>
      <c r="AM199" s="48">
        <v>200801</v>
      </c>
      <c r="AN199" s="48">
        <v>200801</v>
      </c>
      <c r="AO199" s="48">
        <v>200801</v>
      </c>
      <c r="AP199" s="48">
        <v>200801</v>
      </c>
      <c r="AQ199" s="48">
        <v>200801</v>
      </c>
      <c r="AR199" s="48">
        <v>200801</v>
      </c>
      <c r="AS199" s="48">
        <v>200801</v>
      </c>
      <c r="AT199" s="48">
        <v>200801</v>
      </c>
      <c r="AU199" s="62">
        <v>1</v>
      </c>
      <c r="AV199" s="48">
        <f t="shared" ref="AV199:BJ199" si="30">IF(AF199="","",1)</f>
        <v>1</v>
      </c>
      <c r="AW199" s="48">
        <f t="shared" si="30"/>
        <v>1</v>
      </c>
      <c r="AX199" s="48">
        <f t="shared" si="30"/>
        <v>1</v>
      </c>
      <c r="AY199" s="48">
        <f t="shared" si="30"/>
        <v>1</v>
      </c>
      <c r="AZ199" s="48">
        <f t="shared" si="30"/>
        <v>1</v>
      </c>
      <c r="BA199" s="48">
        <f t="shared" si="30"/>
        <v>1</v>
      </c>
      <c r="BB199" s="48">
        <f t="shared" si="30"/>
        <v>1</v>
      </c>
      <c r="BC199" s="48">
        <f t="shared" si="30"/>
        <v>1</v>
      </c>
      <c r="BD199" s="48">
        <f t="shared" si="30"/>
        <v>1</v>
      </c>
      <c r="BE199" s="48">
        <f t="shared" si="30"/>
        <v>1</v>
      </c>
      <c r="BF199" s="48">
        <f t="shared" si="30"/>
        <v>1</v>
      </c>
      <c r="BG199" s="48">
        <f t="shared" si="30"/>
        <v>1</v>
      </c>
      <c r="BH199" s="48">
        <f t="shared" si="30"/>
        <v>1</v>
      </c>
      <c r="BI199" s="48">
        <f t="shared" si="30"/>
        <v>1</v>
      </c>
      <c r="BJ199" s="48">
        <f t="shared" si="30"/>
        <v>1</v>
      </c>
      <c r="BK199" s="62">
        <v>100</v>
      </c>
      <c r="BL199" s="48">
        <v>100</v>
      </c>
      <c r="BM199" s="48">
        <v>100</v>
      </c>
      <c r="BN199" s="48">
        <v>100</v>
      </c>
      <c r="BO199" s="48">
        <v>100</v>
      </c>
      <c r="BP199" s="48">
        <v>100</v>
      </c>
      <c r="BQ199" s="48">
        <v>100</v>
      </c>
      <c r="BR199" s="48">
        <v>100</v>
      </c>
      <c r="BS199" s="48">
        <v>100</v>
      </c>
      <c r="BT199" s="48">
        <v>100</v>
      </c>
      <c r="BU199" s="48">
        <v>100</v>
      </c>
      <c r="BV199" s="48">
        <v>100</v>
      </c>
      <c r="BW199" s="48">
        <v>100</v>
      </c>
      <c r="BX199" s="48">
        <v>100</v>
      </c>
      <c r="BY199" s="48">
        <v>100</v>
      </c>
      <c r="BZ199" s="48">
        <v>100</v>
      </c>
      <c r="CA199" s="48">
        <v>1600</v>
      </c>
      <c r="CB199" s="48">
        <v>1600</v>
      </c>
      <c r="CC199" s="48">
        <v>0</v>
      </c>
      <c r="CD199" s="48">
        <v>0</v>
      </c>
      <c r="CE199" s="48">
        <v>0</v>
      </c>
      <c r="CF199" s="48">
        <v>0</v>
      </c>
      <c r="CG199" s="48">
        <v>0</v>
      </c>
      <c r="CH199" s="48">
        <f t="shared" si="16"/>
        <v>0</v>
      </c>
      <c r="CI199" s="48">
        <v>1</v>
      </c>
      <c r="CJ199" s="48">
        <v>0</v>
      </c>
      <c r="CK199" s="48">
        <v>0</v>
      </c>
      <c r="CL199" s="48">
        <v>0</v>
      </c>
      <c r="CM199" s="48">
        <v>0</v>
      </c>
      <c r="CN199" s="48">
        <v>0</v>
      </c>
      <c r="CO199" s="48">
        <v>0</v>
      </c>
      <c r="CP199" s="48">
        <v>0</v>
      </c>
      <c r="CQ199" s="48">
        <v>0</v>
      </c>
      <c r="CR199" s="48">
        <v>0</v>
      </c>
      <c r="CV199" s="48">
        <v>0</v>
      </c>
      <c r="CW199" s="48">
        <v>0</v>
      </c>
    </row>
    <row r="200" s="48" customFormat="1" customHeight="1" spans="1:101">
      <c r="A200" s="95">
        <v>5320</v>
      </c>
      <c r="B200" s="80" t="s">
        <v>354</v>
      </c>
      <c r="N200" s="44"/>
      <c r="O200" s="77"/>
      <c r="P200" s="77"/>
      <c r="Q200" s="77"/>
      <c r="R200" s="77"/>
      <c r="S200" s="64"/>
      <c r="T200" s="64"/>
      <c r="U200" s="64"/>
      <c r="V200" s="64"/>
      <c r="W200" s="63"/>
      <c r="X200" s="63"/>
      <c r="Y200" s="63"/>
      <c r="Z200" s="63"/>
      <c r="AA200" s="78"/>
      <c r="AB200" s="78"/>
      <c r="AC200" s="78"/>
      <c r="AD200" s="78"/>
      <c r="AE200" s="48">
        <v>200801</v>
      </c>
      <c r="AF200" s="48">
        <v>200801</v>
      </c>
      <c r="AG200" s="48">
        <v>200801</v>
      </c>
      <c r="AH200" s="48">
        <v>200801</v>
      </c>
      <c r="AI200" s="48">
        <v>200801</v>
      </c>
      <c r="AJ200" s="48">
        <v>200801</v>
      </c>
      <c r="AK200" s="48">
        <v>200801</v>
      </c>
      <c r="AL200" s="48">
        <v>200801</v>
      </c>
      <c r="AM200" s="48">
        <v>200801</v>
      </c>
      <c r="AN200" s="48">
        <v>200801</v>
      </c>
      <c r="AO200" s="48">
        <v>200801</v>
      </c>
      <c r="AP200" s="48">
        <v>200801</v>
      </c>
      <c r="AQ200" s="48">
        <v>200801</v>
      </c>
      <c r="AR200" s="48">
        <v>200801</v>
      </c>
      <c r="AS200" s="48">
        <v>200801</v>
      </c>
      <c r="AT200" s="48">
        <v>200801</v>
      </c>
      <c r="AU200" s="62">
        <v>1</v>
      </c>
      <c r="AV200" s="48">
        <f t="shared" ref="AV200:BJ200" si="31">IF(AF200="","",1)</f>
        <v>1</v>
      </c>
      <c r="AW200" s="48">
        <f t="shared" si="31"/>
        <v>1</v>
      </c>
      <c r="AX200" s="48">
        <f t="shared" si="31"/>
        <v>1</v>
      </c>
      <c r="AY200" s="48">
        <f t="shared" si="31"/>
        <v>1</v>
      </c>
      <c r="AZ200" s="48">
        <f t="shared" si="31"/>
        <v>1</v>
      </c>
      <c r="BA200" s="48">
        <f t="shared" si="31"/>
        <v>1</v>
      </c>
      <c r="BB200" s="48">
        <f t="shared" si="31"/>
        <v>1</v>
      </c>
      <c r="BC200" s="48">
        <f t="shared" si="31"/>
        <v>1</v>
      </c>
      <c r="BD200" s="48">
        <f t="shared" si="31"/>
        <v>1</v>
      </c>
      <c r="BE200" s="48">
        <f t="shared" si="31"/>
        <v>1</v>
      </c>
      <c r="BF200" s="48">
        <f t="shared" si="31"/>
        <v>1</v>
      </c>
      <c r="BG200" s="48">
        <f t="shared" si="31"/>
        <v>1</v>
      </c>
      <c r="BH200" s="48">
        <f t="shared" si="31"/>
        <v>1</v>
      </c>
      <c r="BI200" s="48">
        <f t="shared" si="31"/>
        <v>1</v>
      </c>
      <c r="BJ200" s="48">
        <f t="shared" si="31"/>
        <v>1</v>
      </c>
      <c r="BK200" s="62">
        <v>100</v>
      </c>
      <c r="BL200" s="48">
        <v>100</v>
      </c>
      <c r="BM200" s="48">
        <v>100</v>
      </c>
      <c r="BN200" s="48">
        <v>100</v>
      </c>
      <c r="BO200" s="48">
        <v>100</v>
      </c>
      <c r="BP200" s="48">
        <v>100</v>
      </c>
      <c r="BQ200" s="48">
        <v>100</v>
      </c>
      <c r="BR200" s="48">
        <v>100</v>
      </c>
      <c r="BS200" s="48">
        <v>100</v>
      </c>
      <c r="BT200" s="48">
        <v>100</v>
      </c>
      <c r="BU200" s="48">
        <v>100</v>
      </c>
      <c r="BV200" s="48">
        <v>100</v>
      </c>
      <c r="BW200" s="48">
        <v>100</v>
      </c>
      <c r="BX200" s="48">
        <v>100</v>
      </c>
      <c r="BY200" s="48">
        <v>100</v>
      </c>
      <c r="BZ200" s="48">
        <v>100</v>
      </c>
      <c r="CA200" s="48">
        <v>1600</v>
      </c>
      <c r="CB200" s="48">
        <v>1600</v>
      </c>
      <c r="CC200" s="48">
        <v>0</v>
      </c>
      <c r="CD200" s="48">
        <v>0</v>
      </c>
      <c r="CE200" s="48">
        <v>0</v>
      </c>
      <c r="CF200" s="48">
        <v>0</v>
      </c>
      <c r="CG200" s="48">
        <v>0</v>
      </c>
      <c r="CH200" s="48">
        <f t="shared" si="16"/>
        <v>0</v>
      </c>
      <c r="CI200" s="48">
        <v>1</v>
      </c>
      <c r="CJ200" s="48">
        <v>0</v>
      </c>
      <c r="CK200" s="48">
        <v>0</v>
      </c>
      <c r="CL200" s="48">
        <v>0</v>
      </c>
      <c r="CM200" s="48">
        <v>0</v>
      </c>
      <c r="CN200" s="48">
        <v>0</v>
      </c>
      <c r="CO200" s="48">
        <v>0</v>
      </c>
      <c r="CP200" s="48">
        <v>0</v>
      </c>
      <c r="CQ200" s="48">
        <v>0</v>
      </c>
      <c r="CR200" s="48">
        <v>0</v>
      </c>
      <c r="CV200" s="48">
        <v>0</v>
      </c>
      <c r="CW200" s="48">
        <v>0</v>
      </c>
    </row>
    <row r="201" s="48" customFormat="1" customHeight="1" spans="1:101">
      <c r="A201" s="95">
        <v>5330</v>
      </c>
      <c r="B201" s="80" t="s">
        <v>355</v>
      </c>
      <c r="N201" s="44"/>
      <c r="O201" s="77"/>
      <c r="P201" s="77"/>
      <c r="Q201" s="77"/>
      <c r="R201" s="77"/>
      <c r="S201" s="64"/>
      <c r="T201" s="64"/>
      <c r="U201" s="64"/>
      <c r="V201" s="64"/>
      <c r="W201" s="63"/>
      <c r="X201" s="63"/>
      <c r="Y201" s="63"/>
      <c r="Z201" s="63"/>
      <c r="AA201" s="78"/>
      <c r="AB201" s="78"/>
      <c r="AC201" s="78"/>
      <c r="AD201" s="78"/>
      <c r="AE201" s="48">
        <v>200801</v>
      </c>
      <c r="AF201" s="48">
        <v>200801</v>
      </c>
      <c r="AG201" s="48">
        <v>200801</v>
      </c>
      <c r="AH201" s="48">
        <v>200801</v>
      </c>
      <c r="AI201" s="48">
        <v>200801</v>
      </c>
      <c r="AJ201" s="48">
        <v>200801</v>
      </c>
      <c r="AK201" s="48">
        <v>200801</v>
      </c>
      <c r="AL201" s="48">
        <v>200801</v>
      </c>
      <c r="AM201" s="48">
        <v>200801</v>
      </c>
      <c r="AN201" s="48">
        <v>200801</v>
      </c>
      <c r="AO201" s="48">
        <v>200801</v>
      </c>
      <c r="AP201" s="48">
        <v>200801</v>
      </c>
      <c r="AQ201" s="48">
        <v>200801</v>
      </c>
      <c r="AR201" s="48">
        <v>200801</v>
      </c>
      <c r="AS201" s="48">
        <v>200801</v>
      </c>
      <c r="AT201" s="48">
        <v>200801</v>
      </c>
      <c r="AU201" s="62">
        <v>1</v>
      </c>
      <c r="AV201" s="48">
        <f t="shared" ref="AV201:BJ201" si="32">IF(AF201="","",1)</f>
        <v>1</v>
      </c>
      <c r="AW201" s="48">
        <f t="shared" si="32"/>
        <v>1</v>
      </c>
      <c r="AX201" s="48">
        <f t="shared" si="32"/>
        <v>1</v>
      </c>
      <c r="AY201" s="48">
        <f t="shared" si="32"/>
        <v>1</v>
      </c>
      <c r="AZ201" s="48">
        <f t="shared" si="32"/>
        <v>1</v>
      </c>
      <c r="BA201" s="48">
        <f t="shared" si="32"/>
        <v>1</v>
      </c>
      <c r="BB201" s="48">
        <f t="shared" si="32"/>
        <v>1</v>
      </c>
      <c r="BC201" s="48">
        <f t="shared" si="32"/>
        <v>1</v>
      </c>
      <c r="BD201" s="48">
        <f t="shared" si="32"/>
        <v>1</v>
      </c>
      <c r="BE201" s="48">
        <f t="shared" si="32"/>
        <v>1</v>
      </c>
      <c r="BF201" s="48">
        <f t="shared" si="32"/>
        <v>1</v>
      </c>
      <c r="BG201" s="48">
        <f t="shared" si="32"/>
        <v>1</v>
      </c>
      <c r="BH201" s="48">
        <f t="shared" si="32"/>
        <v>1</v>
      </c>
      <c r="BI201" s="48">
        <f t="shared" si="32"/>
        <v>1</v>
      </c>
      <c r="BJ201" s="48">
        <f t="shared" si="32"/>
        <v>1</v>
      </c>
      <c r="BK201" s="62">
        <v>100</v>
      </c>
      <c r="BL201" s="48">
        <v>100</v>
      </c>
      <c r="BM201" s="48">
        <v>100</v>
      </c>
      <c r="BN201" s="48">
        <v>100</v>
      </c>
      <c r="BO201" s="48">
        <v>100</v>
      </c>
      <c r="BP201" s="48">
        <v>100</v>
      </c>
      <c r="BQ201" s="48">
        <v>100</v>
      </c>
      <c r="BR201" s="48">
        <v>100</v>
      </c>
      <c r="BS201" s="48">
        <v>100</v>
      </c>
      <c r="BT201" s="48">
        <v>100</v>
      </c>
      <c r="BU201" s="48">
        <v>100</v>
      </c>
      <c r="BV201" s="48">
        <v>100</v>
      </c>
      <c r="BW201" s="48">
        <v>100</v>
      </c>
      <c r="BX201" s="48">
        <v>100</v>
      </c>
      <c r="BY201" s="48">
        <v>100</v>
      </c>
      <c r="BZ201" s="48">
        <v>100</v>
      </c>
      <c r="CA201" s="48">
        <v>1600</v>
      </c>
      <c r="CB201" s="48">
        <v>1600</v>
      </c>
      <c r="CC201" s="48">
        <v>0</v>
      </c>
      <c r="CD201" s="48">
        <v>0</v>
      </c>
      <c r="CE201" s="48">
        <v>0</v>
      </c>
      <c r="CF201" s="48">
        <v>0</v>
      </c>
      <c r="CG201" s="48">
        <v>0</v>
      </c>
      <c r="CH201" s="48">
        <f t="shared" si="16"/>
        <v>0</v>
      </c>
      <c r="CI201" s="48">
        <v>1</v>
      </c>
      <c r="CJ201" s="48">
        <v>0</v>
      </c>
      <c r="CK201" s="48">
        <v>0</v>
      </c>
      <c r="CL201" s="48">
        <v>0</v>
      </c>
      <c r="CM201" s="48">
        <v>0</v>
      </c>
      <c r="CN201" s="48">
        <v>0</v>
      </c>
      <c r="CO201" s="48">
        <v>0</v>
      </c>
      <c r="CP201" s="48">
        <v>0</v>
      </c>
      <c r="CQ201" s="48">
        <v>0</v>
      </c>
      <c r="CR201" s="48">
        <v>0</v>
      </c>
      <c r="CV201" s="48">
        <v>0</v>
      </c>
      <c r="CW201" s="48">
        <v>0</v>
      </c>
    </row>
    <row r="202" s="49" customFormat="1" customHeight="1" spans="1:101">
      <c r="A202" s="116">
        <v>5340</v>
      </c>
      <c r="B202" s="117" t="s">
        <v>356</v>
      </c>
      <c r="K202" s="49">
        <v>10000</v>
      </c>
      <c r="N202" s="44"/>
      <c r="O202" s="77"/>
      <c r="P202" s="77"/>
      <c r="Q202" s="77"/>
      <c r="R202" s="77"/>
      <c r="S202" s="64"/>
      <c r="T202" s="64"/>
      <c r="U202" s="64"/>
      <c r="V202" s="64"/>
      <c r="W202" s="63"/>
      <c r="X202" s="63"/>
      <c r="Y202" s="63"/>
      <c r="Z202" s="63"/>
      <c r="AA202" s="78"/>
      <c r="AB202" s="78"/>
      <c r="AC202" s="78"/>
      <c r="AD202" s="78"/>
      <c r="AE202" s="48">
        <v>200110</v>
      </c>
      <c r="AF202" s="49">
        <v>200112</v>
      </c>
      <c r="AG202" s="49" t="s">
        <v>116</v>
      </c>
      <c r="AH202" s="49" t="s">
        <v>116</v>
      </c>
      <c r="AI202" s="49" t="s">
        <v>116</v>
      </c>
      <c r="AJ202" s="49" t="s">
        <v>116</v>
      </c>
      <c r="AK202" s="49" t="s">
        <v>116</v>
      </c>
      <c r="AL202" s="49" t="s">
        <v>116</v>
      </c>
      <c r="AM202" s="49" t="s">
        <v>116</v>
      </c>
      <c r="AN202" s="49" t="s">
        <v>116</v>
      </c>
      <c r="AO202" s="49" t="s">
        <v>116</v>
      </c>
      <c r="AP202" s="49" t="s">
        <v>116</v>
      </c>
      <c r="AQ202" s="49" t="s">
        <v>116</v>
      </c>
      <c r="AR202" s="49" t="s">
        <v>116</v>
      </c>
      <c r="AS202" s="49" t="s">
        <v>116</v>
      </c>
      <c r="AT202" s="49" t="s">
        <v>116</v>
      </c>
      <c r="AU202" s="62">
        <v>1</v>
      </c>
      <c r="AV202" s="49">
        <f t="shared" ref="AV202:BJ202" si="33">IF(AF202="","",1)</f>
        <v>1</v>
      </c>
      <c r="AW202" s="49" t="str">
        <f t="shared" si="33"/>
        <v/>
      </c>
      <c r="AX202" s="49" t="str">
        <f t="shared" si="33"/>
        <v/>
      </c>
      <c r="AY202" s="49" t="str">
        <f t="shared" si="33"/>
        <v/>
      </c>
      <c r="AZ202" s="49" t="str">
        <f t="shared" si="33"/>
        <v/>
      </c>
      <c r="BA202" s="49" t="str">
        <f t="shared" si="33"/>
        <v/>
      </c>
      <c r="BB202" s="49" t="str">
        <f t="shared" si="33"/>
        <v/>
      </c>
      <c r="BC202" s="49" t="str">
        <f t="shared" si="33"/>
        <v/>
      </c>
      <c r="BD202" s="49" t="str">
        <f t="shared" si="33"/>
        <v/>
      </c>
      <c r="BE202" s="49" t="str">
        <f t="shared" si="33"/>
        <v/>
      </c>
      <c r="BF202" s="49" t="str">
        <f t="shared" si="33"/>
        <v/>
      </c>
      <c r="BG202" s="49" t="str">
        <f t="shared" si="33"/>
        <v/>
      </c>
      <c r="BH202" s="49" t="str">
        <f t="shared" si="33"/>
        <v/>
      </c>
      <c r="BI202" s="49" t="str">
        <f t="shared" si="33"/>
        <v/>
      </c>
      <c r="BJ202" s="49" t="str">
        <f t="shared" si="33"/>
        <v/>
      </c>
      <c r="BK202" s="62">
        <v>800</v>
      </c>
      <c r="BL202" s="49">
        <v>200</v>
      </c>
      <c r="CA202" s="49">
        <f>SUM(BK202:BZ202)</f>
        <v>1000</v>
      </c>
      <c r="CB202" s="49">
        <v>1000</v>
      </c>
      <c r="CC202" s="49">
        <v>0</v>
      </c>
      <c r="CD202" s="49">
        <v>0</v>
      </c>
      <c r="CE202" s="49">
        <v>0</v>
      </c>
      <c r="CF202" s="49">
        <v>193037</v>
      </c>
      <c r="CG202" s="49">
        <v>0</v>
      </c>
      <c r="CH202" s="49">
        <f t="shared" si="16"/>
        <v>0</v>
      </c>
      <c r="CI202" s="49">
        <v>1</v>
      </c>
      <c r="CJ202" s="49">
        <v>0</v>
      </c>
      <c r="CK202" s="49">
        <v>0</v>
      </c>
      <c r="CL202" s="49">
        <v>0</v>
      </c>
      <c r="CM202" s="49">
        <v>0</v>
      </c>
      <c r="CN202" s="49">
        <v>0</v>
      </c>
      <c r="CO202" s="49">
        <v>0</v>
      </c>
      <c r="CP202" s="49">
        <v>0</v>
      </c>
      <c r="CQ202" s="49">
        <v>1</v>
      </c>
      <c r="CR202" s="49">
        <v>0</v>
      </c>
      <c r="CV202" s="49">
        <v>0</v>
      </c>
      <c r="CW202" s="49">
        <v>0</v>
      </c>
    </row>
    <row r="203" s="49" customFormat="1" customHeight="1" spans="1:101">
      <c r="A203" s="116">
        <v>5350</v>
      </c>
      <c r="B203" s="117" t="s">
        <v>357</v>
      </c>
      <c r="I203" s="49" t="s">
        <v>116</v>
      </c>
      <c r="K203" s="49">
        <v>8000</v>
      </c>
      <c r="N203" s="44"/>
      <c r="O203" s="77"/>
      <c r="P203" s="77"/>
      <c r="Q203" s="77"/>
      <c r="R203" s="77"/>
      <c r="S203" s="64"/>
      <c r="T203" s="64"/>
      <c r="U203" s="64"/>
      <c r="V203" s="64"/>
      <c r="W203" s="63"/>
      <c r="X203" s="63"/>
      <c r="Y203" s="63"/>
      <c r="Z203" s="63"/>
      <c r="AA203" s="78"/>
      <c r="AB203" s="78"/>
      <c r="AC203" s="78"/>
      <c r="AD203" s="78"/>
      <c r="AE203" s="48">
        <v>200110</v>
      </c>
      <c r="AF203" s="49">
        <v>200112</v>
      </c>
      <c r="AG203" s="49" t="s">
        <v>116</v>
      </c>
      <c r="AH203" s="49" t="s">
        <v>116</v>
      </c>
      <c r="AI203" s="49" t="s">
        <v>116</v>
      </c>
      <c r="AJ203" s="49" t="s">
        <v>116</v>
      </c>
      <c r="AK203" s="49" t="s">
        <v>116</v>
      </c>
      <c r="AL203" s="49" t="s">
        <v>116</v>
      </c>
      <c r="AM203" s="49" t="s">
        <v>116</v>
      </c>
      <c r="AN203" s="49" t="s">
        <v>116</v>
      </c>
      <c r="AO203" s="49" t="s">
        <v>116</v>
      </c>
      <c r="AP203" s="49" t="s">
        <v>116</v>
      </c>
      <c r="AQ203" s="49" t="s">
        <v>116</v>
      </c>
      <c r="AR203" s="49" t="s">
        <v>116</v>
      </c>
      <c r="AS203" s="49" t="s">
        <v>116</v>
      </c>
      <c r="AT203" s="49" t="s">
        <v>116</v>
      </c>
      <c r="AU203" s="62">
        <v>1</v>
      </c>
      <c r="AV203" s="49">
        <f t="shared" ref="AV203:BJ203" si="34">IF(AF203="","",1)</f>
        <v>1</v>
      </c>
      <c r="AW203" s="49" t="str">
        <f t="shared" si="34"/>
        <v/>
      </c>
      <c r="AX203" s="49" t="str">
        <f t="shared" si="34"/>
        <v/>
      </c>
      <c r="AY203" s="49" t="str">
        <f t="shared" si="34"/>
        <v/>
      </c>
      <c r="AZ203" s="49" t="str">
        <f t="shared" si="34"/>
        <v/>
      </c>
      <c r="BA203" s="49" t="str">
        <f t="shared" si="34"/>
        <v/>
      </c>
      <c r="BB203" s="49" t="str">
        <f t="shared" si="34"/>
        <v/>
      </c>
      <c r="BC203" s="49" t="str">
        <f t="shared" si="34"/>
        <v/>
      </c>
      <c r="BD203" s="49" t="str">
        <f t="shared" si="34"/>
        <v/>
      </c>
      <c r="BE203" s="49" t="str">
        <f t="shared" si="34"/>
        <v/>
      </c>
      <c r="BF203" s="49" t="str">
        <f t="shared" si="34"/>
        <v/>
      </c>
      <c r="BG203" s="49" t="str">
        <f t="shared" si="34"/>
        <v/>
      </c>
      <c r="BH203" s="49" t="str">
        <f t="shared" si="34"/>
        <v/>
      </c>
      <c r="BI203" s="49" t="str">
        <f t="shared" si="34"/>
        <v/>
      </c>
      <c r="BJ203" s="49" t="str">
        <f t="shared" si="34"/>
        <v/>
      </c>
      <c r="BK203" s="62">
        <v>600</v>
      </c>
      <c r="BL203" s="49">
        <v>100</v>
      </c>
      <c r="CA203" s="49">
        <v>700</v>
      </c>
      <c r="CB203" s="49">
        <v>1000</v>
      </c>
      <c r="CC203" s="49">
        <v>0</v>
      </c>
      <c r="CD203" s="49">
        <v>0</v>
      </c>
      <c r="CE203" s="49">
        <v>0</v>
      </c>
      <c r="CF203" s="49">
        <v>193038</v>
      </c>
      <c r="CG203" s="49">
        <v>0</v>
      </c>
      <c r="CH203" s="49">
        <f t="shared" si="16"/>
        <v>0</v>
      </c>
      <c r="CI203" s="49">
        <v>1</v>
      </c>
      <c r="CJ203" s="49">
        <v>0</v>
      </c>
      <c r="CK203" s="49">
        <v>0</v>
      </c>
      <c r="CL203" s="49">
        <v>0</v>
      </c>
      <c r="CM203" s="49">
        <v>0</v>
      </c>
      <c r="CN203" s="49">
        <v>0</v>
      </c>
      <c r="CO203" s="49">
        <v>0</v>
      </c>
      <c r="CP203" s="49">
        <v>0</v>
      </c>
      <c r="CQ203" s="49">
        <v>1</v>
      </c>
      <c r="CR203" s="49">
        <v>0</v>
      </c>
      <c r="CV203" s="49">
        <v>0</v>
      </c>
      <c r="CW203" s="49">
        <v>0</v>
      </c>
    </row>
    <row r="204" s="49" customFormat="1" customHeight="1" spans="1:101">
      <c r="A204" s="116">
        <v>5360</v>
      </c>
      <c r="B204" s="117" t="s">
        <v>358</v>
      </c>
      <c r="I204" s="49" t="s">
        <v>116</v>
      </c>
      <c r="K204" s="49">
        <v>6000</v>
      </c>
      <c r="N204" s="44"/>
      <c r="O204" s="77"/>
      <c r="P204" s="77"/>
      <c r="Q204" s="77"/>
      <c r="R204" s="77"/>
      <c r="S204" s="64"/>
      <c r="T204" s="64"/>
      <c r="U204" s="64"/>
      <c r="V204" s="64"/>
      <c r="W204" s="63"/>
      <c r="X204" s="63"/>
      <c r="Y204" s="63"/>
      <c r="Z204" s="63"/>
      <c r="AA204" s="78"/>
      <c r="AB204" s="78"/>
      <c r="AC204" s="78"/>
      <c r="AD204" s="78"/>
      <c r="AE204" s="48">
        <v>200110</v>
      </c>
      <c r="AF204" s="49">
        <v>200112</v>
      </c>
      <c r="AG204" s="49" t="s">
        <v>116</v>
      </c>
      <c r="AH204" s="49" t="s">
        <v>116</v>
      </c>
      <c r="AI204" s="49" t="s">
        <v>116</v>
      </c>
      <c r="AJ204" s="49" t="s">
        <v>116</v>
      </c>
      <c r="AK204" s="49" t="s">
        <v>116</v>
      </c>
      <c r="AL204" s="49" t="s">
        <v>116</v>
      </c>
      <c r="AM204" s="49" t="s">
        <v>116</v>
      </c>
      <c r="AN204" s="49" t="s">
        <v>116</v>
      </c>
      <c r="AO204" s="49" t="s">
        <v>116</v>
      </c>
      <c r="AP204" s="49" t="s">
        <v>116</v>
      </c>
      <c r="AQ204" s="49" t="s">
        <v>116</v>
      </c>
      <c r="AR204" s="49" t="s">
        <v>116</v>
      </c>
      <c r="AS204" s="49" t="s">
        <v>116</v>
      </c>
      <c r="AT204" s="49" t="s">
        <v>116</v>
      </c>
      <c r="AU204" s="62">
        <v>1</v>
      </c>
      <c r="AV204" s="49">
        <f t="shared" ref="AV204:BJ204" si="35">IF(AF204="","",1)</f>
        <v>1</v>
      </c>
      <c r="AW204" s="49" t="str">
        <f t="shared" si="35"/>
        <v/>
      </c>
      <c r="AX204" s="49" t="str">
        <f t="shared" si="35"/>
        <v/>
      </c>
      <c r="AY204" s="49" t="str">
        <f t="shared" si="35"/>
        <v/>
      </c>
      <c r="AZ204" s="49" t="str">
        <f t="shared" si="35"/>
        <v/>
      </c>
      <c r="BA204" s="49" t="str">
        <f t="shared" si="35"/>
        <v/>
      </c>
      <c r="BB204" s="49" t="str">
        <f t="shared" si="35"/>
        <v/>
      </c>
      <c r="BC204" s="49" t="str">
        <f t="shared" si="35"/>
        <v/>
      </c>
      <c r="BD204" s="49" t="str">
        <f t="shared" si="35"/>
        <v/>
      </c>
      <c r="BE204" s="49" t="str">
        <f t="shared" si="35"/>
        <v/>
      </c>
      <c r="BF204" s="49" t="str">
        <f t="shared" si="35"/>
        <v/>
      </c>
      <c r="BG204" s="49" t="str">
        <f t="shared" si="35"/>
        <v/>
      </c>
      <c r="BH204" s="49" t="str">
        <f t="shared" si="35"/>
        <v/>
      </c>
      <c r="BI204" s="49" t="str">
        <f t="shared" si="35"/>
        <v/>
      </c>
      <c r="BJ204" s="49" t="str">
        <f t="shared" si="35"/>
        <v/>
      </c>
      <c r="BK204" s="62">
        <v>500</v>
      </c>
      <c r="BL204" s="49">
        <v>100</v>
      </c>
      <c r="CA204" s="49">
        <v>600</v>
      </c>
      <c r="CB204" s="49">
        <v>1000</v>
      </c>
      <c r="CC204" s="49">
        <v>0</v>
      </c>
      <c r="CD204" s="49">
        <v>0</v>
      </c>
      <c r="CE204" s="49">
        <v>0</v>
      </c>
      <c r="CF204" s="49">
        <v>193039</v>
      </c>
      <c r="CG204" s="49">
        <v>0</v>
      </c>
      <c r="CH204" s="49">
        <f t="shared" si="16"/>
        <v>0</v>
      </c>
      <c r="CI204" s="49">
        <v>1</v>
      </c>
      <c r="CJ204" s="49">
        <v>0</v>
      </c>
      <c r="CK204" s="49">
        <v>0</v>
      </c>
      <c r="CL204" s="49">
        <v>0</v>
      </c>
      <c r="CM204" s="49">
        <v>0</v>
      </c>
      <c r="CN204" s="49">
        <v>0</v>
      </c>
      <c r="CO204" s="49">
        <v>0</v>
      </c>
      <c r="CP204" s="49">
        <v>0</v>
      </c>
      <c r="CQ204" s="49">
        <v>1</v>
      </c>
      <c r="CR204" s="49">
        <v>0</v>
      </c>
      <c r="CV204" s="49">
        <v>0</v>
      </c>
      <c r="CW204" s="49">
        <v>0</v>
      </c>
    </row>
    <row r="205" s="49" customFormat="1" customHeight="1" spans="1:101">
      <c r="A205" s="116">
        <v>5370</v>
      </c>
      <c r="B205" s="117" t="s">
        <v>359</v>
      </c>
      <c r="I205" s="49" t="s">
        <v>116</v>
      </c>
      <c r="K205" s="49">
        <v>3000</v>
      </c>
      <c r="N205" s="44"/>
      <c r="O205" s="77"/>
      <c r="P205" s="77"/>
      <c r="Q205" s="77"/>
      <c r="R205" s="77"/>
      <c r="S205" s="64"/>
      <c r="T205" s="64"/>
      <c r="U205" s="64"/>
      <c r="V205" s="64"/>
      <c r="W205" s="63"/>
      <c r="X205" s="63"/>
      <c r="Y205" s="63"/>
      <c r="Z205" s="63"/>
      <c r="AA205" s="78"/>
      <c r="AB205" s="78"/>
      <c r="AC205" s="78"/>
      <c r="AD205" s="78"/>
      <c r="AE205" s="48">
        <v>200109</v>
      </c>
      <c r="AF205" s="49">
        <v>200111</v>
      </c>
      <c r="AG205" s="49" t="s">
        <v>116</v>
      </c>
      <c r="AH205" s="49" t="s">
        <v>116</v>
      </c>
      <c r="AI205" s="49" t="s">
        <v>116</v>
      </c>
      <c r="AJ205" s="49" t="s">
        <v>116</v>
      </c>
      <c r="AK205" s="49" t="s">
        <v>116</v>
      </c>
      <c r="AL205" s="49" t="s">
        <v>116</v>
      </c>
      <c r="AM205" s="49" t="s">
        <v>116</v>
      </c>
      <c r="AN205" s="49" t="s">
        <v>116</v>
      </c>
      <c r="AO205" s="49" t="s">
        <v>116</v>
      </c>
      <c r="AP205" s="49" t="s">
        <v>116</v>
      </c>
      <c r="AQ205" s="49" t="s">
        <v>116</v>
      </c>
      <c r="AR205" s="49" t="s">
        <v>116</v>
      </c>
      <c r="AS205" s="49" t="s">
        <v>116</v>
      </c>
      <c r="AT205" s="49" t="s">
        <v>116</v>
      </c>
      <c r="AU205" s="62">
        <f t="shared" ref="AU205:BJ205" si="36">IF(AE205="","",1)</f>
        <v>1</v>
      </c>
      <c r="AV205" s="49">
        <f t="shared" si="36"/>
        <v>1</v>
      </c>
      <c r="AW205" s="49" t="str">
        <f t="shared" si="36"/>
        <v/>
      </c>
      <c r="AX205" s="49" t="str">
        <f t="shared" si="36"/>
        <v/>
      </c>
      <c r="AY205" s="49" t="str">
        <f t="shared" si="36"/>
        <v/>
      </c>
      <c r="AZ205" s="49" t="str">
        <f t="shared" si="36"/>
        <v/>
      </c>
      <c r="BA205" s="49" t="str">
        <f t="shared" si="36"/>
        <v/>
      </c>
      <c r="BB205" s="49" t="str">
        <f t="shared" si="36"/>
        <v/>
      </c>
      <c r="BC205" s="49" t="str">
        <f t="shared" si="36"/>
        <v/>
      </c>
      <c r="BD205" s="49" t="str">
        <f t="shared" si="36"/>
        <v/>
      </c>
      <c r="BE205" s="49" t="str">
        <f t="shared" si="36"/>
        <v/>
      </c>
      <c r="BF205" s="49" t="str">
        <f t="shared" si="36"/>
        <v/>
      </c>
      <c r="BG205" s="49" t="str">
        <f t="shared" si="36"/>
        <v/>
      </c>
      <c r="BH205" s="49" t="str">
        <f t="shared" si="36"/>
        <v/>
      </c>
      <c r="BI205" s="49" t="str">
        <f t="shared" si="36"/>
        <v/>
      </c>
      <c r="BJ205" s="49" t="str">
        <f t="shared" si="36"/>
        <v/>
      </c>
      <c r="BK205" s="62">
        <v>300</v>
      </c>
      <c r="BL205" s="49">
        <v>100</v>
      </c>
      <c r="CA205" s="49">
        <v>400</v>
      </c>
      <c r="CB205" s="49">
        <v>1000</v>
      </c>
      <c r="CC205" s="49">
        <v>0</v>
      </c>
      <c r="CD205" s="49">
        <v>0</v>
      </c>
      <c r="CE205" s="49">
        <v>0</v>
      </c>
      <c r="CF205" s="49">
        <v>0</v>
      </c>
      <c r="CG205" s="49">
        <v>0</v>
      </c>
      <c r="CH205" s="49">
        <f t="shared" si="16"/>
        <v>0</v>
      </c>
      <c r="CI205" s="49">
        <v>1</v>
      </c>
      <c r="CJ205" s="49">
        <v>0</v>
      </c>
      <c r="CK205" s="49">
        <v>0</v>
      </c>
      <c r="CL205" s="49">
        <v>0</v>
      </c>
      <c r="CM205" s="49">
        <v>0</v>
      </c>
      <c r="CN205" s="49">
        <v>0</v>
      </c>
      <c r="CO205" s="49">
        <v>0</v>
      </c>
      <c r="CP205" s="49">
        <v>0</v>
      </c>
      <c r="CQ205" s="49">
        <v>1</v>
      </c>
      <c r="CR205" s="49">
        <v>0</v>
      </c>
      <c r="CV205" s="49">
        <v>0</v>
      </c>
      <c r="CW205" s="49">
        <v>0</v>
      </c>
    </row>
    <row r="206" s="49" customFormat="1" customHeight="1" spans="1:101">
      <c r="A206" s="116">
        <v>5380</v>
      </c>
      <c r="B206" s="117" t="s">
        <v>360</v>
      </c>
      <c r="I206" s="49" t="s">
        <v>116</v>
      </c>
      <c r="K206" s="49">
        <v>3000</v>
      </c>
      <c r="N206" s="44"/>
      <c r="O206" s="77"/>
      <c r="P206" s="77"/>
      <c r="Q206" s="77"/>
      <c r="R206" s="77"/>
      <c r="S206" s="64"/>
      <c r="T206" s="64"/>
      <c r="U206" s="64"/>
      <c r="V206" s="64"/>
      <c r="W206" s="63"/>
      <c r="X206" s="63"/>
      <c r="Y206" s="63"/>
      <c r="Z206" s="63"/>
      <c r="AA206" s="78"/>
      <c r="AB206" s="78"/>
      <c r="AC206" s="78"/>
      <c r="AD206" s="78"/>
      <c r="AE206" s="48">
        <v>200109</v>
      </c>
      <c r="AF206" s="49">
        <v>200111</v>
      </c>
      <c r="AG206" s="49" t="s">
        <v>116</v>
      </c>
      <c r="AH206" s="49" t="s">
        <v>116</v>
      </c>
      <c r="AI206" s="49" t="s">
        <v>116</v>
      </c>
      <c r="AJ206" s="49" t="s">
        <v>116</v>
      </c>
      <c r="AK206" s="49" t="s">
        <v>116</v>
      </c>
      <c r="AL206" s="49" t="s">
        <v>116</v>
      </c>
      <c r="AM206" s="49" t="s">
        <v>116</v>
      </c>
      <c r="AN206" s="49" t="s">
        <v>116</v>
      </c>
      <c r="AO206" s="49" t="s">
        <v>116</v>
      </c>
      <c r="AP206" s="49" t="s">
        <v>116</v>
      </c>
      <c r="AQ206" s="49" t="s">
        <v>116</v>
      </c>
      <c r="AR206" s="49" t="s">
        <v>116</v>
      </c>
      <c r="AS206" s="49" t="s">
        <v>116</v>
      </c>
      <c r="AT206" s="49" t="s">
        <v>116</v>
      </c>
      <c r="AU206" s="62">
        <f t="shared" ref="AU206:BJ206" si="37">IF(AE206="","",1)</f>
        <v>1</v>
      </c>
      <c r="AV206" s="49">
        <f t="shared" si="37"/>
        <v>1</v>
      </c>
      <c r="AW206" s="49" t="str">
        <f t="shared" si="37"/>
        <v/>
      </c>
      <c r="AX206" s="49" t="str">
        <f t="shared" si="37"/>
        <v/>
      </c>
      <c r="AY206" s="49" t="str">
        <f t="shared" si="37"/>
        <v/>
      </c>
      <c r="AZ206" s="49" t="str">
        <f t="shared" si="37"/>
        <v/>
      </c>
      <c r="BA206" s="49" t="str">
        <f t="shared" si="37"/>
        <v/>
      </c>
      <c r="BB206" s="49" t="str">
        <f t="shared" si="37"/>
        <v/>
      </c>
      <c r="BC206" s="49" t="str">
        <f t="shared" si="37"/>
        <v/>
      </c>
      <c r="BD206" s="49" t="str">
        <f t="shared" si="37"/>
        <v/>
      </c>
      <c r="BE206" s="49" t="str">
        <f t="shared" si="37"/>
        <v/>
      </c>
      <c r="BF206" s="49" t="str">
        <f t="shared" si="37"/>
        <v/>
      </c>
      <c r="BG206" s="49" t="str">
        <f t="shared" si="37"/>
        <v/>
      </c>
      <c r="BH206" s="49" t="str">
        <f t="shared" si="37"/>
        <v/>
      </c>
      <c r="BI206" s="49" t="str">
        <f t="shared" si="37"/>
        <v/>
      </c>
      <c r="BJ206" s="49" t="str">
        <f t="shared" si="37"/>
        <v/>
      </c>
      <c r="BK206" s="62">
        <v>300</v>
      </c>
      <c r="BL206" s="49">
        <v>100</v>
      </c>
      <c r="CA206" s="49">
        <v>400</v>
      </c>
      <c r="CB206" s="49">
        <v>1000</v>
      </c>
      <c r="CC206" s="49">
        <v>0</v>
      </c>
      <c r="CD206" s="49">
        <v>0</v>
      </c>
      <c r="CE206" s="49">
        <v>0</v>
      </c>
      <c r="CF206" s="49">
        <v>0</v>
      </c>
      <c r="CG206" s="49">
        <v>0</v>
      </c>
      <c r="CH206" s="49">
        <f t="shared" si="16"/>
        <v>0</v>
      </c>
      <c r="CI206" s="49">
        <v>1</v>
      </c>
      <c r="CJ206" s="49">
        <v>0</v>
      </c>
      <c r="CK206" s="49">
        <v>0</v>
      </c>
      <c r="CL206" s="49">
        <v>0</v>
      </c>
      <c r="CM206" s="49">
        <v>0</v>
      </c>
      <c r="CN206" s="49">
        <v>0</v>
      </c>
      <c r="CO206" s="49">
        <v>0</v>
      </c>
      <c r="CP206" s="49">
        <v>0</v>
      </c>
      <c r="CQ206" s="49">
        <v>1</v>
      </c>
      <c r="CR206" s="49">
        <v>0</v>
      </c>
      <c r="CV206" s="49">
        <v>0</v>
      </c>
      <c r="CW206" s="49">
        <v>0</v>
      </c>
    </row>
    <row r="207" s="49" customFormat="1" customHeight="1" spans="1:101">
      <c r="A207" s="116">
        <v>5390</v>
      </c>
      <c r="B207" s="117" t="s">
        <v>361</v>
      </c>
      <c r="I207" s="49" t="s">
        <v>116</v>
      </c>
      <c r="K207" s="49">
        <v>3000</v>
      </c>
      <c r="N207" s="44"/>
      <c r="O207" s="77"/>
      <c r="P207" s="77"/>
      <c r="Q207" s="77"/>
      <c r="R207" s="77"/>
      <c r="S207" s="64"/>
      <c r="T207" s="64"/>
      <c r="U207" s="64"/>
      <c r="V207" s="64"/>
      <c r="W207" s="63"/>
      <c r="X207" s="63"/>
      <c r="Y207" s="63"/>
      <c r="Z207" s="63"/>
      <c r="AA207" s="78"/>
      <c r="AB207" s="78"/>
      <c r="AC207" s="78"/>
      <c r="AD207" s="78"/>
      <c r="AE207" s="48">
        <v>200109</v>
      </c>
      <c r="AF207" s="49">
        <v>200111</v>
      </c>
      <c r="AG207" s="49" t="s">
        <v>116</v>
      </c>
      <c r="AH207" s="49" t="s">
        <v>116</v>
      </c>
      <c r="AI207" s="49" t="s">
        <v>116</v>
      </c>
      <c r="AJ207" s="49" t="s">
        <v>116</v>
      </c>
      <c r="AK207" s="49" t="s">
        <v>116</v>
      </c>
      <c r="AL207" s="49" t="s">
        <v>116</v>
      </c>
      <c r="AM207" s="49" t="s">
        <v>116</v>
      </c>
      <c r="AN207" s="49" t="s">
        <v>116</v>
      </c>
      <c r="AO207" s="49" t="s">
        <v>116</v>
      </c>
      <c r="AP207" s="49" t="s">
        <v>116</v>
      </c>
      <c r="AQ207" s="49" t="s">
        <v>116</v>
      </c>
      <c r="AR207" s="49" t="s">
        <v>116</v>
      </c>
      <c r="AS207" s="49" t="s">
        <v>116</v>
      </c>
      <c r="AT207" s="49" t="s">
        <v>116</v>
      </c>
      <c r="AU207" s="62">
        <f t="shared" ref="AU207:BJ207" si="38">IF(AE207="","",1)</f>
        <v>1</v>
      </c>
      <c r="AV207" s="49">
        <f t="shared" si="38"/>
        <v>1</v>
      </c>
      <c r="AW207" s="49" t="str">
        <f t="shared" si="38"/>
        <v/>
      </c>
      <c r="AX207" s="49" t="str">
        <f t="shared" si="38"/>
        <v/>
      </c>
      <c r="AY207" s="49" t="str">
        <f t="shared" si="38"/>
        <v/>
      </c>
      <c r="AZ207" s="49" t="str">
        <f t="shared" si="38"/>
        <v/>
      </c>
      <c r="BA207" s="49" t="str">
        <f t="shared" si="38"/>
        <v/>
      </c>
      <c r="BB207" s="49" t="str">
        <f t="shared" si="38"/>
        <v/>
      </c>
      <c r="BC207" s="49" t="str">
        <f t="shared" si="38"/>
        <v/>
      </c>
      <c r="BD207" s="49" t="str">
        <f t="shared" si="38"/>
        <v/>
      </c>
      <c r="BE207" s="49" t="str">
        <f t="shared" si="38"/>
        <v/>
      </c>
      <c r="BF207" s="49" t="str">
        <f t="shared" si="38"/>
        <v/>
      </c>
      <c r="BG207" s="49" t="str">
        <f t="shared" si="38"/>
        <v/>
      </c>
      <c r="BH207" s="49" t="str">
        <f t="shared" si="38"/>
        <v/>
      </c>
      <c r="BI207" s="49" t="str">
        <f t="shared" si="38"/>
        <v/>
      </c>
      <c r="BJ207" s="49" t="str">
        <f t="shared" si="38"/>
        <v/>
      </c>
      <c r="BK207" s="62">
        <v>300</v>
      </c>
      <c r="BL207" s="49">
        <v>100</v>
      </c>
      <c r="CA207" s="49">
        <v>400</v>
      </c>
      <c r="CB207" s="49">
        <v>1000</v>
      </c>
      <c r="CC207" s="49">
        <v>0</v>
      </c>
      <c r="CD207" s="49">
        <v>0</v>
      </c>
      <c r="CE207" s="49">
        <v>0</v>
      </c>
      <c r="CF207" s="49">
        <v>0</v>
      </c>
      <c r="CG207" s="49">
        <v>0</v>
      </c>
      <c r="CH207" s="49">
        <f t="shared" si="16"/>
        <v>0</v>
      </c>
      <c r="CI207" s="49">
        <v>1</v>
      </c>
      <c r="CJ207" s="49">
        <v>0</v>
      </c>
      <c r="CK207" s="49">
        <v>0</v>
      </c>
      <c r="CL207" s="49">
        <v>0</v>
      </c>
      <c r="CM207" s="49">
        <v>0</v>
      </c>
      <c r="CN207" s="49">
        <v>0</v>
      </c>
      <c r="CO207" s="49">
        <v>0</v>
      </c>
      <c r="CP207" s="49">
        <v>0</v>
      </c>
      <c r="CQ207" s="49">
        <v>1</v>
      </c>
      <c r="CR207" s="49">
        <v>0</v>
      </c>
      <c r="CV207" s="49">
        <v>0</v>
      </c>
      <c r="CW207" s="49">
        <v>0</v>
      </c>
    </row>
    <row r="208" s="49" customFormat="1" customHeight="1" spans="1:101">
      <c r="A208" s="116">
        <v>5400</v>
      </c>
      <c r="B208" s="117" t="s">
        <v>362</v>
      </c>
      <c r="I208" s="49" t="s">
        <v>116</v>
      </c>
      <c r="K208" s="49">
        <v>3000</v>
      </c>
      <c r="N208" s="44"/>
      <c r="O208" s="77"/>
      <c r="P208" s="77"/>
      <c r="Q208" s="77"/>
      <c r="R208" s="77"/>
      <c r="S208" s="64"/>
      <c r="T208" s="64"/>
      <c r="U208" s="64"/>
      <c r="V208" s="64"/>
      <c r="W208" s="63"/>
      <c r="X208" s="63"/>
      <c r="Y208" s="63"/>
      <c r="Z208" s="63"/>
      <c r="AA208" s="78"/>
      <c r="AB208" s="78"/>
      <c r="AC208" s="78"/>
      <c r="AD208" s="78"/>
      <c r="AE208" s="48">
        <v>200109</v>
      </c>
      <c r="AF208" s="49">
        <v>200111</v>
      </c>
      <c r="AG208" s="49" t="s">
        <v>116</v>
      </c>
      <c r="AH208" s="49" t="s">
        <v>116</v>
      </c>
      <c r="AI208" s="49" t="s">
        <v>116</v>
      </c>
      <c r="AJ208" s="49" t="s">
        <v>116</v>
      </c>
      <c r="AK208" s="49" t="s">
        <v>116</v>
      </c>
      <c r="AL208" s="49" t="s">
        <v>116</v>
      </c>
      <c r="AM208" s="49" t="s">
        <v>116</v>
      </c>
      <c r="AN208" s="49" t="s">
        <v>116</v>
      </c>
      <c r="AO208" s="49" t="s">
        <v>116</v>
      </c>
      <c r="AP208" s="49" t="s">
        <v>116</v>
      </c>
      <c r="AQ208" s="49" t="s">
        <v>116</v>
      </c>
      <c r="AR208" s="49" t="s">
        <v>116</v>
      </c>
      <c r="AS208" s="49" t="s">
        <v>116</v>
      </c>
      <c r="AT208" s="49" t="s">
        <v>116</v>
      </c>
      <c r="AU208" s="62">
        <f t="shared" ref="AU208:BH208" si="39">IF(AE208="","",1)</f>
        <v>1</v>
      </c>
      <c r="AV208" s="49">
        <f t="shared" si="39"/>
        <v>1</v>
      </c>
      <c r="AW208" s="49" t="str">
        <f t="shared" si="39"/>
        <v/>
      </c>
      <c r="AX208" s="49" t="str">
        <f t="shared" si="39"/>
        <v/>
      </c>
      <c r="AY208" s="49" t="str">
        <f t="shared" si="39"/>
        <v/>
      </c>
      <c r="AZ208" s="49" t="str">
        <f t="shared" si="39"/>
        <v/>
      </c>
      <c r="BA208" s="49" t="str">
        <f t="shared" si="39"/>
        <v/>
      </c>
      <c r="BB208" s="49" t="str">
        <f t="shared" si="39"/>
        <v/>
      </c>
      <c r="BC208" s="49" t="str">
        <f t="shared" si="39"/>
        <v/>
      </c>
      <c r="BD208" s="49" t="str">
        <f t="shared" si="39"/>
        <v/>
      </c>
      <c r="BE208" s="49" t="str">
        <f t="shared" si="39"/>
        <v/>
      </c>
      <c r="BF208" s="49" t="str">
        <f t="shared" si="39"/>
        <v/>
      </c>
      <c r="BG208" s="49" t="str">
        <f t="shared" si="39"/>
        <v/>
      </c>
      <c r="BH208" s="49" t="str">
        <f t="shared" si="39"/>
        <v/>
      </c>
      <c r="BI208" s="49" t="str">
        <f>IF(AS15="","",1)</f>
        <v/>
      </c>
      <c r="BJ208" s="49" t="str">
        <f>IF(AT208="","",1)</f>
        <v/>
      </c>
      <c r="BK208" s="62">
        <v>300</v>
      </c>
      <c r="BL208" s="49">
        <v>100</v>
      </c>
      <c r="CA208" s="49">
        <v>400</v>
      </c>
      <c r="CB208" s="49">
        <v>1000</v>
      </c>
      <c r="CC208" s="49">
        <v>0</v>
      </c>
      <c r="CD208" s="49">
        <v>0</v>
      </c>
      <c r="CE208" s="49">
        <v>0</v>
      </c>
      <c r="CF208" s="49">
        <v>0</v>
      </c>
      <c r="CG208" s="49">
        <v>0</v>
      </c>
      <c r="CH208" s="49">
        <f t="shared" si="16"/>
        <v>0</v>
      </c>
      <c r="CI208" s="49">
        <v>1</v>
      </c>
      <c r="CJ208" s="49">
        <v>0</v>
      </c>
      <c r="CK208" s="49">
        <v>0</v>
      </c>
      <c r="CL208" s="49">
        <v>0</v>
      </c>
      <c r="CM208" s="49">
        <v>0</v>
      </c>
      <c r="CN208" s="49">
        <v>0</v>
      </c>
      <c r="CO208" s="49">
        <v>0</v>
      </c>
      <c r="CP208" s="49">
        <v>0</v>
      </c>
      <c r="CQ208" s="49">
        <v>1</v>
      </c>
      <c r="CR208" s="49">
        <v>0</v>
      </c>
      <c r="CV208" s="49">
        <v>0</v>
      </c>
      <c r="CW208" s="49">
        <v>0</v>
      </c>
    </row>
    <row r="209" s="49" customFormat="1" customHeight="1" spans="1:101">
      <c r="A209" s="116">
        <v>5410</v>
      </c>
      <c r="B209" s="117" t="s">
        <v>363</v>
      </c>
      <c r="I209" s="49" t="s">
        <v>116</v>
      </c>
      <c r="K209" s="49">
        <v>3000</v>
      </c>
      <c r="N209" s="44"/>
      <c r="O209" s="77"/>
      <c r="P209" s="77"/>
      <c r="Q209" s="77"/>
      <c r="R209" s="77"/>
      <c r="S209" s="64"/>
      <c r="T209" s="64"/>
      <c r="U209" s="64"/>
      <c r="V209" s="64"/>
      <c r="W209" s="63"/>
      <c r="X209" s="63"/>
      <c r="Y209" s="63"/>
      <c r="Z209" s="63"/>
      <c r="AA209" s="78"/>
      <c r="AB209" s="78"/>
      <c r="AC209" s="78"/>
      <c r="AD209" s="78"/>
      <c r="AE209" s="48">
        <v>200109</v>
      </c>
      <c r="AF209" s="49">
        <v>200111</v>
      </c>
      <c r="AG209" s="49" t="s">
        <v>116</v>
      </c>
      <c r="AH209" s="49" t="s">
        <v>116</v>
      </c>
      <c r="AI209" s="49" t="s">
        <v>116</v>
      </c>
      <c r="AJ209" s="49" t="s">
        <v>116</v>
      </c>
      <c r="AK209" s="49" t="s">
        <v>116</v>
      </c>
      <c r="AL209" s="49" t="s">
        <v>116</v>
      </c>
      <c r="AM209" s="49" t="s">
        <v>116</v>
      </c>
      <c r="AN209" s="49" t="s">
        <v>116</v>
      </c>
      <c r="AO209" s="49" t="s">
        <v>116</v>
      </c>
      <c r="AP209" s="49" t="s">
        <v>116</v>
      </c>
      <c r="AQ209" s="49" t="s">
        <v>116</v>
      </c>
      <c r="AR209" s="49" t="s">
        <v>116</v>
      </c>
      <c r="AS209" s="49" t="s">
        <v>116</v>
      </c>
      <c r="AT209" s="49" t="s">
        <v>116</v>
      </c>
      <c r="AU209" s="62">
        <f t="shared" ref="AU209:BJ209" si="40">IF(AE209="","",1)</f>
        <v>1</v>
      </c>
      <c r="AV209" s="49">
        <f t="shared" si="40"/>
        <v>1</v>
      </c>
      <c r="AW209" s="49" t="str">
        <f t="shared" si="40"/>
        <v/>
      </c>
      <c r="AX209" s="49" t="str">
        <f t="shared" si="40"/>
        <v/>
      </c>
      <c r="AY209" s="49" t="str">
        <f t="shared" si="40"/>
        <v/>
      </c>
      <c r="AZ209" s="49" t="str">
        <f t="shared" si="40"/>
        <v/>
      </c>
      <c r="BA209" s="49" t="str">
        <f t="shared" si="40"/>
        <v/>
      </c>
      <c r="BB209" s="49" t="str">
        <f t="shared" si="40"/>
        <v/>
      </c>
      <c r="BC209" s="49" t="str">
        <f t="shared" si="40"/>
        <v/>
      </c>
      <c r="BD209" s="49" t="str">
        <f t="shared" si="40"/>
        <v/>
      </c>
      <c r="BE209" s="49" t="str">
        <f t="shared" si="40"/>
        <v/>
      </c>
      <c r="BF209" s="49" t="str">
        <f t="shared" si="40"/>
        <v/>
      </c>
      <c r="BG209" s="49" t="str">
        <f t="shared" si="40"/>
        <v/>
      </c>
      <c r="BH209" s="49" t="str">
        <f t="shared" si="40"/>
        <v/>
      </c>
      <c r="BI209" s="49" t="str">
        <f t="shared" si="40"/>
        <v/>
      </c>
      <c r="BJ209" s="49" t="str">
        <f t="shared" si="40"/>
        <v/>
      </c>
      <c r="BK209" s="62">
        <v>300</v>
      </c>
      <c r="BL209" s="49">
        <v>100</v>
      </c>
      <c r="CA209" s="49">
        <v>400</v>
      </c>
      <c r="CB209" s="49">
        <v>1000</v>
      </c>
      <c r="CC209" s="49">
        <v>0</v>
      </c>
      <c r="CD209" s="49">
        <v>0</v>
      </c>
      <c r="CE209" s="49">
        <v>0</v>
      </c>
      <c r="CF209" s="49">
        <v>0</v>
      </c>
      <c r="CG209" s="49">
        <v>0</v>
      </c>
      <c r="CH209" s="49">
        <f t="shared" si="16"/>
        <v>0</v>
      </c>
      <c r="CI209" s="49">
        <v>1</v>
      </c>
      <c r="CJ209" s="49">
        <v>0</v>
      </c>
      <c r="CK209" s="49">
        <v>0</v>
      </c>
      <c r="CL209" s="49">
        <v>0</v>
      </c>
      <c r="CM209" s="49">
        <v>0</v>
      </c>
      <c r="CN209" s="49">
        <v>0</v>
      </c>
      <c r="CO209" s="49">
        <v>0</v>
      </c>
      <c r="CP209" s="49">
        <v>0</v>
      </c>
      <c r="CQ209" s="49">
        <v>1</v>
      </c>
      <c r="CR209" s="49">
        <v>0</v>
      </c>
      <c r="CV209" s="49">
        <v>0</v>
      </c>
      <c r="CW209" s="49">
        <v>0</v>
      </c>
    </row>
    <row r="210" s="49" customFormat="1" customHeight="1" spans="1:101">
      <c r="A210" s="116">
        <v>5420</v>
      </c>
      <c r="B210" s="117" t="s">
        <v>364</v>
      </c>
      <c r="I210" s="49" t="s">
        <v>116</v>
      </c>
      <c r="K210" s="49">
        <v>3000</v>
      </c>
      <c r="N210" s="44"/>
      <c r="O210" s="77"/>
      <c r="P210" s="77"/>
      <c r="Q210" s="77"/>
      <c r="R210" s="77"/>
      <c r="S210" s="64"/>
      <c r="T210" s="64"/>
      <c r="U210" s="64"/>
      <c r="V210" s="64"/>
      <c r="W210" s="63"/>
      <c r="X210" s="63"/>
      <c r="Y210" s="63"/>
      <c r="Z210" s="63"/>
      <c r="AA210" s="78"/>
      <c r="AB210" s="78"/>
      <c r="AC210" s="78"/>
      <c r="AD210" s="78"/>
      <c r="AE210" s="48">
        <v>200109</v>
      </c>
      <c r="AF210" s="49">
        <v>200111</v>
      </c>
      <c r="AG210" s="49" t="s">
        <v>116</v>
      </c>
      <c r="AH210" s="49" t="s">
        <v>116</v>
      </c>
      <c r="AI210" s="49" t="s">
        <v>116</v>
      </c>
      <c r="AJ210" s="49" t="s">
        <v>116</v>
      </c>
      <c r="AK210" s="49" t="s">
        <v>116</v>
      </c>
      <c r="AL210" s="49" t="s">
        <v>116</v>
      </c>
      <c r="AM210" s="49" t="s">
        <v>116</v>
      </c>
      <c r="AN210" s="49" t="s">
        <v>116</v>
      </c>
      <c r="AO210" s="49" t="s">
        <v>116</v>
      </c>
      <c r="AP210" s="49" t="s">
        <v>116</v>
      </c>
      <c r="AQ210" s="49" t="s">
        <v>116</v>
      </c>
      <c r="AR210" s="49" t="s">
        <v>116</v>
      </c>
      <c r="AS210" s="49" t="s">
        <v>116</v>
      </c>
      <c r="AT210" s="49" t="s">
        <v>116</v>
      </c>
      <c r="AU210" s="62">
        <f t="shared" ref="AU210:BJ210" si="41">IF(AE210="","",1)</f>
        <v>1</v>
      </c>
      <c r="AV210" s="49">
        <f t="shared" si="41"/>
        <v>1</v>
      </c>
      <c r="AW210" s="49" t="str">
        <f t="shared" si="41"/>
        <v/>
      </c>
      <c r="AX210" s="49" t="str">
        <f t="shared" si="41"/>
        <v/>
      </c>
      <c r="AY210" s="49" t="str">
        <f t="shared" si="41"/>
        <v/>
      </c>
      <c r="AZ210" s="49" t="str">
        <f t="shared" si="41"/>
        <v/>
      </c>
      <c r="BA210" s="49" t="str">
        <f t="shared" si="41"/>
        <v/>
      </c>
      <c r="BB210" s="49" t="str">
        <f t="shared" si="41"/>
        <v/>
      </c>
      <c r="BC210" s="49" t="str">
        <f t="shared" si="41"/>
        <v/>
      </c>
      <c r="BD210" s="49" t="str">
        <f t="shared" si="41"/>
        <v/>
      </c>
      <c r="BE210" s="49" t="str">
        <f t="shared" si="41"/>
        <v/>
      </c>
      <c r="BF210" s="49" t="str">
        <f t="shared" si="41"/>
        <v/>
      </c>
      <c r="BG210" s="49" t="str">
        <f t="shared" si="41"/>
        <v/>
      </c>
      <c r="BH210" s="49" t="str">
        <f t="shared" si="41"/>
        <v/>
      </c>
      <c r="BI210" s="49" t="str">
        <f t="shared" si="41"/>
        <v/>
      </c>
      <c r="BJ210" s="49" t="str">
        <f t="shared" si="41"/>
        <v/>
      </c>
      <c r="BK210" s="62">
        <v>300</v>
      </c>
      <c r="BL210" s="49">
        <v>100</v>
      </c>
      <c r="CA210" s="49">
        <v>400</v>
      </c>
      <c r="CB210" s="49">
        <v>1000</v>
      </c>
      <c r="CC210" s="49">
        <v>0</v>
      </c>
      <c r="CD210" s="49">
        <v>0</v>
      </c>
      <c r="CE210" s="49">
        <v>0</v>
      </c>
      <c r="CF210" s="49">
        <v>0</v>
      </c>
      <c r="CG210" s="49">
        <v>0</v>
      </c>
      <c r="CH210" s="49">
        <f t="shared" si="16"/>
        <v>0</v>
      </c>
      <c r="CI210" s="49">
        <v>1</v>
      </c>
      <c r="CJ210" s="49">
        <v>0</v>
      </c>
      <c r="CK210" s="49">
        <v>0</v>
      </c>
      <c r="CL210" s="49">
        <v>0</v>
      </c>
      <c r="CM210" s="49">
        <v>0</v>
      </c>
      <c r="CN210" s="49">
        <v>0</v>
      </c>
      <c r="CO210" s="49">
        <v>0</v>
      </c>
      <c r="CP210" s="49">
        <v>0</v>
      </c>
      <c r="CQ210" s="49">
        <v>1</v>
      </c>
      <c r="CR210" s="49">
        <v>0</v>
      </c>
      <c r="CV210" s="49">
        <v>0</v>
      </c>
      <c r="CW210" s="49">
        <v>0</v>
      </c>
    </row>
    <row r="211" s="49" customFormat="1" customHeight="1" spans="1:101">
      <c r="A211" s="116">
        <v>5430</v>
      </c>
      <c r="B211" s="117" t="s">
        <v>365</v>
      </c>
      <c r="I211" s="49" t="s">
        <v>116</v>
      </c>
      <c r="K211" s="49">
        <v>3000</v>
      </c>
      <c r="N211" s="44"/>
      <c r="O211" s="77"/>
      <c r="P211" s="77"/>
      <c r="Q211" s="77"/>
      <c r="R211" s="77"/>
      <c r="S211" s="64"/>
      <c r="T211" s="64"/>
      <c r="U211" s="64"/>
      <c r="V211" s="64"/>
      <c r="W211" s="63"/>
      <c r="X211" s="63"/>
      <c r="Y211" s="63"/>
      <c r="Z211" s="63"/>
      <c r="AA211" s="78"/>
      <c r="AB211" s="78"/>
      <c r="AC211" s="78"/>
      <c r="AD211" s="78"/>
      <c r="AE211" s="48">
        <v>200109</v>
      </c>
      <c r="AF211" s="49">
        <v>200111</v>
      </c>
      <c r="AG211" s="49" t="s">
        <v>116</v>
      </c>
      <c r="AH211" s="49" t="s">
        <v>116</v>
      </c>
      <c r="AI211" s="49" t="s">
        <v>116</v>
      </c>
      <c r="AJ211" s="49" t="s">
        <v>116</v>
      </c>
      <c r="AK211" s="49" t="s">
        <v>116</v>
      </c>
      <c r="AL211" s="49" t="s">
        <v>116</v>
      </c>
      <c r="AM211" s="49" t="s">
        <v>116</v>
      </c>
      <c r="AN211" s="49" t="s">
        <v>116</v>
      </c>
      <c r="AO211" s="49" t="s">
        <v>116</v>
      </c>
      <c r="AP211" s="49" t="s">
        <v>116</v>
      </c>
      <c r="AQ211" s="49" t="s">
        <v>116</v>
      </c>
      <c r="AR211" s="49" t="s">
        <v>116</v>
      </c>
      <c r="AS211" s="49" t="s">
        <v>116</v>
      </c>
      <c r="AT211" s="49" t="s">
        <v>116</v>
      </c>
      <c r="AU211" s="62">
        <f t="shared" ref="AU211:BJ211" si="42">IF(AE211="","",1)</f>
        <v>1</v>
      </c>
      <c r="AV211" s="49">
        <f t="shared" si="42"/>
        <v>1</v>
      </c>
      <c r="AW211" s="49" t="str">
        <f t="shared" si="42"/>
        <v/>
      </c>
      <c r="AX211" s="49" t="str">
        <f t="shared" si="42"/>
        <v/>
      </c>
      <c r="AY211" s="49" t="str">
        <f t="shared" si="42"/>
        <v/>
      </c>
      <c r="AZ211" s="49" t="str">
        <f t="shared" si="42"/>
        <v/>
      </c>
      <c r="BA211" s="49" t="str">
        <f t="shared" si="42"/>
        <v/>
      </c>
      <c r="BB211" s="49" t="str">
        <f t="shared" si="42"/>
        <v/>
      </c>
      <c r="BC211" s="49" t="str">
        <f t="shared" si="42"/>
        <v/>
      </c>
      <c r="BD211" s="49" t="str">
        <f t="shared" si="42"/>
        <v/>
      </c>
      <c r="BE211" s="49" t="str">
        <f t="shared" si="42"/>
        <v/>
      </c>
      <c r="BF211" s="49" t="str">
        <f t="shared" si="42"/>
        <v/>
      </c>
      <c r="BG211" s="49" t="str">
        <f t="shared" si="42"/>
        <v/>
      </c>
      <c r="BH211" s="49" t="str">
        <f t="shared" si="42"/>
        <v/>
      </c>
      <c r="BI211" s="49" t="str">
        <f t="shared" si="42"/>
        <v/>
      </c>
      <c r="BJ211" s="49" t="str">
        <f t="shared" si="42"/>
        <v/>
      </c>
      <c r="BK211" s="62">
        <v>300</v>
      </c>
      <c r="BL211" s="49">
        <v>100</v>
      </c>
      <c r="CA211" s="49">
        <v>400</v>
      </c>
      <c r="CB211" s="49">
        <v>1000</v>
      </c>
      <c r="CC211" s="49">
        <v>0</v>
      </c>
      <c r="CD211" s="49">
        <v>0</v>
      </c>
      <c r="CE211" s="49">
        <v>0</v>
      </c>
      <c r="CF211" s="49">
        <v>0</v>
      </c>
      <c r="CG211" s="49">
        <v>0</v>
      </c>
      <c r="CH211" s="49">
        <f t="shared" si="16"/>
        <v>0</v>
      </c>
      <c r="CI211" s="49">
        <v>1</v>
      </c>
      <c r="CJ211" s="49">
        <v>0</v>
      </c>
      <c r="CK211" s="49">
        <v>0</v>
      </c>
      <c r="CL211" s="49">
        <v>0</v>
      </c>
      <c r="CM211" s="49">
        <v>0</v>
      </c>
      <c r="CN211" s="49">
        <v>0</v>
      </c>
      <c r="CO211" s="49">
        <v>0</v>
      </c>
      <c r="CP211" s="49">
        <v>0</v>
      </c>
      <c r="CQ211" s="49">
        <v>1</v>
      </c>
      <c r="CR211" s="49">
        <v>0</v>
      </c>
      <c r="CV211" s="49">
        <v>0</v>
      </c>
      <c r="CW211" s="49">
        <v>0</v>
      </c>
    </row>
    <row r="212" s="44" customFormat="1" customHeight="1" spans="1:101">
      <c r="A212" s="45">
        <v>5440</v>
      </c>
      <c r="B212" s="44" t="s">
        <v>366</v>
      </c>
      <c r="H212" s="44" t="s">
        <v>116</v>
      </c>
      <c r="I212" s="44" t="s">
        <v>116</v>
      </c>
      <c r="K212" s="44" t="s">
        <v>116</v>
      </c>
      <c r="O212" s="77"/>
      <c r="P212" s="77"/>
      <c r="Q212" s="77"/>
      <c r="R212" s="77"/>
      <c r="S212" s="64"/>
      <c r="T212" s="64"/>
      <c r="U212" s="64"/>
      <c r="V212" s="64"/>
      <c r="W212" s="63"/>
      <c r="X212" s="63"/>
      <c r="Y212" s="63"/>
      <c r="Z212" s="63"/>
      <c r="AA212" s="78"/>
      <c r="AB212" s="78"/>
      <c r="AC212" s="78"/>
      <c r="AD212" s="78"/>
      <c r="AE212" s="48">
        <v>200323</v>
      </c>
      <c r="AF212" s="48"/>
      <c r="AG212" s="48"/>
      <c r="AS212" s="44" t="s">
        <v>116</v>
      </c>
      <c r="AT212" s="44" t="s">
        <v>116</v>
      </c>
      <c r="AU212" s="62">
        <v>1</v>
      </c>
      <c r="BK212" s="62">
        <v>100</v>
      </c>
      <c r="CA212" s="48">
        <f t="shared" ref="CA212:CA216" si="43">SUM(BK212:BZ212)</f>
        <v>100</v>
      </c>
      <c r="CB212" s="48">
        <f t="shared" ref="CB212:CB216" si="44">SUM(BL212:CA212)</f>
        <v>100</v>
      </c>
      <c r="CC212" s="44">
        <v>0</v>
      </c>
      <c r="CD212" s="44">
        <v>0</v>
      </c>
      <c r="CE212" s="44">
        <v>0</v>
      </c>
      <c r="CF212" s="44">
        <v>0</v>
      </c>
      <c r="CG212" s="44">
        <v>0</v>
      </c>
      <c r="CH212" s="44">
        <v>0</v>
      </c>
      <c r="CI212" s="44">
        <v>1</v>
      </c>
      <c r="CJ212" s="44">
        <v>0</v>
      </c>
      <c r="CK212" s="44">
        <v>0</v>
      </c>
      <c r="CL212" s="44">
        <v>0</v>
      </c>
      <c r="CM212" s="44">
        <v>0</v>
      </c>
      <c r="CN212" s="44">
        <v>0</v>
      </c>
      <c r="CO212" s="44">
        <v>0</v>
      </c>
      <c r="CP212" s="44">
        <v>0</v>
      </c>
      <c r="CQ212" s="44">
        <v>0</v>
      </c>
      <c r="CR212" s="44">
        <v>0</v>
      </c>
      <c r="CV212" s="44">
        <v>0</v>
      </c>
      <c r="CW212" s="44">
        <v>0</v>
      </c>
    </row>
    <row r="213" s="44" customFormat="1" customHeight="1" spans="1:101">
      <c r="A213" s="45">
        <v>5450</v>
      </c>
      <c r="B213" s="44" t="s">
        <v>367</v>
      </c>
      <c r="H213" s="44" t="s">
        <v>116</v>
      </c>
      <c r="I213" s="44" t="s">
        <v>116</v>
      </c>
      <c r="K213" s="44" t="s">
        <v>116</v>
      </c>
      <c r="O213" s="77"/>
      <c r="P213" s="77"/>
      <c r="Q213" s="77"/>
      <c r="R213" s="77"/>
      <c r="S213" s="64"/>
      <c r="T213" s="64"/>
      <c r="U213" s="64"/>
      <c r="V213" s="64"/>
      <c r="W213" s="63"/>
      <c r="X213" s="63"/>
      <c r="Y213" s="63"/>
      <c r="Z213" s="63"/>
      <c r="AA213" s="78"/>
      <c r="AB213" s="78"/>
      <c r="AC213" s="78"/>
      <c r="AD213" s="78"/>
      <c r="AE213" s="48">
        <v>200323</v>
      </c>
      <c r="AF213" s="48"/>
      <c r="AG213" s="48"/>
      <c r="AT213" s="44" t="s">
        <v>116</v>
      </c>
      <c r="AU213" s="62">
        <v>1</v>
      </c>
      <c r="BK213" s="62">
        <v>100</v>
      </c>
      <c r="CA213" s="48">
        <f t="shared" si="43"/>
        <v>100</v>
      </c>
      <c r="CB213" s="48">
        <f t="shared" si="44"/>
        <v>100</v>
      </c>
      <c r="CC213" s="44">
        <v>0</v>
      </c>
      <c r="CD213" s="44">
        <v>0</v>
      </c>
      <c r="CE213" s="44">
        <v>0</v>
      </c>
      <c r="CF213" s="44">
        <v>0</v>
      </c>
      <c r="CG213" s="44">
        <v>0</v>
      </c>
      <c r="CH213" s="44">
        <v>0</v>
      </c>
      <c r="CI213" s="44">
        <v>1</v>
      </c>
      <c r="CJ213" s="44">
        <v>0</v>
      </c>
      <c r="CK213" s="44">
        <v>0</v>
      </c>
      <c r="CL213" s="44">
        <v>0</v>
      </c>
      <c r="CM213" s="44">
        <v>0</v>
      </c>
      <c r="CN213" s="44">
        <v>0</v>
      </c>
      <c r="CO213" s="44">
        <v>0</v>
      </c>
      <c r="CP213" s="44">
        <v>0</v>
      </c>
      <c r="CQ213" s="44">
        <v>0</v>
      </c>
      <c r="CR213" s="44">
        <v>0</v>
      </c>
      <c r="CV213" s="44">
        <v>0</v>
      </c>
      <c r="CW213" s="44">
        <v>0</v>
      </c>
    </row>
    <row r="214" s="44" customFormat="1" customHeight="1" spans="1:101">
      <c r="A214" s="45">
        <v>5460</v>
      </c>
      <c r="B214" s="44" t="s">
        <v>368</v>
      </c>
      <c r="H214" s="44" t="s">
        <v>116</v>
      </c>
      <c r="I214" s="44" t="s">
        <v>116</v>
      </c>
      <c r="K214" s="44" t="s">
        <v>116</v>
      </c>
      <c r="O214" s="77"/>
      <c r="P214" s="77"/>
      <c r="Q214" s="77"/>
      <c r="R214" s="77"/>
      <c r="S214" s="64"/>
      <c r="T214" s="64"/>
      <c r="U214" s="64"/>
      <c r="V214" s="64"/>
      <c r="W214" s="63"/>
      <c r="X214" s="63"/>
      <c r="Y214" s="63"/>
      <c r="Z214" s="63"/>
      <c r="AA214" s="78"/>
      <c r="AB214" s="78"/>
      <c r="AC214" s="78"/>
      <c r="AD214" s="78"/>
      <c r="AE214" s="48">
        <v>200323</v>
      </c>
      <c r="AF214" s="48"/>
      <c r="AG214" s="48"/>
      <c r="AT214" s="44" t="s">
        <v>116</v>
      </c>
      <c r="AU214" s="62">
        <v>1</v>
      </c>
      <c r="BK214" s="62">
        <v>100</v>
      </c>
      <c r="CA214" s="48">
        <f t="shared" si="43"/>
        <v>100</v>
      </c>
      <c r="CB214" s="48">
        <f t="shared" si="44"/>
        <v>100</v>
      </c>
      <c r="CC214" s="44">
        <v>0</v>
      </c>
      <c r="CD214" s="44">
        <v>0</v>
      </c>
      <c r="CE214" s="44">
        <v>0</v>
      </c>
      <c r="CF214" s="44">
        <v>0</v>
      </c>
      <c r="CG214" s="44">
        <v>0</v>
      </c>
      <c r="CH214" s="44">
        <v>0</v>
      </c>
      <c r="CI214" s="44">
        <v>1</v>
      </c>
      <c r="CJ214" s="44">
        <v>0</v>
      </c>
      <c r="CK214" s="44">
        <v>0</v>
      </c>
      <c r="CL214" s="44">
        <v>0</v>
      </c>
      <c r="CM214" s="44">
        <v>0</v>
      </c>
      <c r="CN214" s="44">
        <v>0</v>
      </c>
      <c r="CO214" s="44">
        <v>0</v>
      </c>
      <c r="CP214" s="44">
        <v>0</v>
      </c>
      <c r="CQ214" s="44">
        <v>0</v>
      </c>
      <c r="CR214" s="44">
        <v>0</v>
      </c>
      <c r="CV214" s="44">
        <v>0</v>
      </c>
      <c r="CW214" s="44">
        <v>0</v>
      </c>
    </row>
    <row r="215" s="44" customFormat="1" customHeight="1" spans="1:101">
      <c r="A215" s="45">
        <v>5470</v>
      </c>
      <c r="B215" s="44" t="s">
        <v>369</v>
      </c>
      <c r="H215" s="44" t="s">
        <v>116</v>
      </c>
      <c r="I215" s="44" t="s">
        <v>116</v>
      </c>
      <c r="K215" s="44" t="s">
        <v>116</v>
      </c>
      <c r="O215" s="77"/>
      <c r="P215" s="77"/>
      <c r="Q215" s="77"/>
      <c r="R215" s="77"/>
      <c r="S215" s="64"/>
      <c r="T215" s="64"/>
      <c r="U215" s="64"/>
      <c r="V215" s="64"/>
      <c r="W215" s="63"/>
      <c r="X215" s="63"/>
      <c r="Y215" s="63"/>
      <c r="Z215" s="63"/>
      <c r="AA215" s="78"/>
      <c r="AB215" s="78"/>
      <c r="AC215" s="78"/>
      <c r="AD215" s="78"/>
      <c r="AE215" s="48">
        <v>200323</v>
      </c>
      <c r="AF215" s="48"/>
      <c r="AG215" s="48"/>
      <c r="AT215" s="44" t="s">
        <v>116</v>
      </c>
      <c r="AU215" s="62">
        <v>1</v>
      </c>
      <c r="BK215" s="62">
        <v>100</v>
      </c>
      <c r="CA215" s="48">
        <f t="shared" si="43"/>
        <v>100</v>
      </c>
      <c r="CB215" s="48">
        <f t="shared" si="44"/>
        <v>100</v>
      </c>
      <c r="CC215" s="44">
        <v>0</v>
      </c>
      <c r="CD215" s="44">
        <v>0</v>
      </c>
      <c r="CE215" s="44">
        <v>0</v>
      </c>
      <c r="CF215" s="44">
        <v>0</v>
      </c>
      <c r="CG215" s="44">
        <v>0</v>
      </c>
      <c r="CH215" s="44">
        <v>0</v>
      </c>
      <c r="CI215" s="44">
        <v>1</v>
      </c>
      <c r="CJ215" s="44">
        <v>0</v>
      </c>
      <c r="CK215" s="44">
        <v>0</v>
      </c>
      <c r="CL215" s="44">
        <v>0</v>
      </c>
      <c r="CM215" s="44">
        <v>0</v>
      </c>
      <c r="CN215" s="44">
        <v>0</v>
      </c>
      <c r="CO215" s="44">
        <v>0</v>
      </c>
      <c r="CP215" s="44">
        <v>0</v>
      </c>
      <c r="CQ215" s="44">
        <v>0</v>
      </c>
      <c r="CR215" s="44">
        <v>0</v>
      </c>
      <c r="CV215" s="44">
        <v>0</v>
      </c>
      <c r="CW215" s="44">
        <v>0</v>
      </c>
    </row>
    <row r="216" s="44" customFormat="1" customHeight="1" spans="1:101">
      <c r="A216" s="45">
        <v>5480</v>
      </c>
      <c r="B216" s="44" t="s">
        <v>370</v>
      </c>
      <c r="H216" s="44" t="s">
        <v>116</v>
      </c>
      <c r="I216" s="44" t="s">
        <v>116</v>
      </c>
      <c r="K216" s="44" t="s">
        <v>116</v>
      </c>
      <c r="O216" s="77"/>
      <c r="P216" s="77"/>
      <c r="Q216" s="77"/>
      <c r="R216" s="77"/>
      <c r="S216" s="64"/>
      <c r="T216" s="64"/>
      <c r="U216" s="64"/>
      <c r="V216" s="64"/>
      <c r="W216" s="63"/>
      <c r="X216" s="63"/>
      <c r="Y216" s="63"/>
      <c r="Z216" s="63"/>
      <c r="AA216" s="78"/>
      <c r="AB216" s="78"/>
      <c r="AC216" s="78"/>
      <c r="AD216" s="78"/>
      <c r="AE216" s="48">
        <v>200323</v>
      </c>
      <c r="AF216" s="48"/>
      <c r="AG216" s="48"/>
      <c r="AU216" s="62">
        <v>1</v>
      </c>
      <c r="BK216" s="62">
        <v>100</v>
      </c>
      <c r="CA216" s="48">
        <f t="shared" si="43"/>
        <v>100</v>
      </c>
      <c r="CB216" s="48">
        <f t="shared" si="44"/>
        <v>100</v>
      </c>
      <c r="CC216" s="44">
        <v>0</v>
      </c>
      <c r="CD216" s="44">
        <v>0</v>
      </c>
      <c r="CE216" s="44">
        <v>0</v>
      </c>
      <c r="CF216" s="44">
        <v>0</v>
      </c>
      <c r="CG216" s="44">
        <v>0</v>
      </c>
      <c r="CH216" s="44">
        <v>0</v>
      </c>
      <c r="CI216" s="44">
        <v>1</v>
      </c>
      <c r="CJ216" s="44">
        <v>0</v>
      </c>
      <c r="CK216" s="44">
        <v>0</v>
      </c>
      <c r="CL216" s="44">
        <v>0</v>
      </c>
      <c r="CM216" s="44">
        <v>0</v>
      </c>
      <c r="CN216" s="44">
        <v>0</v>
      </c>
      <c r="CO216" s="44">
        <v>0</v>
      </c>
      <c r="CP216" s="44">
        <v>0</v>
      </c>
      <c r="CQ216" s="44">
        <v>0</v>
      </c>
      <c r="CR216" s="44">
        <v>0</v>
      </c>
      <c r="CV216" s="44">
        <v>0</v>
      </c>
      <c r="CW216" s="44">
        <v>0</v>
      </c>
    </row>
    <row r="217" s="44" customFormat="1" customHeight="1" spans="1:101">
      <c r="A217" s="45">
        <v>5481</v>
      </c>
      <c r="B217" s="79" t="s">
        <v>371</v>
      </c>
      <c r="K217" s="44" t="s">
        <v>372</v>
      </c>
      <c r="O217" s="77"/>
      <c r="P217" s="77"/>
      <c r="Q217" s="77"/>
      <c r="R217" s="77"/>
      <c r="S217" s="64"/>
      <c r="T217" s="64"/>
      <c r="U217" s="64"/>
      <c r="V217" s="64"/>
      <c r="W217" s="63"/>
      <c r="X217" s="63"/>
      <c r="Y217" s="63"/>
      <c r="Z217" s="63"/>
      <c r="AA217" s="78"/>
      <c r="AB217" s="78"/>
      <c r="AC217" s="78"/>
      <c r="AD217" s="78"/>
      <c r="AE217" s="48"/>
      <c r="AF217" s="44" t="s">
        <v>116</v>
      </c>
      <c r="AG217" s="44" t="s">
        <v>116</v>
      </c>
      <c r="AH217" s="44" t="s">
        <v>116</v>
      </c>
      <c r="AI217" s="44" t="s">
        <v>116</v>
      </c>
      <c r="AJ217" s="44" t="s">
        <v>116</v>
      </c>
      <c r="AK217" s="44" t="s">
        <v>116</v>
      </c>
      <c r="AL217" s="44" t="s">
        <v>116</v>
      </c>
      <c r="AM217" s="44" t="s">
        <v>116</v>
      </c>
      <c r="AR217" s="44" t="s">
        <v>116</v>
      </c>
      <c r="AS217" s="44" t="s">
        <v>116</v>
      </c>
      <c r="AT217" s="44" t="s">
        <v>116</v>
      </c>
      <c r="AU217" s="62"/>
      <c r="BK217" s="62"/>
      <c r="CA217" s="44">
        <v>0</v>
      </c>
      <c r="CB217" s="44">
        <v>1000</v>
      </c>
      <c r="CC217" s="44">
        <v>0</v>
      </c>
      <c r="CD217" s="44">
        <v>0</v>
      </c>
      <c r="CE217" s="44">
        <v>0</v>
      </c>
      <c r="CF217" s="44">
        <v>0</v>
      </c>
      <c r="CG217" s="44">
        <v>0</v>
      </c>
      <c r="CH217" s="44">
        <v>0</v>
      </c>
      <c r="CI217" s="44">
        <v>1</v>
      </c>
      <c r="CK217" s="44">
        <v>0</v>
      </c>
      <c r="CL217" s="44">
        <v>0</v>
      </c>
      <c r="CM217" s="44">
        <v>0</v>
      </c>
      <c r="CN217" s="44">
        <v>0</v>
      </c>
      <c r="CO217" s="44">
        <v>0</v>
      </c>
      <c r="CP217" s="44">
        <v>0</v>
      </c>
      <c r="CQ217" s="44">
        <v>0</v>
      </c>
      <c r="CR217" s="44">
        <v>0</v>
      </c>
      <c r="CV217" s="44">
        <v>0</v>
      </c>
      <c r="CW217" s="44">
        <v>0</v>
      </c>
    </row>
    <row r="218" s="44" customFormat="1" customHeight="1" spans="1:101">
      <c r="A218" s="45">
        <v>5490</v>
      </c>
      <c r="B218" s="79" t="s">
        <v>373</v>
      </c>
      <c r="H218" s="44" t="s">
        <v>116</v>
      </c>
      <c r="I218" s="44" t="s">
        <v>116</v>
      </c>
      <c r="K218" s="44" t="s">
        <v>116</v>
      </c>
      <c r="O218" s="77"/>
      <c r="P218" s="77"/>
      <c r="Q218" s="77"/>
      <c r="R218" s="77"/>
      <c r="S218" s="64"/>
      <c r="T218" s="64"/>
      <c r="U218" s="64"/>
      <c r="V218" s="64"/>
      <c r="W218" s="63"/>
      <c r="X218" s="63"/>
      <c r="Y218" s="63"/>
      <c r="Z218" s="63"/>
      <c r="AA218" s="78"/>
      <c r="AB218" s="78"/>
      <c r="AC218" s="78"/>
      <c r="AD218" s="78"/>
      <c r="AE218" s="48">
        <v>200666</v>
      </c>
      <c r="AF218" s="44">
        <v>200667</v>
      </c>
      <c r="AG218" s="44">
        <v>200668</v>
      </c>
      <c r="AH218" s="44">
        <v>200669</v>
      </c>
      <c r="AI218" s="44">
        <v>200670</v>
      </c>
      <c r="AJ218" s="44">
        <v>200671</v>
      </c>
      <c r="AP218" s="44" t="s">
        <v>116</v>
      </c>
      <c r="AQ218" s="44" t="s">
        <v>116</v>
      </c>
      <c r="AR218" s="44" t="s">
        <v>116</v>
      </c>
      <c r="AS218" s="44" t="s">
        <v>116</v>
      </c>
      <c r="AT218" s="44" t="s">
        <v>116</v>
      </c>
      <c r="AU218" s="62">
        <v>1</v>
      </c>
      <c r="AV218" s="44">
        <v>1</v>
      </c>
      <c r="AW218" s="44">
        <v>1</v>
      </c>
      <c r="AX218" s="44">
        <v>1</v>
      </c>
      <c r="AY218" s="44">
        <v>1</v>
      </c>
      <c r="AZ218" s="44">
        <v>1</v>
      </c>
      <c r="BK218" s="62">
        <v>100</v>
      </c>
      <c r="BL218" s="44">
        <v>100</v>
      </c>
      <c r="BM218" s="44">
        <v>100</v>
      </c>
      <c r="BN218" s="44">
        <v>100</v>
      </c>
      <c r="BO218" s="44">
        <v>100</v>
      </c>
      <c r="BP218" s="44">
        <v>100</v>
      </c>
      <c r="CA218" s="44">
        <v>600</v>
      </c>
      <c r="CB218" s="44">
        <v>600</v>
      </c>
      <c r="CC218" s="44">
        <v>0</v>
      </c>
      <c r="CD218" s="44">
        <v>0</v>
      </c>
      <c r="CE218" s="44">
        <v>0</v>
      </c>
      <c r="CF218" s="44">
        <v>0</v>
      </c>
      <c r="CG218" s="44">
        <v>0</v>
      </c>
      <c r="CH218" s="44">
        <v>0</v>
      </c>
      <c r="CI218" s="44">
        <v>1</v>
      </c>
      <c r="CJ218" s="44">
        <v>0</v>
      </c>
      <c r="CK218" s="44">
        <v>0</v>
      </c>
      <c r="CL218" s="44">
        <v>0</v>
      </c>
      <c r="CM218" s="44">
        <v>0</v>
      </c>
      <c r="CN218" s="44">
        <v>0</v>
      </c>
      <c r="CO218" s="44">
        <v>0</v>
      </c>
      <c r="CP218" s="44">
        <v>0</v>
      </c>
      <c r="CQ218" s="44">
        <v>0</v>
      </c>
      <c r="CR218" s="44">
        <v>0</v>
      </c>
      <c r="CV218" s="44">
        <v>0</v>
      </c>
      <c r="CW218" s="44">
        <v>0</v>
      </c>
    </row>
    <row r="219" s="49" customFormat="1" customHeight="1" spans="1:101">
      <c r="A219" s="49">
        <v>5491</v>
      </c>
      <c r="B219" s="117" t="s">
        <v>374</v>
      </c>
      <c r="H219" s="49" t="s">
        <v>116</v>
      </c>
      <c r="N219" s="44"/>
      <c r="O219" s="77"/>
      <c r="P219" s="77"/>
      <c r="Q219" s="77"/>
      <c r="R219" s="77"/>
      <c r="S219" s="64"/>
      <c r="T219" s="64"/>
      <c r="U219" s="64"/>
      <c r="V219" s="64"/>
      <c r="W219" s="63"/>
      <c r="X219" s="63"/>
      <c r="Y219" s="63"/>
      <c r="Z219" s="63"/>
      <c r="AA219" s="78"/>
      <c r="AB219" s="78"/>
      <c r="AC219" s="78"/>
      <c r="AD219" s="78"/>
      <c r="AE219" s="48">
        <v>200008</v>
      </c>
      <c r="AF219" s="49" t="s">
        <v>116</v>
      </c>
      <c r="AG219" s="49" t="s">
        <v>116</v>
      </c>
      <c r="AH219" s="49" t="s">
        <v>116</v>
      </c>
      <c r="AI219" s="49" t="s">
        <v>116</v>
      </c>
      <c r="AJ219" s="49" t="s">
        <v>116</v>
      </c>
      <c r="AK219" s="49" t="s">
        <v>116</v>
      </c>
      <c r="AL219" s="49" t="s">
        <v>116</v>
      </c>
      <c r="AM219" s="49" t="s">
        <v>116</v>
      </c>
      <c r="AN219" s="49" t="s">
        <v>116</v>
      </c>
      <c r="AO219" s="49" t="s">
        <v>116</v>
      </c>
      <c r="AP219" s="49" t="s">
        <v>116</v>
      </c>
      <c r="AQ219" s="49" t="s">
        <v>116</v>
      </c>
      <c r="AR219" s="49" t="s">
        <v>116</v>
      </c>
      <c r="AS219" s="49" t="s">
        <v>116</v>
      </c>
      <c r="AT219" s="49" t="s">
        <v>116</v>
      </c>
      <c r="AU219" s="62">
        <v>1</v>
      </c>
      <c r="BK219" s="62">
        <v>1000</v>
      </c>
      <c r="CA219" s="49">
        <v>1000</v>
      </c>
      <c r="CB219" s="49">
        <v>1000</v>
      </c>
      <c r="CC219" s="49">
        <v>0</v>
      </c>
      <c r="CD219" s="49">
        <v>0</v>
      </c>
      <c r="CE219" s="49">
        <v>0</v>
      </c>
      <c r="CF219" s="49">
        <v>0</v>
      </c>
      <c r="CG219" s="49">
        <v>0</v>
      </c>
      <c r="CH219" s="49">
        <v>0</v>
      </c>
      <c r="CI219" s="49">
        <v>1</v>
      </c>
      <c r="CK219" s="49">
        <v>0</v>
      </c>
      <c r="CL219" s="49">
        <v>0</v>
      </c>
      <c r="CM219" s="49">
        <v>0</v>
      </c>
      <c r="CN219" s="49">
        <v>0</v>
      </c>
      <c r="CO219" s="49">
        <v>331300</v>
      </c>
      <c r="CP219" s="49">
        <v>150190</v>
      </c>
      <c r="CQ219" s="49">
        <v>1</v>
      </c>
      <c r="CR219" s="49">
        <v>0</v>
      </c>
      <c r="CV219" s="49">
        <v>0</v>
      </c>
      <c r="CW219" s="49">
        <v>0</v>
      </c>
    </row>
    <row r="220" s="48" customFormat="1" customHeight="1" spans="1:101">
      <c r="A220" s="48">
        <v>5492</v>
      </c>
      <c r="B220" s="118" t="s">
        <v>375</v>
      </c>
      <c r="H220" s="48" t="s">
        <v>376</v>
      </c>
      <c r="I220" s="48" t="s">
        <v>377</v>
      </c>
      <c r="N220" s="44"/>
      <c r="O220" s="77"/>
      <c r="P220" s="77"/>
      <c r="Q220" s="77"/>
      <c r="R220" s="77"/>
      <c r="S220" s="64"/>
      <c r="T220" s="64"/>
      <c r="U220" s="64"/>
      <c r="V220" s="64"/>
      <c r="W220" s="63"/>
      <c r="X220" s="63"/>
      <c r="Y220" s="63"/>
      <c r="Z220" s="63"/>
      <c r="AA220" s="78"/>
      <c r="AB220" s="78"/>
      <c r="AC220" s="78"/>
      <c r="AD220" s="78"/>
      <c r="AE220" s="48">
        <v>200323</v>
      </c>
      <c r="AT220" s="48" t="s">
        <v>116</v>
      </c>
      <c r="AU220" s="62">
        <v>1</v>
      </c>
      <c r="BK220" s="62">
        <v>100</v>
      </c>
      <c r="CA220" s="48">
        <f>SUM(BK220:BZ220)</f>
        <v>100</v>
      </c>
      <c r="CB220" s="48">
        <f>SUM(BL220:CA220)</f>
        <v>100</v>
      </c>
      <c r="CC220" s="48">
        <v>0</v>
      </c>
      <c r="CD220" s="48">
        <v>0</v>
      </c>
      <c r="CE220" s="48">
        <v>0</v>
      </c>
      <c r="CF220" s="48">
        <v>0</v>
      </c>
      <c r="CG220" s="48">
        <v>0</v>
      </c>
      <c r="CH220" s="48">
        <v>0</v>
      </c>
      <c r="CI220" s="48">
        <v>1</v>
      </c>
      <c r="CK220" s="48">
        <v>0</v>
      </c>
      <c r="CL220" s="48">
        <v>0</v>
      </c>
      <c r="CM220" s="48">
        <v>0</v>
      </c>
      <c r="CN220" s="48">
        <v>0</v>
      </c>
      <c r="CO220" s="48">
        <v>0</v>
      </c>
      <c r="CP220" s="48">
        <v>0</v>
      </c>
      <c r="CQ220" s="48">
        <v>1</v>
      </c>
      <c r="CR220" s="48">
        <v>0</v>
      </c>
      <c r="CV220" s="48">
        <v>0</v>
      </c>
      <c r="CW220" s="48">
        <v>0</v>
      </c>
    </row>
    <row r="221" s="44" customFormat="1" customHeight="1" spans="1:101">
      <c r="A221" s="44">
        <v>5493</v>
      </c>
      <c r="B221" s="79" t="s">
        <v>378</v>
      </c>
      <c r="H221" s="44" t="s">
        <v>116</v>
      </c>
      <c r="K221" s="44">
        <v>20000</v>
      </c>
      <c r="O221" s="77"/>
      <c r="P221" s="77"/>
      <c r="Q221" s="77"/>
      <c r="R221" s="77"/>
      <c r="S221" s="64"/>
      <c r="T221" s="64"/>
      <c r="U221" s="64"/>
      <c r="V221" s="64"/>
      <c r="W221" s="63"/>
      <c r="X221" s="63"/>
      <c r="Y221" s="63"/>
      <c r="Z221" s="63"/>
      <c r="AA221" s="78"/>
      <c r="AB221" s="78"/>
      <c r="AC221" s="78"/>
      <c r="AD221" s="78"/>
      <c r="AE221" s="48">
        <v>200008</v>
      </c>
      <c r="AF221" s="44" t="s">
        <v>116</v>
      </c>
      <c r="AG221" s="44" t="s">
        <v>116</v>
      </c>
      <c r="AH221" s="44" t="s">
        <v>116</v>
      </c>
      <c r="AI221" s="44" t="s">
        <v>116</v>
      </c>
      <c r="AJ221" s="44" t="s">
        <v>116</v>
      </c>
      <c r="AK221" s="44" t="s">
        <v>116</v>
      </c>
      <c r="AL221" s="44" t="s">
        <v>116</v>
      </c>
      <c r="AM221" s="44" t="s">
        <v>116</v>
      </c>
      <c r="AN221" s="44" t="s">
        <v>116</v>
      </c>
      <c r="AO221" s="44" t="s">
        <v>116</v>
      </c>
      <c r="AP221" s="44" t="s">
        <v>116</v>
      </c>
      <c r="AQ221" s="44" t="s">
        <v>116</v>
      </c>
      <c r="AR221" s="44" t="s">
        <v>116</v>
      </c>
      <c r="AS221" s="44" t="s">
        <v>116</v>
      </c>
      <c r="AT221" s="44" t="s">
        <v>116</v>
      </c>
      <c r="AU221" s="62">
        <v>1</v>
      </c>
      <c r="BK221" s="62">
        <v>500</v>
      </c>
      <c r="CA221" s="44">
        <v>500</v>
      </c>
      <c r="CB221" s="44">
        <v>1000</v>
      </c>
      <c r="CC221" s="44">
        <v>0</v>
      </c>
      <c r="CD221" s="44">
        <v>0</v>
      </c>
      <c r="CE221" s="44">
        <v>0</v>
      </c>
      <c r="CF221" s="44">
        <v>0</v>
      </c>
      <c r="CG221" s="44">
        <v>0</v>
      </c>
      <c r="CH221" s="44">
        <v>0</v>
      </c>
      <c r="CI221" s="44">
        <v>1</v>
      </c>
      <c r="CK221" s="44">
        <v>0</v>
      </c>
      <c r="CL221" s="44">
        <v>0</v>
      </c>
      <c r="CM221" s="44">
        <v>0</v>
      </c>
      <c r="CN221" s="44">
        <v>0</v>
      </c>
      <c r="CO221" s="44">
        <v>331300</v>
      </c>
      <c r="CP221" s="44">
        <v>150190</v>
      </c>
      <c r="CQ221" s="44">
        <v>1</v>
      </c>
      <c r="CR221" s="44">
        <v>0</v>
      </c>
      <c r="CV221" s="44">
        <v>0</v>
      </c>
      <c r="CW221" s="44">
        <v>0</v>
      </c>
    </row>
    <row r="222" s="44" customFormat="1" customHeight="1" spans="1:101">
      <c r="A222" s="44">
        <v>5494</v>
      </c>
      <c r="B222" s="79" t="s">
        <v>379</v>
      </c>
      <c r="H222" s="44">
        <v>300000</v>
      </c>
      <c r="K222" s="44" t="s">
        <v>116</v>
      </c>
      <c r="O222" s="77"/>
      <c r="P222" s="77"/>
      <c r="Q222" s="77"/>
      <c r="R222" s="77"/>
      <c r="S222" s="64"/>
      <c r="T222" s="64"/>
      <c r="U222" s="64"/>
      <c r="V222" s="64"/>
      <c r="W222" s="63"/>
      <c r="X222" s="63"/>
      <c r="Y222" s="63"/>
      <c r="Z222" s="63"/>
      <c r="AA222" s="78"/>
      <c r="AB222" s="78"/>
      <c r="AC222" s="78"/>
      <c r="AD222" s="78"/>
      <c r="AE222" s="48">
        <v>200498</v>
      </c>
      <c r="AF222" s="44">
        <v>200498</v>
      </c>
      <c r="AG222" s="44">
        <v>200498</v>
      </c>
      <c r="AH222" s="44">
        <v>200498</v>
      </c>
      <c r="AI222" s="44">
        <v>200498</v>
      </c>
      <c r="AJ222" s="44" t="s">
        <v>116</v>
      </c>
      <c r="AK222" s="44" t="s">
        <v>116</v>
      </c>
      <c r="AL222" s="44" t="s">
        <v>116</v>
      </c>
      <c r="AM222" s="44" t="s">
        <v>116</v>
      </c>
      <c r="AN222" s="44" t="s">
        <v>116</v>
      </c>
      <c r="AO222" s="44" t="s">
        <v>116</v>
      </c>
      <c r="AP222" s="44" t="s">
        <v>116</v>
      </c>
      <c r="AQ222" s="44" t="s">
        <v>116</v>
      </c>
      <c r="AR222" s="44" t="s">
        <v>116</v>
      </c>
      <c r="AS222" s="44" t="s">
        <v>116</v>
      </c>
      <c r="AT222" s="44" t="s">
        <v>116</v>
      </c>
      <c r="AU222" s="62">
        <v>1</v>
      </c>
      <c r="AV222" s="44">
        <v>2</v>
      </c>
      <c r="AW222" s="44">
        <v>3</v>
      </c>
      <c r="AX222" s="44">
        <v>4</v>
      </c>
      <c r="AY222" s="44">
        <v>5</v>
      </c>
      <c r="BK222" s="62">
        <v>100</v>
      </c>
      <c r="BL222" s="44">
        <v>100</v>
      </c>
      <c r="BM222" s="44">
        <v>100</v>
      </c>
      <c r="BN222" s="44">
        <v>50</v>
      </c>
      <c r="BO222" s="44">
        <v>50</v>
      </c>
      <c r="CA222" s="44">
        <v>400</v>
      </c>
      <c r="CB222" s="44">
        <v>400</v>
      </c>
      <c r="CC222" s="44">
        <v>0</v>
      </c>
      <c r="CD222" s="44">
        <v>0</v>
      </c>
      <c r="CE222" s="44">
        <v>0</v>
      </c>
      <c r="CF222" s="44">
        <v>0</v>
      </c>
      <c r="CG222" s="44">
        <v>0</v>
      </c>
      <c r="CH222" s="44">
        <v>0</v>
      </c>
      <c r="CI222" s="44">
        <v>1</v>
      </c>
      <c r="CK222" s="44">
        <v>0</v>
      </c>
      <c r="CL222" s="44">
        <v>0</v>
      </c>
      <c r="CM222" s="44">
        <v>0</v>
      </c>
      <c r="CN222" s="44">
        <v>0</v>
      </c>
      <c r="CO222" s="44">
        <v>331300</v>
      </c>
      <c r="CP222" s="44">
        <v>150190</v>
      </c>
      <c r="CQ222" s="44">
        <v>1</v>
      </c>
      <c r="CR222" s="44">
        <v>0</v>
      </c>
      <c r="CV222" s="44">
        <v>0</v>
      </c>
      <c r="CW222" s="44">
        <v>0</v>
      </c>
    </row>
    <row r="223" s="44" customFormat="1" customHeight="1" spans="1:101">
      <c r="A223" s="44">
        <v>5495</v>
      </c>
      <c r="B223" s="79" t="s">
        <v>380</v>
      </c>
      <c r="H223" s="44">
        <v>300000</v>
      </c>
      <c r="K223" s="44" t="s">
        <v>116</v>
      </c>
      <c r="O223" s="77"/>
      <c r="P223" s="77"/>
      <c r="Q223" s="77"/>
      <c r="R223" s="77"/>
      <c r="S223" s="64"/>
      <c r="T223" s="64"/>
      <c r="U223" s="64"/>
      <c r="V223" s="64"/>
      <c r="W223" s="63"/>
      <c r="X223" s="63"/>
      <c r="Y223" s="63"/>
      <c r="Z223" s="63"/>
      <c r="AA223" s="78"/>
      <c r="AB223" s="78"/>
      <c r="AC223" s="78"/>
      <c r="AD223" s="78"/>
      <c r="AE223" s="48">
        <v>200504</v>
      </c>
      <c r="AF223" s="44">
        <v>200504</v>
      </c>
      <c r="AG223" s="44">
        <v>200504</v>
      </c>
      <c r="AH223" s="44">
        <v>200504</v>
      </c>
      <c r="AI223" s="44">
        <v>200504</v>
      </c>
      <c r="AJ223" s="44" t="s">
        <v>116</v>
      </c>
      <c r="AK223" s="44" t="s">
        <v>116</v>
      </c>
      <c r="AL223" s="44" t="s">
        <v>116</v>
      </c>
      <c r="AM223" s="44" t="s">
        <v>116</v>
      </c>
      <c r="AN223" s="44" t="s">
        <v>116</v>
      </c>
      <c r="AO223" s="44" t="s">
        <v>116</v>
      </c>
      <c r="AP223" s="44" t="s">
        <v>116</v>
      </c>
      <c r="AQ223" s="44" t="s">
        <v>116</v>
      </c>
      <c r="AR223" s="44" t="s">
        <v>116</v>
      </c>
      <c r="AS223" s="44" t="s">
        <v>116</v>
      </c>
      <c r="AT223" s="44" t="s">
        <v>116</v>
      </c>
      <c r="AU223" s="62">
        <v>1</v>
      </c>
      <c r="AV223" s="44">
        <v>2</v>
      </c>
      <c r="AW223" s="44">
        <v>3</v>
      </c>
      <c r="AX223" s="44">
        <v>4</v>
      </c>
      <c r="AY223" s="44">
        <v>5</v>
      </c>
      <c r="BK223" s="62">
        <v>100</v>
      </c>
      <c r="BL223" s="44">
        <v>100</v>
      </c>
      <c r="BM223" s="44">
        <v>100</v>
      </c>
      <c r="BN223" s="44">
        <v>50</v>
      </c>
      <c r="BO223" s="44">
        <v>50</v>
      </c>
      <c r="CA223" s="44">
        <v>400</v>
      </c>
      <c r="CB223" s="44">
        <v>400</v>
      </c>
      <c r="CC223" s="44">
        <v>0</v>
      </c>
      <c r="CD223" s="44">
        <v>0</v>
      </c>
      <c r="CE223" s="44">
        <v>0</v>
      </c>
      <c r="CF223" s="44">
        <v>0</v>
      </c>
      <c r="CG223" s="44">
        <v>0</v>
      </c>
      <c r="CH223" s="44">
        <v>0</v>
      </c>
      <c r="CI223" s="44">
        <v>1</v>
      </c>
      <c r="CK223" s="44">
        <v>0</v>
      </c>
      <c r="CL223" s="44">
        <v>0</v>
      </c>
      <c r="CM223" s="44">
        <v>0</v>
      </c>
      <c r="CN223" s="44">
        <v>0</v>
      </c>
      <c r="CO223" s="44">
        <v>331300</v>
      </c>
      <c r="CP223" s="44">
        <v>150190</v>
      </c>
      <c r="CQ223" s="44">
        <v>1</v>
      </c>
      <c r="CR223" s="44">
        <v>0</v>
      </c>
      <c r="CV223" s="44">
        <v>0</v>
      </c>
      <c r="CW223" s="44">
        <v>0</v>
      </c>
    </row>
    <row r="224" s="44" customFormat="1" customHeight="1" spans="1:101">
      <c r="A224" s="44">
        <v>5496</v>
      </c>
      <c r="B224" s="79" t="s">
        <v>381</v>
      </c>
      <c r="H224" s="44" t="s">
        <v>116</v>
      </c>
      <c r="K224" s="44" t="s">
        <v>116</v>
      </c>
      <c r="O224" s="77"/>
      <c r="P224" s="77"/>
      <c r="Q224" s="77"/>
      <c r="R224" s="77"/>
      <c r="S224" s="64"/>
      <c r="T224" s="64"/>
      <c r="U224" s="64"/>
      <c r="V224" s="64"/>
      <c r="W224" s="63"/>
      <c r="X224" s="63"/>
      <c r="Y224" s="63"/>
      <c r="Z224" s="63"/>
      <c r="AA224" s="78"/>
      <c r="AB224" s="78"/>
      <c r="AC224" s="78"/>
      <c r="AD224" s="78"/>
      <c r="AE224" s="48">
        <v>200457</v>
      </c>
      <c r="AF224" s="44" t="s">
        <v>116</v>
      </c>
      <c r="AG224" s="44" t="s">
        <v>116</v>
      </c>
      <c r="AH224" s="44" t="s">
        <v>116</v>
      </c>
      <c r="AI224" s="44" t="s">
        <v>116</v>
      </c>
      <c r="AJ224" s="44" t="s">
        <v>116</v>
      </c>
      <c r="AK224" s="44" t="s">
        <v>116</v>
      </c>
      <c r="AL224" s="44" t="s">
        <v>116</v>
      </c>
      <c r="AM224" s="44" t="s">
        <v>116</v>
      </c>
      <c r="AN224" s="44" t="s">
        <v>116</v>
      </c>
      <c r="AO224" s="44" t="s">
        <v>116</v>
      </c>
      <c r="AP224" s="44" t="s">
        <v>116</v>
      </c>
      <c r="AQ224" s="44" t="s">
        <v>116</v>
      </c>
      <c r="AR224" s="44" t="s">
        <v>116</v>
      </c>
      <c r="AS224" s="44" t="s">
        <v>116</v>
      </c>
      <c r="AT224" s="44" t="s">
        <v>116</v>
      </c>
      <c r="AU224" s="62">
        <v>1</v>
      </c>
      <c r="BK224" s="62">
        <v>660</v>
      </c>
      <c r="CA224" s="44">
        <v>660</v>
      </c>
      <c r="CB224" s="44">
        <v>660</v>
      </c>
      <c r="CC224" s="44">
        <v>0</v>
      </c>
      <c r="CD224" s="44">
        <v>0</v>
      </c>
      <c r="CE224" s="44">
        <v>0</v>
      </c>
      <c r="CF224" s="44">
        <v>0</v>
      </c>
      <c r="CG224" s="44">
        <v>0</v>
      </c>
      <c r="CH224" s="44">
        <v>0</v>
      </c>
      <c r="CI224" s="44">
        <v>1</v>
      </c>
      <c r="CK224" s="44">
        <v>0</v>
      </c>
      <c r="CL224" s="44">
        <v>0</v>
      </c>
      <c r="CM224" s="44">
        <v>0</v>
      </c>
      <c r="CN224" s="44">
        <v>0</v>
      </c>
      <c r="CO224" s="44">
        <v>331300</v>
      </c>
      <c r="CP224" s="44">
        <v>150190</v>
      </c>
      <c r="CQ224" s="44">
        <v>1</v>
      </c>
      <c r="CR224" s="44">
        <v>0</v>
      </c>
      <c r="CV224" s="44">
        <v>0</v>
      </c>
      <c r="CW224" s="44">
        <v>0</v>
      </c>
    </row>
    <row r="225" s="48" customFormat="1" customHeight="1" spans="1:101">
      <c r="A225" s="95">
        <v>5500</v>
      </c>
      <c r="B225" s="80" t="s">
        <v>382</v>
      </c>
      <c r="H225" s="48" t="s">
        <v>116</v>
      </c>
      <c r="I225" s="48" t="s">
        <v>116</v>
      </c>
      <c r="J225" s="48" t="s">
        <v>116</v>
      </c>
      <c r="K225" s="48" t="s">
        <v>383</v>
      </c>
      <c r="O225" s="77">
        <f>A$234</f>
        <v>5580</v>
      </c>
      <c r="P225" s="77">
        <v>1</v>
      </c>
      <c r="Q225" s="77">
        <v>0</v>
      </c>
      <c r="R225" s="77">
        <v>0</v>
      </c>
      <c r="S225" s="64">
        <v>5590</v>
      </c>
      <c r="T225" s="64">
        <v>1</v>
      </c>
      <c r="U225" s="64">
        <v>0</v>
      </c>
      <c r="V225" s="64">
        <v>0</v>
      </c>
      <c r="W225" s="63">
        <v>5600</v>
      </c>
      <c r="X225" s="63">
        <v>1</v>
      </c>
      <c r="Y225" s="63">
        <v>0</v>
      </c>
      <c r="Z225" s="63">
        <v>0</v>
      </c>
      <c r="AA225" s="78"/>
      <c r="AB225" s="78"/>
      <c r="AC225" s="78"/>
      <c r="AD225" s="78"/>
      <c r="AE225" s="48">
        <v>200807</v>
      </c>
      <c r="AF225" s="48">
        <v>200808</v>
      </c>
      <c r="AG225" s="48" t="s">
        <v>116</v>
      </c>
      <c r="AH225" s="48" t="s">
        <v>116</v>
      </c>
      <c r="AI225" s="48" t="s">
        <v>116</v>
      </c>
      <c r="AJ225" s="48" t="s">
        <v>116</v>
      </c>
      <c r="AK225" s="48" t="s">
        <v>116</v>
      </c>
      <c r="AL225" s="48" t="s">
        <v>116</v>
      </c>
      <c r="AM225" s="48" t="s">
        <v>116</v>
      </c>
      <c r="AN225" s="48" t="s">
        <v>116</v>
      </c>
      <c r="AO225" s="48" t="s">
        <v>116</v>
      </c>
      <c r="AP225" s="48" t="s">
        <v>116</v>
      </c>
      <c r="AQ225" s="48" t="s">
        <v>116</v>
      </c>
      <c r="AR225" s="48" t="s">
        <v>116</v>
      </c>
      <c r="AS225" s="48" t="s">
        <v>116</v>
      </c>
      <c r="AT225" s="48" t="s">
        <v>116</v>
      </c>
      <c r="AU225" s="62">
        <v>1</v>
      </c>
      <c r="AV225" s="48">
        <v>1</v>
      </c>
      <c r="AW225" s="48" t="s">
        <v>116</v>
      </c>
      <c r="AX225" s="48" t="s">
        <v>116</v>
      </c>
      <c r="AY225" s="48" t="s">
        <v>116</v>
      </c>
      <c r="AZ225" s="48" t="s">
        <v>116</v>
      </c>
      <c r="BA225" s="48" t="s">
        <v>116</v>
      </c>
      <c r="BB225" s="48" t="s">
        <v>116</v>
      </c>
      <c r="BC225" s="48" t="s">
        <v>116</v>
      </c>
      <c r="BD225" s="48" t="s">
        <v>116</v>
      </c>
      <c r="BE225" s="48" t="s">
        <v>116</v>
      </c>
      <c r="BF225" s="48" t="s">
        <v>116</v>
      </c>
      <c r="BG225" s="48" t="s">
        <v>116</v>
      </c>
      <c r="BH225" s="48" t="s">
        <v>116</v>
      </c>
      <c r="BI225" s="48" t="s">
        <v>116</v>
      </c>
      <c r="BJ225" s="48" t="s">
        <v>116</v>
      </c>
      <c r="BK225" s="62">
        <v>498</v>
      </c>
      <c r="BL225" s="48">
        <v>2</v>
      </c>
      <c r="CA225" s="48">
        <v>500</v>
      </c>
      <c r="CB225" s="48">
        <v>1000</v>
      </c>
      <c r="CC225" s="48">
        <v>0</v>
      </c>
      <c r="CD225" s="48">
        <v>0</v>
      </c>
      <c r="CE225" s="48">
        <v>0</v>
      </c>
      <c r="CF225" s="115">
        <v>0</v>
      </c>
      <c r="CG225" s="48">
        <v>0</v>
      </c>
      <c r="CH225" s="48">
        <v>0</v>
      </c>
      <c r="CI225" s="48">
        <v>1</v>
      </c>
      <c r="CJ225" s="48">
        <v>1</v>
      </c>
      <c r="CK225" s="48">
        <v>0</v>
      </c>
      <c r="CL225" s="48">
        <v>0</v>
      </c>
      <c r="CM225" s="48">
        <v>0</v>
      </c>
      <c r="CN225" s="48">
        <v>0</v>
      </c>
      <c r="CO225" s="48">
        <v>0</v>
      </c>
      <c r="CP225" s="48">
        <v>0</v>
      </c>
      <c r="CQ225" s="48">
        <v>0</v>
      </c>
      <c r="CR225" s="48">
        <v>0</v>
      </c>
      <c r="CS225" s="48">
        <v>1000</v>
      </c>
      <c r="CV225" s="48">
        <v>0</v>
      </c>
      <c r="CW225" s="48">
        <v>0</v>
      </c>
    </row>
    <row r="226" s="49" customFormat="1" customHeight="1" spans="1:101">
      <c r="A226" s="116">
        <v>5510</v>
      </c>
      <c r="B226" s="117" t="s">
        <v>384</v>
      </c>
      <c r="H226" s="49" t="s">
        <v>116</v>
      </c>
      <c r="I226" s="49" t="s">
        <v>116</v>
      </c>
      <c r="J226" s="49" t="s">
        <v>116</v>
      </c>
      <c r="K226" s="49" t="s">
        <v>383</v>
      </c>
      <c r="O226" s="77">
        <f>A$235</f>
        <v>5581</v>
      </c>
      <c r="P226" s="77">
        <v>1</v>
      </c>
      <c r="Q226" s="77">
        <v>0</v>
      </c>
      <c r="R226" s="77">
        <v>0</v>
      </c>
      <c r="S226" s="64">
        <v>5590</v>
      </c>
      <c r="T226" s="64">
        <v>1</v>
      </c>
      <c r="U226" s="64">
        <v>0</v>
      </c>
      <c r="V226" s="64">
        <v>0</v>
      </c>
      <c r="W226" s="63">
        <v>5600</v>
      </c>
      <c r="X226" s="63">
        <v>1</v>
      </c>
      <c r="Y226" s="63">
        <v>0</v>
      </c>
      <c r="Z226" s="63">
        <v>0</v>
      </c>
      <c r="AA226" s="78"/>
      <c r="AB226" s="78"/>
      <c r="AC226" s="78"/>
      <c r="AD226" s="78"/>
      <c r="AE226" s="48">
        <v>200502</v>
      </c>
      <c r="AF226" s="49">
        <v>200306</v>
      </c>
      <c r="AG226" s="49">
        <v>200560</v>
      </c>
      <c r="AH226" s="49">
        <v>200560</v>
      </c>
      <c r="AI226" s="49" t="s">
        <v>116</v>
      </c>
      <c r="AJ226" s="49" t="s">
        <v>116</v>
      </c>
      <c r="AK226" s="49" t="s">
        <v>116</v>
      </c>
      <c r="AL226" s="49" t="s">
        <v>116</v>
      </c>
      <c r="AM226" s="49" t="s">
        <v>116</v>
      </c>
      <c r="AN226" s="49" t="s">
        <v>116</v>
      </c>
      <c r="AO226" s="49" t="s">
        <v>116</v>
      </c>
      <c r="AP226" s="49" t="s">
        <v>116</v>
      </c>
      <c r="AQ226" s="49" t="s">
        <v>116</v>
      </c>
      <c r="AR226" s="49" t="s">
        <v>116</v>
      </c>
      <c r="AS226" s="49" t="s">
        <v>116</v>
      </c>
      <c r="AT226" s="49" t="s">
        <v>116</v>
      </c>
      <c r="AU226" s="62">
        <v>1</v>
      </c>
      <c r="AV226" s="49">
        <v>1</v>
      </c>
      <c r="AW226" s="49">
        <v>1</v>
      </c>
      <c r="AX226" s="49">
        <v>1</v>
      </c>
      <c r="AY226" s="49" t="s">
        <v>116</v>
      </c>
      <c r="AZ226" s="49" t="s">
        <v>116</v>
      </c>
      <c r="BA226" s="49" t="s">
        <v>116</v>
      </c>
      <c r="BB226" s="49" t="s">
        <v>116</v>
      </c>
      <c r="BC226" s="49" t="s">
        <v>116</v>
      </c>
      <c r="BD226" s="49" t="s">
        <v>116</v>
      </c>
      <c r="BE226" s="49" t="s">
        <v>116</v>
      </c>
      <c r="BF226" s="49" t="s">
        <v>116</v>
      </c>
      <c r="BG226" s="49" t="s">
        <v>116</v>
      </c>
      <c r="BH226" s="49" t="s">
        <v>116</v>
      </c>
      <c r="BI226" s="49" t="s">
        <v>116</v>
      </c>
      <c r="BJ226" s="49" t="s">
        <v>116</v>
      </c>
      <c r="BK226" s="62">
        <v>248</v>
      </c>
      <c r="BL226" s="49">
        <v>125</v>
      </c>
      <c r="BM226" s="49">
        <v>250</v>
      </c>
      <c r="BN226" s="49">
        <v>2</v>
      </c>
      <c r="CA226" s="49">
        <v>625</v>
      </c>
      <c r="CB226" s="49">
        <v>1000</v>
      </c>
      <c r="CC226" s="49">
        <v>0</v>
      </c>
      <c r="CD226" s="49">
        <v>0</v>
      </c>
      <c r="CE226" s="49">
        <v>0</v>
      </c>
      <c r="CF226" s="121">
        <v>0</v>
      </c>
      <c r="CG226" s="49">
        <v>0</v>
      </c>
      <c r="CH226" s="49">
        <v>0</v>
      </c>
      <c r="CI226" s="49">
        <v>1</v>
      </c>
      <c r="CJ226" s="49">
        <v>1</v>
      </c>
      <c r="CK226" s="49">
        <v>0</v>
      </c>
      <c r="CL226" s="49">
        <v>0</v>
      </c>
      <c r="CM226" s="49">
        <v>0</v>
      </c>
      <c r="CN226" s="49">
        <v>0</v>
      </c>
      <c r="CO226" s="49">
        <v>0</v>
      </c>
      <c r="CP226" s="49">
        <v>0</v>
      </c>
      <c r="CQ226" s="49">
        <v>0</v>
      </c>
      <c r="CR226" s="49">
        <v>0</v>
      </c>
      <c r="CS226" s="49">
        <v>1000</v>
      </c>
      <c r="CV226" s="49">
        <v>0</v>
      </c>
      <c r="CW226" s="49">
        <v>0</v>
      </c>
    </row>
    <row r="227" s="49" customFormat="1" customHeight="1" spans="1:101">
      <c r="A227" s="116">
        <v>5520</v>
      </c>
      <c r="B227" s="117" t="s">
        <v>385</v>
      </c>
      <c r="H227" s="49" t="s">
        <v>116</v>
      </c>
      <c r="I227" s="49" t="s">
        <v>116</v>
      </c>
      <c r="J227" s="49" t="s">
        <v>116</v>
      </c>
      <c r="K227" s="49" t="s">
        <v>383</v>
      </c>
      <c r="O227" s="77">
        <f>A$236</f>
        <v>5582</v>
      </c>
      <c r="P227" s="77">
        <v>1</v>
      </c>
      <c r="Q227" s="77">
        <v>0</v>
      </c>
      <c r="R227" s="77">
        <v>0</v>
      </c>
      <c r="S227" s="64">
        <v>5590</v>
      </c>
      <c r="T227" s="64">
        <v>1</v>
      </c>
      <c r="U227" s="64">
        <v>0</v>
      </c>
      <c r="V227" s="64">
        <v>0</v>
      </c>
      <c r="W227" s="63">
        <v>5600</v>
      </c>
      <c r="X227" s="63">
        <v>1</v>
      </c>
      <c r="Y227" s="63">
        <v>0</v>
      </c>
      <c r="Z227" s="63">
        <v>0</v>
      </c>
      <c r="AA227" s="78"/>
      <c r="AB227" s="78"/>
      <c r="AC227" s="78"/>
      <c r="AD227" s="78"/>
      <c r="AE227" s="48">
        <v>200503</v>
      </c>
      <c r="AF227" s="49">
        <v>200307</v>
      </c>
      <c r="AG227" s="49">
        <v>200561</v>
      </c>
      <c r="AH227" s="49">
        <v>200561</v>
      </c>
      <c r="AI227" s="49" t="s">
        <v>116</v>
      </c>
      <c r="AJ227" s="49" t="s">
        <v>116</v>
      </c>
      <c r="AK227" s="49" t="s">
        <v>116</v>
      </c>
      <c r="AL227" s="49" t="s">
        <v>116</v>
      </c>
      <c r="AM227" s="49" t="s">
        <v>116</v>
      </c>
      <c r="AN227" s="49" t="s">
        <v>116</v>
      </c>
      <c r="AO227" s="49" t="s">
        <v>116</v>
      </c>
      <c r="AP227" s="49" t="s">
        <v>116</v>
      </c>
      <c r="AQ227" s="49" t="s">
        <v>116</v>
      </c>
      <c r="AR227" s="49" t="s">
        <v>116</v>
      </c>
      <c r="AS227" s="49" t="s">
        <v>116</v>
      </c>
      <c r="AT227" s="49" t="s">
        <v>116</v>
      </c>
      <c r="AU227" s="62">
        <v>1</v>
      </c>
      <c r="AV227" s="49">
        <v>1</v>
      </c>
      <c r="AW227" s="49">
        <v>1</v>
      </c>
      <c r="AX227" s="49">
        <v>1</v>
      </c>
      <c r="AY227" s="49" t="s">
        <v>116</v>
      </c>
      <c r="AZ227" s="49" t="s">
        <v>116</v>
      </c>
      <c r="BA227" s="49" t="s">
        <v>116</v>
      </c>
      <c r="BB227" s="49" t="s">
        <v>116</v>
      </c>
      <c r="BC227" s="49" t="s">
        <v>116</v>
      </c>
      <c r="BD227" s="49" t="s">
        <v>116</v>
      </c>
      <c r="BE227" s="49" t="s">
        <v>116</v>
      </c>
      <c r="BF227" s="49" t="s">
        <v>116</v>
      </c>
      <c r="BG227" s="49" t="s">
        <v>116</v>
      </c>
      <c r="BH227" s="49" t="s">
        <v>116</v>
      </c>
      <c r="BI227" s="49" t="s">
        <v>116</v>
      </c>
      <c r="BJ227" s="49" t="s">
        <v>116</v>
      </c>
      <c r="BK227" s="62">
        <v>125</v>
      </c>
      <c r="BL227" s="49">
        <v>125</v>
      </c>
      <c r="BM227" s="49">
        <v>200</v>
      </c>
      <c r="BN227" s="49">
        <v>2</v>
      </c>
      <c r="CA227" s="49">
        <v>452</v>
      </c>
      <c r="CB227" s="49">
        <v>1000</v>
      </c>
      <c r="CC227" s="49">
        <v>0</v>
      </c>
      <c r="CD227" s="49">
        <v>0</v>
      </c>
      <c r="CE227" s="49">
        <v>0</v>
      </c>
      <c r="CF227" s="121">
        <v>0</v>
      </c>
      <c r="CG227" s="49">
        <v>0</v>
      </c>
      <c r="CH227" s="49">
        <v>0</v>
      </c>
      <c r="CI227" s="49">
        <v>1</v>
      </c>
      <c r="CJ227" s="49">
        <v>1</v>
      </c>
      <c r="CK227" s="49">
        <v>0</v>
      </c>
      <c r="CL227" s="49">
        <v>0</v>
      </c>
      <c r="CM227" s="49">
        <v>0</v>
      </c>
      <c r="CN227" s="49">
        <v>0</v>
      </c>
      <c r="CO227" s="49">
        <v>0</v>
      </c>
      <c r="CP227" s="49">
        <v>0</v>
      </c>
      <c r="CQ227" s="49">
        <v>0</v>
      </c>
      <c r="CR227" s="49">
        <v>0</v>
      </c>
      <c r="CS227" s="49">
        <v>1000</v>
      </c>
      <c r="CV227" s="49">
        <v>0</v>
      </c>
      <c r="CW227" s="49">
        <v>0</v>
      </c>
    </row>
    <row r="228" s="49" customFormat="1" customHeight="1" spans="1:101">
      <c r="A228" s="116">
        <v>5530</v>
      </c>
      <c r="B228" s="117" t="s">
        <v>386</v>
      </c>
      <c r="H228" s="49" t="s">
        <v>116</v>
      </c>
      <c r="I228" s="49" t="s">
        <v>116</v>
      </c>
      <c r="J228" s="49" t="s">
        <v>116</v>
      </c>
      <c r="K228" s="49" t="s">
        <v>383</v>
      </c>
      <c r="O228" s="77">
        <f>A$237</f>
        <v>5583</v>
      </c>
      <c r="P228" s="77">
        <v>1</v>
      </c>
      <c r="Q228" s="77">
        <v>0</v>
      </c>
      <c r="R228" s="77">
        <v>0</v>
      </c>
      <c r="S228" s="64">
        <v>5590</v>
      </c>
      <c r="T228" s="64">
        <v>1</v>
      </c>
      <c r="U228" s="64">
        <v>0</v>
      </c>
      <c r="V228" s="64">
        <v>0</v>
      </c>
      <c r="W228" s="63">
        <v>5600</v>
      </c>
      <c r="X228" s="63">
        <v>1</v>
      </c>
      <c r="Y228" s="63">
        <v>0</v>
      </c>
      <c r="Z228" s="63">
        <v>0</v>
      </c>
      <c r="AA228" s="78"/>
      <c r="AB228" s="78"/>
      <c r="AC228" s="78"/>
      <c r="AD228" s="78"/>
      <c r="AE228" s="48">
        <v>200504</v>
      </c>
      <c r="AF228" s="49">
        <v>200308</v>
      </c>
      <c r="AG228" s="49">
        <v>200562</v>
      </c>
      <c r="AH228" s="49">
        <v>200562</v>
      </c>
      <c r="AI228" s="49" t="s">
        <v>116</v>
      </c>
      <c r="AJ228" s="49" t="s">
        <v>116</v>
      </c>
      <c r="AK228" s="49" t="s">
        <v>116</v>
      </c>
      <c r="AL228" s="49" t="s">
        <v>116</v>
      </c>
      <c r="AM228" s="49" t="s">
        <v>116</v>
      </c>
      <c r="AN228" s="49" t="s">
        <v>116</v>
      </c>
      <c r="AO228" s="49" t="s">
        <v>116</v>
      </c>
      <c r="AP228" s="49" t="s">
        <v>116</v>
      </c>
      <c r="AQ228" s="49" t="s">
        <v>116</v>
      </c>
      <c r="AR228" s="49" t="s">
        <v>116</v>
      </c>
      <c r="AS228" s="49" t="s">
        <v>116</v>
      </c>
      <c r="AT228" s="49" t="s">
        <v>116</v>
      </c>
      <c r="AU228" s="62">
        <v>1</v>
      </c>
      <c r="AV228" s="49">
        <v>1</v>
      </c>
      <c r="AW228" s="49">
        <v>1</v>
      </c>
      <c r="AX228" s="49">
        <v>1</v>
      </c>
      <c r="AY228" s="49" t="s">
        <v>116</v>
      </c>
      <c r="AZ228" s="49" t="s">
        <v>116</v>
      </c>
      <c r="BA228" s="49" t="s">
        <v>116</v>
      </c>
      <c r="BB228" s="49" t="s">
        <v>116</v>
      </c>
      <c r="BC228" s="49" t="s">
        <v>116</v>
      </c>
      <c r="BD228" s="49" t="s">
        <v>116</v>
      </c>
      <c r="BE228" s="49" t="s">
        <v>116</v>
      </c>
      <c r="BF228" s="49" t="s">
        <v>116</v>
      </c>
      <c r="BG228" s="49" t="s">
        <v>116</v>
      </c>
      <c r="BH228" s="49" t="s">
        <v>116</v>
      </c>
      <c r="BI228" s="49" t="s">
        <v>116</v>
      </c>
      <c r="BJ228" s="49" t="s">
        <v>116</v>
      </c>
      <c r="BK228" s="62">
        <v>94</v>
      </c>
      <c r="BL228" s="49">
        <v>94</v>
      </c>
      <c r="BM228" s="49">
        <v>200</v>
      </c>
      <c r="BN228" s="49">
        <v>2</v>
      </c>
      <c r="CA228" s="49">
        <v>390</v>
      </c>
      <c r="CB228" s="49">
        <v>1000</v>
      </c>
      <c r="CC228" s="49">
        <v>0</v>
      </c>
      <c r="CD228" s="49">
        <v>0</v>
      </c>
      <c r="CE228" s="49">
        <v>0</v>
      </c>
      <c r="CF228" s="121">
        <v>0</v>
      </c>
      <c r="CG228" s="49">
        <v>0</v>
      </c>
      <c r="CH228" s="49">
        <v>0</v>
      </c>
      <c r="CI228" s="49">
        <v>1</v>
      </c>
      <c r="CJ228" s="49">
        <v>1</v>
      </c>
      <c r="CK228" s="49">
        <v>0</v>
      </c>
      <c r="CL228" s="49">
        <v>0</v>
      </c>
      <c r="CM228" s="49">
        <v>0</v>
      </c>
      <c r="CN228" s="49">
        <v>0</v>
      </c>
      <c r="CO228" s="49">
        <v>0</v>
      </c>
      <c r="CP228" s="49">
        <v>0</v>
      </c>
      <c r="CQ228" s="49">
        <v>0</v>
      </c>
      <c r="CR228" s="49">
        <v>0</v>
      </c>
      <c r="CS228" s="49">
        <v>1000</v>
      </c>
      <c r="CV228" s="49">
        <v>0</v>
      </c>
      <c r="CW228" s="49">
        <v>0</v>
      </c>
    </row>
    <row r="229" s="49" customFormat="1" customHeight="1" spans="1:101">
      <c r="A229" s="116">
        <v>5540</v>
      </c>
      <c r="B229" s="117" t="s">
        <v>387</v>
      </c>
      <c r="H229" s="49" t="s">
        <v>116</v>
      </c>
      <c r="I229" s="49" t="s">
        <v>116</v>
      </c>
      <c r="J229" s="49" t="s">
        <v>116</v>
      </c>
      <c r="K229" s="49" t="s">
        <v>383</v>
      </c>
      <c r="O229" s="77">
        <f>A$238</f>
        <v>5584</v>
      </c>
      <c r="P229" s="77">
        <v>1</v>
      </c>
      <c r="Q229" s="77">
        <v>0</v>
      </c>
      <c r="R229" s="77">
        <v>0</v>
      </c>
      <c r="S229" s="64">
        <v>5590</v>
      </c>
      <c r="T229" s="64">
        <v>1</v>
      </c>
      <c r="U229" s="64">
        <v>0</v>
      </c>
      <c r="V229" s="64">
        <v>0</v>
      </c>
      <c r="W229" s="63">
        <v>5600</v>
      </c>
      <c r="X229" s="63">
        <v>1</v>
      </c>
      <c r="Y229" s="63">
        <v>0</v>
      </c>
      <c r="Z229" s="63">
        <v>0</v>
      </c>
      <c r="AA229" s="78"/>
      <c r="AB229" s="78"/>
      <c r="AC229" s="78"/>
      <c r="AD229" s="78"/>
      <c r="AE229" s="48">
        <v>200505</v>
      </c>
      <c r="AF229" s="49">
        <v>200309</v>
      </c>
      <c r="AG229" s="49">
        <v>200563</v>
      </c>
      <c r="AH229" s="49">
        <v>200563</v>
      </c>
      <c r="AI229" s="49" t="s">
        <v>116</v>
      </c>
      <c r="AJ229" s="49" t="s">
        <v>116</v>
      </c>
      <c r="AK229" s="49" t="s">
        <v>116</v>
      </c>
      <c r="AL229" s="49" t="s">
        <v>116</v>
      </c>
      <c r="AM229" s="49" t="s">
        <v>116</v>
      </c>
      <c r="AN229" s="49" t="s">
        <v>116</v>
      </c>
      <c r="AO229" s="49" t="s">
        <v>116</v>
      </c>
      <c r="AP229" s="49" t="s">
        <v>116</v>
      </c>
      <c r="AQ229" s="49" t="s">
        <v>116</v>
      </c>
      <c r="AR229" s="49" t="s">
        <v>116</v>
      </c>
      <c r="AS229" s="49" t="s">
        <v>116</v>
      </c>
      <c r="AT229" s="49" t="s">
        <v>116</v>
      </c>
      <c r="AU229" s="62">
        <v>1</v>
      </c>
      <c r="AV229" s="49">
        <v>1</v>
      </c>
      <c r="AW229" s="49">
        <v>1</v>
      </c>
      <c r="AX229" s="49">
        <v>1</v>
      </c>
      <c r="AY229" s="49" t="s">
        <v>116</v>
      </c>
      <c r="AZ229" s="49" t="s">
        <v>116</v>
      </c>
      <c r="BA229" s="49" t="s">
        <v>116</v>
      </c>
      <c r="BB229" s="49" t="s">
        <v>116</v>
      </c>
      <c r="BC229" s="49" t="s">
        <v>116</v>
      </c>
      <c r="BD229" s="49" t="s">
        <v>116</v>
      </c>
      <c r="BE229" s="49" t="s">
        <v>116</v>
      </c>
      <c r="BF229" s="49" t="s">
        <v>116</v>
      </c>
      <c r="BG229" s="49" t="s">
        <v>116</v>
      </c>
      <c r="BH229" s="49" t="s">
        <v>116</v>
      </c>
      <c r="BI229" s="49" t="s">
        <v>116</v>
      </c>
      <c r="BJ229" s="49" t="s">
        <v>116</v>
      </c>
      <c r="BK229" s="62">
        <v>62</v>
      </c>
      <c r="BL229" s="49">
        <v>62</v>
      </c>
      <c r="BM229" s="49">
        <v>200</v>
      </c>
      <c r="BN229" s="49">
        <v>2</v>
      </c>
      <c r="CA229" s="49">
        <v>326</v>
      </c>
      <c r="CB229" s="49">
        <v>1000</v>
      </c>
      <c r="CC229" s="49">
        <v>0</v>
      </c>
      <c r="CD229" s="49">
        <v>0</v>
      </c>
      <c r="CE229" s="49">
        <v>0</v>
      </c>
      <c r="CF229" s="121">
        <v>0</v>
      </c>
      <c r="CG229" s="49">
        <v>0</v>
      </c>
      <c r="CH229" s="49">
        <v>0</v>
      </c>
      <c r="CI229" s="49">
        <v>1</v>
      </c>
      <c r="CJ229" s="49">
        <v>1</v>
      </c>
      <c r="CK229" s="49">
        <v>0</v>
      </c>
      <c r="CL229" s="49">
        <v>0</v>
      </c>
      <c r="CM229" s="49">
        <v>0</v>
      </c>
      <c r="CN229" s="49">
        <v>0</v>
      </c>
      <c r="CO229" s="49">
        <v>0</v>
      </c>
      <c r="CP229" s="49">
        <v>0</v>
      </c>
      <c r="CQ229" s="49">
        <v>0</v>
      </c>
      <c r="CR229" s="49">
        <v>0</v>
      </c>
      <c r="CS229" s="49">
        <v>1000</v>
      </c>
      <c r="CV229" s="49">
        <v>0</v>
      </c>
      <c r="CW229" s="49">
        <v>0</v>
      </c>
    </row>
    <row r="230" s="49" customFormat="1" customHeight="1" spans="1:101">
      <c r="A230" s="116">
        <v>5550</v>
      </c>
      <c r="B230" s="117" t="s">
        <v>388</v>
      </c>
      <c r="H230" s="49" t="s">
        <v>116</v>
      </c>
      <c r="I230" s="49" t="s">
        <v>116</v>
      </c>
      <c r="J230" s="49" t="s">
        <v>116</v>
      </c>
      <c r="K230" s="49" t="s">
        <v>383</v>
      </c>
      <c r="O230" s="77">
        <f>A$239</f>
        <v>5585</v>
      </c>
      <c r="P230" s="77">
        <v>1</v>
      </c>
      <c r="Q230" s="77">
        <v>0</v>
      </c>
      <c r="R230" s="77">
        <v>0</v>
      </c>
      <c r="S230" s="64">
        <v>5590</v>
      </c>
      <c r="T230" s="64">
        <v>1</v>
      </c>
      <c r="U230" s="64">
        <v>0</v>
      </c>
      <c r="V230" s="64">
        <v>0</v>
      </c>
      <c r="W230" s="63">
        <v>5600</v>
      </c>
      <c r="X230" s="63">
        <v>1</v>
      </c>
      <c r="Y230" s="63">
        <v>0</v>
      </c>
      <c r="Z230" s="63">
        <v>0</v>
      </c>
      <c r="AA230" s="78"/>
      <c r="AB230" s="78"/>
      <c r="AC230" s="78"/>
      <c r="AD230" s="78"/>
      <c r="AE230" s="48">
        <v>200506</v>
      </c>
      <c r="AF230" s="49">
        <v>200310</v>
      </c>
      <c r="AG230" s="49">
        <v>200562</v>
      </c>
      <c r="AH230" s="49">
        <v>200562</v>
      </c>
      <c r="AI230" s="49" t="s">
        <v>116</v>
      </c>
      <c r="AJ230" s="49" t="s">
        <v>116</v>
      </c>
      <c r="AK230" s="49" t="s">
        <v>116</v>
      </c>
      <c r="AL230" s="49" t="s">
        <v>116</v>
      </c>
      <c r="AM230" s="49" t="s">
        <v>116</v>
      </c>
      <c r="AN230" s="49" t="s">
        <v>116</v>
      </c>
      <c r="AO230" s="49" t="s">
        <v>116</v>
      </c>
      <c r="AP230" s="49" t="s">
        <v>116</v>
      </c>
      <c r="AQ230" s="49" t="s">
        <v>116</v>
      </c>
      <c r="AR230" s="49" t="s">
        <v>116</v>
      </c>
      <c r="AS230" s="49" t="s">
        <v>116</v>
      </c>
      <c r="AT230" s="49" t="s">
        <v>116</v>
      </c>
      <c r="AU230" s="62">
        <v>1</v>
      </c>
      <c r="AV230" s="49">
        <v>1</v>
      </c>
      <c r="AW230" s="49">
        <v>1</v>
      </c>
      <c r="AX230" s="49">
        <v>1</v>
      </c>
      <c r="AY230" s="49" t="s">
        <v>116</v>
      </c>
      <c r="AZ230" s="49" t="s">
        <v>116</v>
      </c>
      <c r="BA230" s="49" t="s">
        <v>116</v>
      </c>
      <c r="BB230" s="49" t="s">
        <v>116</v>
      </c>
      <c r="BC230" s="49" t="s">
        <v>116</v>
      </c>
      <c r="BD230" s="49" t="s">
        <v>116</v>
      </c>
      <c r="BE230" s="49" t="s">
        <v>116</v>
      </c>
      <c r="BF230" s="49" t="s">
        <v>116</v>
      </c>
      <c r="BG230" s="49" t="s">
        <v>116</v>
      </c>
      <c r="BH230" s="49" t="s">
        <v>116</v>
      </c>
      <c r="BI230" s="49" t="s">
        <v>116</v>
      </c>
      <c r="BJ230" s="49" t="s">
        <v>116</v>
      </c>
      <c r="BK230" s="62">
        <v>37</v>
      </c>
      <c r="BL230" s="49">
        <v>37</v>
      </c>
      <c r="BM230" s="49">
        <v>200</v>
      </c>
      <c r="BN230" s="49">
        <v>2</v>
      </c>
      <c r="CA230" s="49">
        <v>276</v>
      </c>
      <c r="CB230" s="49">
        <v>1000</v>
      </c>
      <c r="CC230" s="49">
        <v>0</v>
      </c>
      <c r="CD230" s="49">
        <v>0</v>
      </c>
      <c r="CE230" s="49">
        <v>0</v>
      </c>
      <c r="CF230" s="121">
        <v>0</v>
      </c>
      <c r="CG230" s="49">
        <v>0</v>
      </c>
      <c r="CH230" s="49">
        <v>0</v>
      </c>
      <c r="CI230" s="49">
        <v>1</v>
      </c>
      <c r="CJ230" s="49">
        <v>1</v>
      </c>
      <c r="CK230" s="49">
        <v>0</v>
      </c>
      <c r="CL230" s="49">
        <v>0</v>
      </c>
      <c r="CM230" s="49">
        <v>0</v>
      </c>
      <c r="CN230" s="49">
        <v>0</v>
      </c>
      <c r="CO230" s="49">
        <v>0</v>
      </c>
      <c r="CP230" s="49">
        <v>0</v>
      </c>
      <c r="CQ230" s="49">
        <v>0</v>
      </c>
      <c r="CR230" s="49">
        <v>0</v>
      </c>
      <c r="CS230" s="49">
        <v>1000</v>
      </c>
      <c r="CV230" s="49">
        <v>0</v>
      </c>
      <c r="CW230" s="49">
        <v>0</v>
      </c>
    </row>
    <row r="231" s="49" customFormat="1" customHeight="1" spans="1:101">
      <c r="A231" s="116">
        <v>5560</v>
      </c>
      <c r="B231" s="117" t="s">
        <v>389</v>
      </c>
      <c r="H231" s="49" t="s">
        <v>116</v>
      </c>
      <c r="I231" s="49" t="s">
        <v>116</v>
      </c>
      <c r="J231" s="49" t="s">
        <v>116</v>
      </c>
      <c r="K231" s="49" t="s">
        <v>383</v>
      </c>
      <c r="O231" s="77">
        <f>A$240</f>
        <v>5586</v>
      </c>
      <c r="P231" s="77">
        <v>1</v>
      </c>
      <c r="Q231" s="77">
        <v>0</v>
      </c>
      <c r="R231" s="77">
        <v>0</v>
      </c>
      <c r="S231" s="64">
        <v>5590</v>
      </c>
      <c r="T231" s="64">
        <v>1</v>
      </c>
      <c r="U231" s="64">
        <v>0</v>
      </c>
      <c r="V231" s="64">
        <v>0</v>
      </c>
      <c r="W231" s="63">
        <v>5600</v>
      </c>
      <c r="X231" s="63">
        <v>1</v>
      </c>
      <c r="Y231" s="63">
        <v>0</v>
      </c>
      <c r="Z231" s="63">
        <v>0</v>
      </c>
      <c r="AA231" s="78"/>
      <c r="AB231" s="78"/>
      <c r="AC231" s="78"/>
      <c r="AD231" s="78"/>
      <c r="AE231" s="48">
        <v>200507</v>
      </c>
      <c r="AF231" s="49">
        <v>200311</v>
      </c>
      <c r="AG231" s="49">
        <v>200562</v>
      </c>
      <c r="AH231" s="49">
        <v>200562</v>
      </c>
      <c r="AI231" s="49" t="s">
        <v>116</v>
      </c>
      <c r="AJ231" s="49" t="s">
        <v>116</v>
      </c>
      <c r="AK231" s="49" t="s">
        <v>116</v>
      </c>
      <c r="AL231" s="49" t="s">
        <v>116</v>
      </c>
      <c r="AM231" s="49" t="s">
        <v>116</v>
      </c>
      <c r="AN231" s="49" t="s">
        <v>116</v>
      </c>
      <c r="AO231" s="49" t="s">
        <v>116</v>
      </c>
      <c r="AP231" s="49" t="s">
        <v>116</v>
      </c>
      <c r="AQ231" s="49" t="s">
        <v>116</v>
      </c>
      <c r="AR231" s="49" t="s">
        <v>116</v>
      </c>
      <c r="AS231" s="49" t="s">
        <v>116</v>
      </c>
      <c r="AT231" s="49" t="s">
        <v>116</v>
      </c>
      <c r="AU231" s="62">
        <v>1</v>
      </c>
      <c r="AV231" s="49">
        <v>1</v>
      </c>
      <c r="AW231" s="49">
        <v>1</v>
      </c>
      <c r="AX231" s="49">
        <v>1</v>
      </c>
      <c r="AY231" s="49" t="s">
        <v>116</v>
      </c>
      <c r="AZ231" s="49" t="s">
        <v>116</v>
      </c>
      <c r="BA231" s="49" t="s">
        <v>116</v>
      </c>
      <c r="BB231" s="49" t="s">
        <v>116</v>
      </c>
      <c r="BC231" s="49" t="s">
        <v>116</v>
      </c>
      <c r="BD231" s="49" t="s">
        <v>116</v>
      </c>
      <c r="BE231" s="49" t="s">
        <v>116</v>
      </c>
      <c r="BF231" s="49" t="s">
        <v>116</v>
      </c>
      <c r="BG231" s="49" t="s">
        <v>116</v>
      </c>
      <c r="BH231" s="49" t="s">
        <v>116</v>
      </c>
      <c r="BI231" s="49" t="s">
        <v>116</v>
      </c>
      <c r="BJ231" s="49" t="s">
        <v>116</v>
      </c>
      <c r="BK231" s="62">
        <v>12</v>
      </c>
      <c r="BL231" s="49">
        <v>12</v>
      </c>
      <c r="BM231" s="49">
        <v>200</v>
      </c>
      <c r="BN231" s="49">
        <v>2</v>
      </c>
      <c r="CA231" s="49">
        <v>226</v>
      </c>
      <c r="CB231" s="49">
        <v>1000</v>
      </c>
      <c r="CC231" s="49">
        <v>0</v>
      </c>
      <c r="CD231" s="49">
        <v>0</v>
      </c>
      <c r="CE231" s="49">
        <v>0</v>
      </c>
      <c r="CF231" s="121">
        <v>0</v>
      </c>
      <c r="CG231" s="49">
        <v>0</v>
      </c>
      <c r="CH231" s="49">
        <v>0</v>
      </c>
      <c r="CI231" s="49">
        <v>1</v>
      </c>
      <c r="CJ231" s="49">
        <v>1</v>
      </c>
      <c r="CK231" s="49">
        <v>0</v>
      </c>
      <c r="CL231" s="49">
        <v>0</v>
      </c>
      <c r="CM231" s="49">
        <v>0</v>
      </c>
      <c r="CN231" s="49">
        <v>0</v>
      </c>
      <c r="CO231" s="49">
        <v>0</v>
      </c>
      <c r="CP231" s="49">
        <v>0</v>
      </c>
      <c r="CQ231" s="49">
        <v>0</v>
      </c>
      <c r="CR231" s="49">
        <v>0</v>
      </c>
      <c r="CS231" s="49">
        <v>1000</v>
      </c>
      <c r="CV231" s="49">
        <v>0</v>
      </c>
      <c r="CW231" s="49">
        <v>0</v>
      </c>
    </row>
    <row r="232" s="48" customFormat="1" customHeight="1" spans="1:101">
      <c r="A232" s="95">
        <v>5570</v>
      </c>
      <c r="B232" s="80" t="s">
        <v>390</v>
      </c>
      <c r="H232" s="48" t="s">
        <v>326</v>
      </c>
      <c r="I232" s="48" t="s">
        <v>391</v>
      </c>
      <c r="J232" s="48" t="s">
        <v>392</v>
      </c>
      <c r="K232" s="48">
        <v>2000</v>
      </c>
      <c r="O232" s="77">
        <v>200901</v>
      </c>
      <c r="P232" s="77">
        <v>1</v>
      </c>
      <c r="Q232" s="77">
        <v>0</v>
      </c>
      <c r="R232" s="77">
        <v>0</v>
      </c>
      <c r="S232" s="64">
        <v>201204</v>
      </c>
      <c r="T232" s="64">
        <v>1</v>
      </c>
      <c r="U232" s="64">
        <v>0</v>
      </c>
      <c r="V232" s="64">
        <v>0</v>
      </c>
      <c r="W232" s="63">
        <v>200115</v>
      </c>
      <c r="X232" s="63">
        <v>2</v>
      </c>
      <c r="Y232" s="63">
        <v>0</v>
      </c>
      <c r="Z232" s="63">
        <v>0</v>
      </c>
      <c r="AA232" s="78"/>
      <c r="AB232" s="78"/>
      <c r="AC232" s="78"/>
      <c r="AD232" s="78"/>
      <c r="AE232" s="48">
        <v>200068</v>
      </c>
      <c r="AF232" s="48">
        <v>200069</v>
      </c>
      <c r="AG232" s="48" t="s">
        <v>116</v>
      </c>
      <c r="AH232" s="48" t="s">
        <v>116</v>
      </c>
      <c r="AI232" s="48" t="s">
        <v>116</v>
      </c>
      <c r="AJ232" s="48" t="s">
        <v>116</v>
      </c>
      <c r="AK232" s="48" t="s">
        <v>116</v>
      </c>
      <c r="AL232" s="48" t="s">
        <v>116</v>
      </c>
      <c r="AM232" s="48" t="s">
        <v>116</v>
      </c>
      <c r="AN232" s="48" t="s">
        <v>116</v>
      </c>
      <c r="AO232" s="48" t="s">
        <v>116</v>
      </c>
      <c r="AP232" s="48" t="s">
        <v>116</v>
      </c>
      <c r="AQ232" s="48" t="s">
        <v>116</v>
      </c>
      <c r="AR232" s="48" t="s">
        <v>116</v>
      </c>
      <c r="AS232" s="48" t="s">
        <v>116</v>
      </c>
      <c r="AT232" s="48" t="s">
        <v>116</v>
      </c>
      <c r="AU232" s="62">
        <v>1</v>
      </c>
      <c r="AV232" s="48">
        <v>1</v>
      </c>
      <c r="AW232" s="48" t="s">
        <v>116</v>
      </c>
      <c r="AX232" s="48" t="s">
        <v>116</v>
      </c>
      <c r="AY232" s="48" t="s">
        <v>116</v>
      </c>
      <c r="AZ232" s="48" t="s">
        <v>116</v>
      </c>
      <c r="BA232" s="48" t="s">
        <v>116</v>
      </c>
      <c r="BB232" s="48" t="s">
        <v>116</v>
      </c>
      <c r="BC232" s="48" t="s">
        <v>116</v>
      </c>
      <c r="BD232" s="48" t="s">
        <v>116</v>
      </c>
      <c r="BE232" s="48" t="s">
        <v>116</v>
      </c>
      <c r="BF232" s="48" t="s">
        <v>116</v>
      </c>
      <c r="BG232" s="48" t="s">
        <v>116</v>
      </c>
      <c r="BH232" s="48" t="s">
        <v>116</v>
      </c>
      <c r="BI232" s="48" t="s">
        <v>116</v>
      </c>
      <c r="BJ232" s="48" t="s">
        <v>116</v>
      </c>
      <c r="BK232" s="62">
        <v>200</v>
      </c>
      <c r="BL232" s="48">
        <v>100</v>
      </c>
      <c r="CA232" s="48">
        <v>300</v>
      </c>
      <c r="CB232" s="48">
        <v>1000</v>
      </c>
      <c r="CC232" s="48">
        <v>0</v>
      </c>
      <c r="CD232" s="48">
        <v>0</v>
      </c>
      <c r="CE232" s="48">
        <v>0</v>
      </c>
      <c r="CF232" s="48">
        <v>0</v>
      </c>
      <c r="CG232" s="48">
        <v>0</v>
      </c>
      <c r="CH232" s="48">
        <v>1</v>
      </c>
      <c r="CI232" s="48">
        <v>1</v>
      </c>
      <c r="CJ232" s="48">
        <v>0</v>
      </c>
      <c r="CK232" s="48">
        <v>0</v>
      </c>
      <c r="CL232" s="48">
        <v>0</v>
      </c>
      <c r="CM232" s="48">
        <v>0</v>
      </c>
      <c r="CN232" s="48">
        <v>0</v>
      </c>
      <c r="CO232" s="48">
        <v>0</v>
      </c>
      <c r="CP232" s="48">
        <v>0</v>
      </c>
      <c r="CQ232" s="48">
        <v>0</v>
      </c>
      <c r="CR232" s="48">
        <v>0</v>
      </c>
      <c r="CV232" s="48">
        <v>1</v>
      </c>
      <c r="CW232" s="48">
        <v>1</v>
      </c>
    </row>
    <row r="233" s="49" customFormat="1" customHeight="1" spans="1:101">
      <c r="A233" s="116">
        <v>5571</v>
      </c>
      <c r="B233" s="117" t="s">
        <v>393</v>
      </c>
      <c r="H233" s="50" t="s">
        <v>326</v>
      </c>
      <c r="I233" s="49" t="s">
        <v>394</v>
      </c>
      <c r="J233" s="49" t="s">
        <v>395</v>
      </c>
      <c r="K233" s="49" t="s">
        <v>116</v>
      </c>
      <c r="O233" s="77"/>
      <c r="P233" s="77"/>
      <c r="Q233" s="77"/>
      <c r="R233" s="77"/>
      <c r="S233" s="64"/>
      <c r="T233" s="64"/>
      <c r="U233" s="64"/>
      <c r="V233" s="64"/>
      <c r="W233" s="63"/>
      <c r="X233" s="63"/>
      <c r="Y233" s="63"/>
      <c r="Z233" s="63"/>
      <c r="AA233" s="78"/>
      <c r="AB233" s="78"/>
      <c r="AC233" s="78"/>
      <c r="AD233" s="78"/>
      <c r="AE233" s="48"/>
      <c r="AG233" s="49" t="s">
        <v>116</v>
      </c>
      <c r="AH233" s="49" t="s">
        <v>116</v>
      </c>
      <c r="AI233" s="49" t="s">
        <v>116</v>
      </c>
      <c r="AJ233" s="49" t="s">
        <v>116</v>
      </c>
      <c r="AK233" s="49" t="s">
        <v>116</v>
      </c>
      <c r="AL233" s="49" t="s">
        <v>116</v>
      </c>
      <c r="AM233" s="49" t="s">
        <v>116</v>
      </c>
      <c r="AN233" s="49" t="s">
        <v>116</v>
      </c>
      <c r="AO233" s="49" t="s">
        <v>116</v>
      </c>
      <c r="AP233" s="49" t="s">
        <v>116</v>
      </c>
      <c r="AQ233" s="49" t="s">
        <v>116</v>
      </c>
      <c r="AR233" s="49" t="s">
        <v>116</v>
      </c>
      <c r="AS233" s="49" t="s">
        <v>116</v>
      </c>
      <c r="AT233" s="49" t="s">
        <v>116</v>
      </c>
      <c r="AU233" s="62"/>
      <c r="AW233" s="49" t="s">
        <v>116</v>
      </c>
      <c r="AX233" s="49" t="s">
        <v>116</v>
      </c>
      <c r="AY233" s="49" t="s">
        <v>116</v>
      </c>
      <c r="AZ233" s="49" t="s">
        <v>116</v>
      </c>
      <c r="BA233" s="49" t="s">
        <v>116</v>
      </c>
      <c r="BB233" s="49" t="s">
        <v>116</v>
      </c>
      <c r="BC233" s="49" t="s">
        <v>116</v>
      </c>
      <c r="BD233" s="49" t="s">
        <v>116</v>
      </c>
      <c r="BE233" s="49" t="s">
        <v>116</v>
      </c>
      <c r="BF233" s="49" t="s">
        <v>116</v>
      </c>
      <c r="BG233" s="49" t="s">
        <v>116</v>
      </c>
      <c r="BH233" s="49" t="s">
        <v>116</v>
      </c>
      <c r="BI233" s="49" t="s">
        <v>116</v>
      </c>
      <c r="BJ233" s="49" t="s">
        <v>116</v>
      </c>
      <c r="BK233" s="62"/>
      <c r="CA233" s="49">
        <v>0</v>
      </c>
      <c r="CB233" s="49">
        <v>1000</v>
      </c>
      <c r="CC233" s="49">
        <v>0</v>
      </c>
      <c r="CD233" s="49">
        <v>0</v>
      </c>
      <c r="CE233" s="49">
        <v>0</v>
      </c>
      <c r="CF233" s="49">
        <v>0</v>
      </c>
      <c r="CG233" s="49">
        <v>0</v>
      </c>
      <c r="CH233" s="49">
        <v>1</v>
      </c>
      <c r="CI233" s="49">
        <v>1</v>
      </c>
      <c r="CJ233" s="49">
        <v>0</v>
      </c>
      <c r="CK233" s="49">
        <v>0</v>
      </c>
      <c r="CL233" s="49">
        <v>0</v>
      </c>
      <c r="CM233" s="49">
        <v>0</v>
      </c>
      <c r="CN233" s="49">
        <v>0</v>
      </c>
      <c r="CO233" s="49">
        <v>0</v>
      </c>
      <c r="CP233" s="49">
        <v>0</v>
      </c>
      <c r="CQ233" s="49">
        <v>0</v>
      </c>
      <c r="CR233" s="49">
        <v>0</v>
      </c>
      <c r="CV233" s="49">
        <v>1</v>
      </c>
      <c r="CW233" s="49">
        <v>1</v>
      </c>
    </row>
    <row r="234" s="48" customFormat="1" customHeight="1" spans="1:101">
      <c r="A234" s="95">
        <v>5580</v>
      </c>
      <c r="B234" s="80" t="s">
        <v>396</v>
      </c>
      <c r="H234" s="48" t="s">
        <v>116</v>
      </c>
      <c r="I234" s="48" t="s">
        <v>116</v>
      </c>
      <c r="J234" s="48" t="s">
        <v>116</v>
      </c>
      <c r="K234" s="48" t="s">
        <v>116</v>
      </c>
      <c r="O234" s="77"/>
      <c r="P234" s="77"/>
      <c r="Q234" s="77"/>
      <c r="R234" s="77"/>
      <c r="S234" s="64"/>
      <c r="T234" s="64"/>
      <c r="U234" s="64"/>
      <c r="V234" s="64"/>
      <c r="W234" s="63"/>
      <c r="X234" s="63"/>
      <c r="Y234" s="63"/>
      <c r="Z234" s="63"/>
      <c r="AA234" s="78"/>
      <c r="AB234" s="78"/>
      <c r="AC234" s="78"/>
      <c r="AD234" s="78"/>
      <c r="AE234" s="48">
        <v>200807</v>
      </c>
      <c r="AF234" s="48">
        <v>200808</v>
      </c>
      <c r="AG234" s="48" t="s">
        <v>116</v>
      </c>
      <c r="AH234" s="48" t="s">
        <v>116</v>
      </c>
      <c r="AI234" s="48" t="s">
        <v>116</v>
      </c>
      <c r="AJ234" s="48" t="s">
        <v>116</v>
      </c>
      <c r="AK234" s="48" t="s">
        <v>116</v>
      </c>
      <c r="AL234" s="48" t="s">
        <v>116</v>
      </c>
      <c r="AM234" s="48" t="s">
        <v>116</v>
      </c>
      <c r="AN234" s="48" t="s">
        <v>116</v>
      </c>
      <c r="AO234" s="48" t="s">
        <v>116</v>
      </c>
      <c r="AP234" s="48" t="s">
        <v>116</v>
      </c>
      <c r="AQ234" s="48" t="s">
        <v>116</v>
      </c>
      <c r="AR234" s="48" t="s">
        <v>116</v>
      </c>
      <c r="AS234" s="48" t="s">
        <v>116</v>
      </c>
      <c r="AT234" s="48" t="s">
        <v>116</v>
      </c>
      <c r="AU234" s="62">
        <v>1</v>
      </c>
      <c r="AV234" s="48">
        <v>1</v>
      </c>
      <c r="AW234" s="48" t="s">
        <v>116</v>
      </c>
      <c r="AX234" s="48" t="s">
        <v>116</v>
      </c>
      <c r="AY234" s="48" t="s">
        <v>116</v>
      </c>
      <c r="AZ234" s="48" t="s">
        <v>116</v>
      </c>
      <c r="BA234" s="48" t="s">
        <v>116</v>
      </c>
      <c r="BB234" s="48" t="s">
        <v>116</v>
      </c>
      <c r="BC234" s="48" t="s">
        <v>116</v>
      </c>
      <c r="BD234" s="48" t="s">
        <v>116</v>
      </c>
      <c r="BE234" s="48" t="s">
        <v>116</v>
      </c>
      <c r="BF234" s="48" t="s">
        <v>116</v>
      </c>
      <c r="BG234" s="48" t="s">
        <v>116</v>
      </c>
      <c r="BH234" s="48" t="s">
        <v>116</v>
      </c>
      <c r="BI234" s="48" t="s">
        <v>116</v>
      </c>
      <c r="BJ234" s="48" t="s">
        <v>116</v>
      </c>
      <c r="BK234" s="62">
        <v>500</v>
      </c>
      <c r="BL234" s="48">
        <v>3</v>
      </c>
      <c r="CA234" s="48">
        <v>503</v>
      </c>
      <c r="CB234" s="48">
        <v>1000</v>
      </c>
      <c r="CC234" s="48">
        <v>0</v>
      </c>
      <c r="CD234" s="48">
        <v>0</v>
      </c>
      <c r="CE234" s="48">
        <v>0</v>
      </c>
      <c r="CF234" s="115">
        <v>0</v>
      </c>
      <c r="CG234" s="48">
        <v>0</v>
      </c>
      <c r="CH234" s="48">
        <v>0</v>
      </c>
      <c r="CI234" s="48">
        <v>1</v>
      </c>
      <c r="CJ234" s="48">
        <v>1</v>
      </c>
      <c r="CK234" s="48">
        <v>0</v>
      </c>
      <c r="CL234" s="48">
        <v>0</v>
      </c>
      <c r="CM234" s="48">
        <v>0</v>
      </c>
      <c r="CN234" s="48">
        <v>0</v>
      </c>
      <c r="CO234" s="48">
        <v>0</v>
      </c>
      <c r="CP234" s="48">
        <v>0</v>
      </c>
      <c r="CQ234" s="48">
        <v>0</v>
      </c>
      <c r="CR234" s="48">
        <v>0</v>
      </c>
      <c r="CS234" s="48">
        <v>1000</v>
      </c>
      <c r="CV234" s="48">
        <v>0</v>
      </c>
      <c r="CW234" s="48">
        <v>0</v>
      </c>
    </row>
    <row r="235" s="50" customFormat="1" customHeight="1" spans="1:101">
      <c r="A235" s="119">
        <v>5581</v>
      </c>
      <c r="B235" s="120" t="s">
        <v>397</v>
      </c>
      <c r="H235" s="50" t="s">
        <v>326</v>
      </c>
      <c r="I235" s="50" t="s">
        <v>116</v>
      </c>
      <c r="J235" s="50" t="s">
        <v>116</v>
      </c>
      <c r="K235" s="50">
        <v>2000</v>
      </c>
      <c r="O235" s="77">
        <v>201204</v>
      </c>
      <c r="P235" s="77">
        <v>1</v>
      </c>
      <c r="Q235" s="77">
        <v>0</v>
      </c>
      <c r="R235" s="77">
        <v>0</v>
      </c>
      <c r="S235" s="64">
        <v>200115</v>
      </c>
      <c r="T235" s="64">
        <v>2</v>
      </c>
      <c r="U235" s="64">
        <v>0</v>
      </c>
      <c r="V235" s="64">
        <v>0</v>
      </c>
      <c r="W235" s="63"/>
      <c r="X235" s="63"/>
      <c r="Y235" s="63"/>
      <c r="Z235" s="63"/>
      <c r="AA235" s="78"/>
      <c r="AB235" s="78"/>
      <c r="AC235" s="78"/>
      <c r="AD235" s="78"/>
      <c r="AE235" s="48">
        <v>200509</v>
      </c>
      <c r="AF235" s="50">
        <v>200308</v>
      </c>
      <c r="AG235" s="50" t="s">
        <v>116</v>
      </c>
      <c r="AH235" s="50" t="s">
        <v>116</v>
      </c>
      <c r="AI235" s="50" t="s">
        <v>116</v>
      </c>
      <c r="AJ235" s="50" t="s">
        <v>116</v>
      </c>
      <c r="AK235" s="50" t="s">
        <v>116</v>
      </c>
      <c r="AL235" s="50" t="s">
        <v>116</v>
      </c>
      <c r="AM235" s="50" t="s">
        <v>116</v>
      </c>
      <c r="AN235" s="50" t="s">
        <v>116</v>
      </c>
      <c r="AO235" s="50" t="s">
        <v>116</v>
      </c>
      <c r="AP235" s="50" t="s">
        <v>116</v>
      </c>
      <c r="AQ235" s="50" t="s">
        <v>116</v>
      </c>
      <c r="AR235" s="50" t="s">
        <v>116</v>
      </c>
      <c r="AS235" s="50" t="s">
        <v>116</v>
      </c>
      <c r="AT235" s="50" t="s">
        <v>116</v>
      </c>
      <c r="AU235" s="62">
        <v>1</v>
      </c>
      <c r="AV235" s="50">
        <v>1</v>
      </c>
      <c r="AW235" s="50" t="s">
        <v>116</v>
      </c>
      <c r="AX235" s="50" t="s">
        <v>116</v>
      </c>
      <c r="AY235" s="50" t="s">
        <v>116</v>
      </c>
      <c r="AZ235" s="50" t="s">
        <v>116</v>
      </c>
      <c r="BA235" s="50" t="s">
        <v>116</v>
      </c>
      <c r="BB235" s="50" t="s">
        <v>116</v>
      </c>
      <c r="BC235" s="50" t="s">
        <v>116</v>
      </c>
      <c r="BD235" s="50" t="s">
        <v>116</v>
      </c>
      <c r="BE235" s="50" t="s">
        <v>116</v>
      </c>
      <c r="BF235" s="50" t="s">
        <v>116</v>
      </c>
      <c r="BG235" s="50" t="s">
        <v>116</v>
      </c>
      <c r="BH235" s="50" t="s">
        <v>116</v>
      </c>
      <c r="BI235" s="50" t="s">
        <v>116</v>
      </c>
      <c r="BJ235" s="50" t="s">
        <v>116</v>
      </c>
      <c r="BK235" s="62">
        <v>500</v>
      </c>
      <c r="BL235" s="50">
        <v>3</v>
      </c>
      <c r="CA235" s="50">
        <v>503</v>
      </c>
      <c r="CB235" s="50">
        <v>1000</v>
      </c>
      <c r="CC235" s="50">
        <v>0</v>
      </c>
      <c r="CD235" s="50">
        <v>0</v>
      </c>
      <c r="CE235" s="50">
        <v>0</v>
      </c>
      <c r="CF235" s="122">
        <v>0</v>
      </c>
      <c r="CG235" s="50">
        <v>0</v>
      </c>
      <c r="CH235" s="50">
        <v>0</v>
      </c>
      <c r="CI235" s="50">
        <v>1</v>
      </c>
      <c r="CJ235" s="50">
        <v>1</v>
      </c>
      <c r="CK235" s="50">
        <v>0</v>
      </c>
      <c r="CL235" s="50">
        <v>0</v>
      </c>
      <c r="CM235" s="50">
        <v>0</v>
      </c>
      <c r="CN235" s="50">
        <v>0</v>
      </c>
      <c r="CO235" s="50">
        <v>0</v>
      </c>
      <c r="CP235" s="50">
        <v>0</v>
      </c>
      <c r="CQ235" s="50">
        <v>0</v>
      </c>
      <c r="CR235" s="50">
        <v>0</v>
      </c>
      <c r="CS235" s="50">
        <v>1000</v>
      </c>
      <c r="CV235" s="50">
        <v>0</v>
      </c>
      <c r="CW235" s="50">
        <v>0</v>
      </c>
    </row>
    <row r="236" s="50" customFormat="1" customHeight="1" spans="1:101">
      <c r="A236" s="119">
        <v>5582</v>
      </c>
      <c r="B236" s="120" t="s">
        <v>398</v>
      </c>
      <c r="H236" s="50" t="s">
        <v>326</v>
      </c>
      <c r="I236" s="50" t="s">
        <v>116</v>
      </c>
      <c r="J236" s="50" t="s">
        <v>116</v>
      </c>
      <c r="K236" s="50">
        <v>2000</v>
      </c>
      <c r="O236" s="77">
        <v>201204</v>
      </c>
      <c r="P236" s="77">
        <v>1</v>
      </c>
      <c r="Q236" s="77">
        <v>0</v>
      </c>
      <c r="R236" s="77">
        <v>0</v>
      </c>
      <c r="S236" s="64">
        <v>200115</v>
      </c>
      <c r="T236" s="64">
        <v>2</v>
      </c>
      <c r="U236" s="64">
        <v>0</v>
      </c>
      <c r="V236" s="64">
        <v>0</v>
      </c>
      <c r="W236" s="63"/>
      <c r="X236" s="63"/>
      <c r="Y236" s="63"/>
      <c r="Z236" s="63"/>
      <c r="AA236" s="78"/>
      <c r="AB236" s="78"/>
      <c r="AC236" s="78"/>
      <c r="AD236" s="78"/>
      <c r="AE236" s="48">
        <v>200509</v>
      </c>
      <c r="AF236" s="50">
        <v>200309</v>
      </c>
      <c r="AG236" s="50" t="s">
        <v>116</v>
      </c>
      <c r="AH236" s="50" t="s">
        <v>116</v>
      </c>
      <c r="AI236" s="50" t="s">
        <v>116</v>
      </c>
      <c r="AJ236" s="50" t="s">
        <v>116</v>
      </c>
      <c r="AK236" s="50" t="s">
        <v>116</v>
      </c>
      <c r="AL236" s="50" t="s">
        <v>116</v>
      </c>
      <c r="AM236" s="50" t="s">
        <v>116</v>
      </c>
      <c r="AN236" s="50" t="s">
        <v>116</v>
      </c>
      <c r="AO236" s="50" t="s">
        <v>116</v>
      </c>
      <c r="AP236" s="50" t="s">
        <v>116</v>
      </c>
      <c r="AQ236" s="50" t="s">
        <v>116</v>
      </c>
      <c r="AR236" s="50" t="s">
        <v>116</v>
      </c>
      <c r="AS236" s="50" t="s">
        <v>116</v>
      </c>
      <c r="AT236" s="50" t="s">
        <v>116</v>
      </c>
      <c r="AU236" s="62">
        <v>1</v>
      </c>
      <c r="AV236" s="50">
        <v>1</v>
      </c>
      <c r="AW236" s="50" t="s">
        <v>116</v>
      </c>
      <c r="AX236" s="50" t="s">
        <v>116</v>
      </c>
      <c r="AY236" s="50" t="s">
        <v>116</v>
      </c>
      <c r="AZ236" s="50" t="s">
        <v>116</v>
      </c>
      <c r="BA236" s="50" t="s">
        <v>116</v>
      </c>
      <c r="BB236" s="50" t="s">
        <v>116</v>
      </c>
      <c r="BC236" s="50" t="s">
        <v>116</v>
      </c>
      <c r="BD236" s="50" t="s">
        <v>116</v>
      </c>
      <c r="BE236" s="50" t="s">
        <v>116</v>
      </c>
      <c r="BF236" s="50" t="s">
        <v>116</v>
      </c>
      <c r="BG236" s="50" t="s">
        <v>116</v>
      </c>
      <c r="BH236" s="50" t="s">
        <v>116</v>
      </c>
      <c r="BI236" s="50" t="s">
        <v>116</v>
      </c>
      <c r="BJ236" s="50" t="s">
        <v>116</v>
      </c>
      <c r="BK236" s="62">
        <v>500</v>
      </c>
      <c r="BL236" s="50">
        <v>3</v>
      </c>
      <c r="CA236" s="50">
        <v>503</v>
      </c>
      <c r="CB236" s="50">
        <v>1000</v>
      </c>
      <c r="CC236" s="50">
        <v>0</v>
      </c>
      <c r="CD236" s="50">
        <v>0</v>
      </c>
      <c r="CE236" s="50">
        <v>0</v>
      </c>
      <c r="CF236" s="122">
        <v>0</v>
      </c>
      <c r="CG236" s="50">
        <v>0</v>
      </c>
      <c r="CH236" s="50">
        <v>0</v>
      </c>
      <c r="CI236" s="50">
        <v>1</v>
      </c>
      <c r="CJ236" s="50">
        <v>1</v>
      </c>
      <c r="CK236" s="50">
        <v>0</v>
      </c>
      <c r="CL236" s="50">
        <v>0</v>
      </c>
      <c r="CM236" s="50">
        <v>0</v>
      </c>
      <c r="CN236" s="50">
        <v>0</v>
      </c>
      <c r="CO236" s="50">
        <v>0</v>
      </c>
      <c r="CP236" s="50">
        <v>0</v>
      </c>
      <c r="CQ236" s="50">
        <v>0</v>
      </c>
      <c r="CR236" s="50">
        <v>0</v>
      </c>
      <c r="CS236" s="50">
        <v>1000</v>
      </c>
      <c r="CV236" s="50">
        <v>0</v>
      </c>
      <c r="CW236" s="50">
        <v>0</v>
      </c>
    </row>
    <row r="237" s="50" customFormat="1" customHeight="1" spans="1:101">
      <c r="A237" s="119">
        <v>5583</v>
      </c>
      <c r="B237" s="120" t="s">
        <v>399</v>
      </c>
      <c r="H237" s="50" t="s">
        <v>326</v>
      </c>
      <c r="I237" s="50" t="s">
        <v>116</v>
      </c>
      <c r="J237" s="50" t="s">
        <v>116</v>
      </c>
      <c r="K237" s="50">
        <v>2000</v>
      </c>
      <c r="O237" s="77">
        <v>201204</v>
      </c>
      <c r="P237" s="77">
        <v>1</v>
      </c>
      <c r="Q237" s="77">
        <v>0</v>
      </c>
      <c r="R237" s="77">
        <v>0</v>
      </c>
      <c r="S237" s="64">
        <v>200115</v>
      </c>
      <c r="T237" s="64">
        <v>2</v>
      </c>
      <c r="U237" s="64">
        <v>0</v>
      </c>
      <c r="V237" s="64">
        <v>0</v>
      </c>
      <c r="W237" s="63"/>
      <c r="X237" s="63"/>
      <c r="Y237" s="63"/>
      <c r="Z237" s="63"/>
      <c r="AA237" s="78"/>
      <c r="AB237" s="78"/>
      <c r="AC237" s="78"/>
      <c r="AD237" s="78"/>
      <c r="AE237" s="48">
        <v>200509</v>
      </c>
      <c r="AF237" s="50">
        <v>200310</v>
      </c>
      <c r="AG237" s="50" t="s">
        <v>116</v>
      </c>
      <c r="AH237" s="50" t="s">
        <v>116</v>
      </c>
      <c r="AI237" s="50" t="s">
        <v>116</v>
      </c>
      <c r="AJ237" s="50" t="s">
        <v>116</v>
      </c>
      <c r="AK237" s="50" t="s">
        <v>116</v>
      </c>
      <c r="AL237" s="50" t="s">
        <v>116</v>
      </c>
      <c r="AM237" s="50" t="s">
        <v>116</v>
      </c>
      <c r="AN237" s="50" t="s">
        <v>116</v>
      </c>
      <c r="AO237" s="50" t="s">
        <v>116</v>
      </c>
      <c r="AP237" s="50" t="s">
        <v>116</v>
      </c>
      <c r="AQ237" s="50" t="s">
        <v>116</v>
      </c>
      <c r="AR237" s="50" t="s">
        <v>116</v>
      </c>
      <c r="AS237" s="50" t="s">
        <v>116</v>
      </c>
      <c r="AT237" s="50" t="s">
        <v>116</v>
      </c>
      <c r="AU237" s="62">
        <v>1</v>
      </c>
      <c r="AV237" s="50">
        <v>1</v>
      </c>
      <c r="AW237" s="50" t="s">
        <v>116</v>
      </c>
      <c r="AX237" s="50" t="s">
        <v>116</v>
      </c>
      <c r="AY237" s="50" t="s">
        <v>116</v>
      </c>
      <c r="AZ237" s="50" t="s">
        <v>116</v>
      </c>
      <c r="BA237" s="50" t="s">
        <v>116</v>
      </c>
      <c r="BB237" s="50" t="s">
        <v>116</v>
      </c>
      <c r="BC237" s="50" t="s">
        <v>116</v>
      </c>
      <c r="BD237" s="50" t="s">
        <v>116</v>
      </c>
      <c r="BE237" s="50" t="s">
        <v>116</v>
      </c>
      <c r="BF237" s="50" t="s">
        <v>116</v>
      </c>
      <c r="BG237" s="50" t="s">
        <v>116</v>
      </c>
      <c r="BH237" s="50" t="s">
        <v>116</v>
      </c>
      <c r="BI237" s="50" t="s">
        <v>116</v>
      </c>
      <c r="BJ237" s="50" t="s">
        <v>116</v>
      </c>
      <c r="BK237" s="62">
        <v>500</v>
      </c>
      <c r="BL237" s="50">
        <v>3</v>
      </c>
      <c r="CA237" s="50">
        <v>503</v>
      </c>
      <c r="CB237" s="50">
        <v>1000</v>
      </c>
      <c r="CC237" s="50">
        <v>0</v>
      </c>
      <c r="CD237" s="50">
        <v>0</v>
      </c>
      <c r="CE237" s="50">
        <v>0</v>
      </c>
      <c r="CF237" s="122">
        <v>0</v>
      </c>
      <c r="CG237" s="50">
        <v>0</v>
      </c>
      <c r="CH237" s="50">
        <v>0</v>
      </c>
      <c r="CI237" s="50">
        <v>1</v>
      </c>
      <c r="CJ237" s="50">
        <v>1</v>
      </c>
      <c r="CK237" s="50">
        <v>0</v>
      </c>
      <c r="CL237" s="50">
        <v>0</v>
      </c>
      <c r="CM237" s="50">
        <v>0</v>
      </c>
      <c r="CN237" s="50">
        <v>0</v>
      </c>
      <c r="CO237" s="50">
        <v>0</v>
      </c>
      <c r="CP237" s="50">
        <v>0</v>
      </c>
      <c r="CQ237" s="50">
        <v>0</v>
      </c>
      <c r="CR237" s="50">
        <v>0</v>
      </c>
      <c r="CS237" s="50">
        <v>1000</v>
      </c>
      <c r="CV237" s="50">
        <v>0</v>
      </c>
      <c r="CW237" s="50">
        <v>0</v>
      </c>
    </row>
    <row r="238" s="50" customFormat="1" customHeight="1" spans="1:101">
      <c r="A238" s="119">
        <v>5584</v>
      </c>
      <c r="B238" s="120" t="s">
        <v>400</v>
      </c>
      <c r="H238" s="50" t="s">
        <v>326</v>
      </c>
      <c r="I238" s="50" t="s">
        <v>116</v>
      </c>
      <c r="J238" s="50" t="s">
        <v>116</v>
      </c>
      <c r="K238" s="50">
        <v>2000</v>
      </c>
      <c r="O238" s="77">
        <v>201204</v>
      </c>
      <c r="P238" s="77">
        <v>1</v>
      </c>
      <c r="Q238" s="77">
        <v>0</v>
      </c>
      <c r="R238" s="77">
        <v>0</v>
      </c>
      <c r="S238" s="64">
        <v>200115</v>
      </c>
      <c r="T238" s="64">
        <v>2</v>
      </c>
      <c r="U238" s="64">
        <v>0</v>
      </c>
      <c r="V238" s="64">
        <v>0</v>
      </c>
      <c r="W238" s="63"/>
      <c r="X238" s="63"/>
      <c r="Y238" s="63"/>
      <c r="Z238" s="63"/>
      <c r="AA238" s="78"/>
      <c r="AB238" s="78"/>
      <c r="AC238" s="78"/>
      <c r="AD238" s="78"/>
      <c r="AE238" s="48">
        <v>200509</v>
      </c>
      <c r="AF238" s="50">
        <v>200311</v>
      </c>
      <c r="AG238" s="50" t="s">
        <v>116</v>
      </c>
      <c r="AH238" s="50" t="s">
        <v>116</v>
      </c>
      <c r="AI238" s="50" t="s">
        <v>116</v>
      </c>
      <c r="AJ238" s="50" t="s">
        <v>116</v>
      </c>
      <c r="AK238" s="50" t="s">
        <v>116</v>
      </c>
      <c r="AL238" s="50" t="s">
        <v>116</v>
      </c>
      <c r="AM238" s="50" t="s">
        <v>116</v>
      </c>
      <c r="AN238" s="50" t="s">
        <v>116</v>
      </c>
      <c r="AO238" s="50" t="s">
        <v>116</v>
      </c>
      <c r="AP238" s="50" t="s">
        <v>116</v>
      </c>
      <c r="AQ238" s="50" t="s">
        <v>116</v>
      </c>
      <c r="AR238" s="50" t="s">
        <v>116</v>
      </c>
      <c r="AS238" s="50" t="s">
        <v>116</v>
      </c>
      <c r="AT238" s="50" t="s">
        <v>116</v>
      </c>
      <c r="AU238" s="62">
        <v>1</v>
      </c>
      <c r="AV238" s="50">
        <v>1</v>
      </c>
      <c r="AW238" s="50" t="s">
        <v>116</v>
      </c>
      <c r="AX238" s="50" t="s">
        <v>116</v>
      </c>
      <c r="AY238" s="50" t="s">
        <v>116</v>
      </c>
      <c r="AZ238" s="50" t="s">
        <v>116</v>
      </c>
      <c r="BA238" s="50" t="s">
        <v>116</v>
      </c>
      <c r="BB238" s="50" t="s">
        <v>116</v>
      </c>
      <c r="BC238" s="50" t="s">
        <v>116</v>
      </c>
      <c r="BD238" s="50" t="s">
        <v>116</v>
      </c>
      <c r="BE238" s="50" t="s">
        <v>116</v>
      </c>
      <c r="BF238" s="50" t="s">
        <v>116</v>
      </c>
      <c r="BG238" s="50" t="s">
        <v>116</v>
      </c>
      <c r="BH238" s="50" t="s">
        <v>116</v>
      </c>
      <c r="BI238" s="50" t="s">
        <v>116</v>
      </c>
      <c r="BJ238" s="50" t="s">
        <v>116</v>
      </c>
      <c r="BK238" s="62">
        <v>500</v>
      </c>
      <c r="BL238" s="50">
        <v>3</v>
      </c>
      <c r="CA238" s="50">
        <v>503</v>
      </c>
      <c r="CB238" s="50">
        <v>1000</v>
      </c>
      <c r="CC238" s="50">
        <v>0</v>
      </c>
      <c r="CD238" s="50">
        <v>0</v>
      </c>
      <c r="CE238" s="50">
        <v>0</v>
      </c>
      <c r="CF238" s="122">
        <v>0</v>
      </c>
      <c r="CG238" s="50">
        <v>0</v>
      </c>
      <c r="CH238" s="50">
        <v>0</v>
      </c>
      <c r="CI238" s="50">
        <v>1</v>
      </c>
      <c r="CJ238" s="50">
        <v>1</v>
      </c>
      <c r="CK238" s="50">
        <v>0</v>
      </c>
      <c r="CL238" s="50">
        <v>0</v>
      </c>
      <c r="CM238" s="50">
        <v>0</v>
      </c>
      <c r="CN238" s="50">
        <v>0</v>
      </c>
      <c r="CO238" s="50">
        <v>0</v>
      </c>
      <c r="CP238" s="50">
        <v>0</v>
      </c>
      <c r="CQ238" s="50">
        <v>0</v>
      </c>
      <c r="CR238" s="50">
        <v>0</v>
      </c>
      <c r="CS238" s="50">
        <v>1000</v>
      </c>
      <c r="CV238" s="50">
        <v>0</v>
      </c>
      <c r="CW238" s="50">
        <v>0</v>
      </c>
    </row>
    <row r="239" s="49" customFormat="1" customHeight="1" spans="1:101">
      <c r="A239" s="116">
        <v>5585</v>
      </c>
      <c r="B239" s="117" t="s">
        <v>401</v>
      </c>
      <c r="H239" s="50"/>
      <c r="I239" s="49" t="s">
        <v>116</v>
      </c>
      <c r="J239" s="49" t="s">
        <v>116</v>
      </c>
      <c r="K239" s="49" t="s">
        <v>116</v>
      </c>
      <c r="O239" s="77"/>
      <c r="P239" s="77"/>
      <c r="Q239" s="77"/>
      <c r="R239" s="77"/>
      <c r="S239" s="64"/>
      <c r="T239" s="64"/>
      <c r="U239" s="64"/>
      <c r="V239" s="64"/>
      <c r="W239" s="63"/>
      <c r="X239" s="63"/>
      <c r="Y239" s="63"/>
      <c r="Z239" s="63"/>
      <c r="AA239" s="78"/>
      <c r="AB239" s="78"/>
      <c r="AC239" s="78"/>
      <c r="AD239" s="78"/>
      <c r="AE239" s="48">
        <v>200509</v>
      </c>
      <c r="AF239" s="49">
        <v>200307</v>
      </c>
      <c r="AG239" s="49" t="s">
        <v>116</v>
      </c>
      <c r="AH239" s="49" t="s">
        <v>116</v>
      </c>
      <c r="AI239" s="49" t="s">
        <v>116</v>
      </c>
      <c r="AJ239" s="49" t="s">
        <v>116</v>
      </c>
      <c r="AK239" s="49" t="s">
        <v>116</v>
      </c>
      <c r="AL239" s="49" t="s">
        <v>116</v>
      </c>
      <c r="AM239" s="49" t="s">
        <v>116</v>
      </c>
      <c r="AN239" s="49" t="s">
        <v>116</v>
      </c>
      <c r="AO239" s="49" t="s">
        <v>116</v>
      </c>
      <c r="AP239" s="49" t="s">
        <v>116</v>
      </c>
      <c r="AQ239" s="49" t="s">
        <v>116</v>
      </c>
      <c r="AR239" s="49" t="s">
        <v>116</v>
      </c>
      <c r="AS239" s="49" t="s">
        <v>116</v>
      </c>
      <c r="AT239" s="49" t="s">
        <v>116</v>
      </c>
      <c r="AU239" s="62">
        <v>1</v>
      </c>
      <c r="AV239" s="49">
        <v>1</v>
      </c>
      <c r="AW239" s="49" t="s">
        <v>116</v>
      </c>
      <c r="AX239" s="49" t="s">
        <v>116</v>
      </c>
      <c r="AY239" s="49" t="s">
        <v>116</v>
      </c>
      <c r="AZ239" s="49" t="s">
        <v>116</v>
      </c>
      <c r="BA239" s="49" t="s">
        <v>116</v>
      </c>
      <c r="BB239" s="49" t="s">
        <v>116</v>
      </c>
      <c r="BC239" s="49" t="s">
        <v>116</v>
      </c>
      <c r="BD239" s="49" t="s">
        <v>116</v>
      </c>
      <c r="BE239" s="49" t="s">
        <v>116</v>
      </c>
      <c r="BF239" s="49" t="s">
        <v>116</v>
      </c>
      <c r="BG239" s="49" t="s">
        <v>116</v>
      </c>
      <c r="BH239" s="49" t="s">
        <v>116</v>
      </c>
      <c r="BI239" s="49" t="s">
        <v>116</v>
      </c>
      <c r="BJ239" s="49" t="s">
        <v>116</v>
      </c>
      <c r="BK239" s="62">
        <v>500</v>
      </c>
      <c r="BL239" s="49">
        <v>3</v>
      </c>
      <c r="CA239" s="49">
        <v>503</v>
      </c>
      <c r="CB239" s="49">
        <v>1000</v>
      </c>
      <c r="CC239" s="49">
        <v>0</v>
      </c>
      <c r="CD239" s="49">
        <v>0</v>
      </c>
      <c r="CE239" s="49">
        <v>0</v>
      </c>
      <c r="CF239" s="121">
        <v>0</v>
      </c>
      <c r="CG239" s="49">
        <v>0</v>
      </c>
      <c r="CH239" s="49">
        <v>0</v>
      </c>
      <c r="CI239" s="49">
        <v>1</v>
      </c>
      <c r="CJ239" s="49">
        <v>1</v>
      </c>
      <c r="CK239" s="49">
        <v>0</v>
      </c>
      <c r="CL239" s="49">
        <v>0</v>
      </c>
      <c r="CM239" s="49">
        <v>0</v>
      </c>
      <c r="CN239" s="49">
        <v>0</v>
      </c>
      <c r="CO239" s="49">
        <v>0</v>
      </c>
      <c r="CP239" s="49">
        <v>0</v>
      </c>
      <c r="CQ239" s="49">
        <v>0</v>
      </c>
      <c r="CR239" s="49">
        <v>0</v>
      </c>
      <c r="CS239" s="49">
        <v>1000</v>
      </c>
      <c r="CV239" s="49">
        <v>0</v>
      </c>
      <c r="CW239" s="49">
        <v>0</v>
      </c>
    </row>
    <row r="240" s="49" customFormat="1" customHeight="1" spans="1:101">
      <c r="A240" s="116">
        <v>5586</v>
      </c>
      <c r="B240" s="117" t="s">
        <v>402</v>
      </c>
      <c r="H240" s="49" t="s">
        <v>116</v>
      </c>
      <c r="I240" s="49" t="s">
        <v>116</v>
      </c>
      <c r="J240" s="49" t="s">
        <v>116</v>
      </c>
      <c r="K240" s="49" t="s">
        <v>116</v>
      </c>
      <c r="O240" s="77"/>
      <c r="P240" s="77"/>
      <c r="Q240" s="77"/>
      <c r="R240" s="77"/>
      <c r="S240" s="64"/>
      <c r="T240" s="64"/>
      <c r="U240" s="64"/>
      <c r="V240" s="64"/>
      <c r="W240" s="63"/>
      <c r="X240" s="63"/>
      <c r="Y240" s="63"/>
      <c r="Z240" s="63"/>
      <c r="AA240" s="78"/>
      <c r="AB240" s="78"/>
      <c r="AC240" s="78"/>
      <c r="AD240" s="78"/>
      <c r="AE240" s="48">
        <v>200509</v>
      </c>
      <c r="AF240" s="49">
        <v>200308</v>
      </c>
      <c r="AG240" s="49" t="s">
        <v>116</v>
      </c>
      <c r="AH240" s="49" t="s">
        <v>116</v>
      </c>
      <c r="AI240" s="49" t="s">
        <v>116</v>
      </c>
      <c r="AJ240" s="49" t="s">
        <v>116</v>
      </c>
      <c r="AK240" s="49" t="s">
        <v>116</v>
      </c>
      <c r="AL240" s="49" t="s">
        <v>116</v>
      </c>
      <c r="AM240" s="49" t="s">
        <v>116</v>
      </c>
      <c r="AN240" s="49" t="s">
        <v>116</v>
      </c>
      <c r="AO240" s="49" t="s">
        <v>116</v>
      </c>
      <c r="AP240" s="49" t="s">
        <v>116</v>
      </c>
      <c r="AQ240" s="49" t="s">
        <v>116</v>
      </c>
      <c r="AR240" s="49" t="s">
        <v>116</v>
      </c>
      <c r="AS240" s="49" t="s">
        <v>116</v>
      </c>
      <c r="AT240" s="49" t="s">
        <v>116</v>
      </c>
      <c r="AU240" s="62">
        <v>1</v>
      </c>
      <c r="AV240" s="49">
        <v>1</v>
      </c>
      <c r="AW240" s="49" t="s">
        <v>116</v>
      </c>
      <c r="AX240" s="49" t="s">
        <v>116</v>
      </c>
      <c r="AY240" s="49" t="s">
        <v>116</v>
      </c>
      <c r="AZ240" s="49" t="s">
        <v>116</v>
      </c>
      <c r="BA240" s="49" t="s">
        <v>116</v>
      </c>
      <c r="BB240" s="49" t="s">
        <v>116</v>
      </c>
      <c r="BC240" s="49" t="s">
        <v>116</v>
      </c>
      <c r="BD240" s="49" t="s">
        <v>116</v>
      </c>
      <c r="BE240" s="49" t="s">
        <v>116</v>
      </c>
      <c r="BF240" s="49" t="s">
        <v>116</v>
      </c>
      <c r="BG240" s="49" t="s">
        <v>116</v>
      </c>
      <c r="BH240" s="49" t="s">
        <v>116</v>
      </c>
      <c r="BI240" s="49" t="s">
        <v>116</v>
      </c>
      <c r="BJ240" s="49" t="s">
        <v>116</v>
      </c>
      <c r="BK240" s="62">
        <v>500</v>
      </c>
      <c r="BL240" s="49">
        <v>3</v>
      </c>
      <c r="CA240" s="49">
        <v>503</v>
      </c>
      <c r="CB240" s="49">
        <v>1000</v>
      </c>
      <c r="CC240" s="49">
        <v>0</v>
      </c>
      <c r="CD240" s="49">
        <v>0</v>
      </c>
      <c r="CE240" s="49">
        <v>0</v>
      </c>
      <c r="CF240" s="121">
        <v>0</v>
      </c>
      <c r="CG240" s="49">
        <v>0</v>
      </c>
      <c r="CH240" s="49">
        <v>0</v>
      </c>
      <c r="CI240" s="49">
        <v>1</v>
      </c>
      <c r="CJ240" s="49">
        <v>1</v>
      </c>
      <c r="CK240" s="49">
        <v>0</v>
      </c>
      <c r="CL240" s="49">
        <v>0</v>
      </c>
      <c r="CM240" s="49">
        <v>0</v>
      </c>
      <c r="CN240" s="49">
        <v>0</v>
      </c>
      <c r="CO240" s="49">
        <v>0</v>
      </c>
      <c r="CP240" s="49">
        <v>0</v>
      </c>
      <c r="CQ240" s="49">
        <v>0</v>
      </c>
      <c r="CR240" s="49">
        <v>0</v>
      </c>
      <c r="CS240" s="49">
        <v>1000</v>
      </c>
      <c r="CV240" s="49">
        <v>0</v>
      </c>
      <c r="CW240" s="49">
        <v>0</v>
      </c>
    </row>
    <row r="241" s="49" customFormat="1" customHeight="1" spans="1:101">
      <c r="A241" s="116">
        <v>5590</v>
      </c>
      <c r="B241" s="117" t="s">
        <v>403</v>
      </c>
      <c r="H241" s="49" t="s">
        <v>116</v>
      </c>
      <c r="I241" s="49" t="s">
        <v>116</v>
      </c>
      <c r="J241" s="49" t="s">
        <v>116</v>
      </c>
      <c r="K241" s="49" t="s">
        <v>116</v>
      </c>
      <c r="O241" s="77"/>
      <c r="P241" s="77"/>
      <c r="Q241" s="77"/>
      <c r="R241" s="77"/>
      <c r="S241" s="64"/>
      <c r="T241" s="64"/>
      <c r="U241" s="64"/>
      <c r="V241" s="64"/>
      <c r="W241" s="63"/>
      <c r="X241" s="63"/>
      <c r="Y241" s="63"/>
      <c r="Z241" s="63"/>
      <c r="AA241" s="78"/>
      <c r="AB241" s="78"/>
      <c r="AC241" s="78"/>
      <c r="AD241" s="78"/>
      <c r="AE241" s="48">
        <v>200509</v>
      </c>
      <c r="AF241" s="49">
        <v>200309</v>
      </c>
      <c r="AG241" s="49">
        <v>200562</v>
      </c>
      <c r="AH241" s="49" t="s">
        <v>116</v>
      </c>
      <c r="AI241" s="49" t="s">
        <v>116</v>
      </c>
      <c r="AJ241" s="49" t="s">
        <v>116</v>
      </c>
      <c r="AK241" s="49" t="s">
        <v>116</v>
      </c>
      <c r="AL241" s="49" t="s">
        <v>116</v>
      </c>
      <c r="AM241" s="49" t="s">
        <v>116</v>
      </c>
      <c r="AN241" s="49" t="s">
        <v>116</v>
      </c>
      <c r="AO241" s="49" t="s">
        <v>116</v>
      </c>
      <c r="AP241" s="49" t="s">
        <v>116</v>
      </c>
      <c r="AQ241" s="49" t="s">
        <v>116</v>
      </c>
      <c r="AR241" s="49" t="s">
        <v>116</v>
      </c>
      <c r="AS241" s="49" t="s">
        <v>116</v>
      </c>
      <c r="AT241" s="49" t="s">
        <v>116</v>
      </c>
      <c r="AU241" s="62">
        <v>1</v>
      </c>
      <c r="AV241" s="49">
        <v>1</v>
      </c>
      <c r="AW241" s="49">
        <v>1</v>
      </c>
      <c r="AX241" s="49" t="s">
        <v>116</v>
      </c>
      <c r="AY241" s="49" t="s">
        <v>116</v>
      </c>
      <c r="AZ241" s="49" t="s">
        <v>116</v>
      </c>
      <c r="BA241" s="49" t="s">
        <v>116</v>
      </c>
      <c r="BB241" s="49" t="s">
        <v>116</v>
      </c>
      <c r="BC241" s="49" t="s">
        <v>116</v>
      </c>
      <c r="BD241" s="49" t="s">
        <v>116</v>
      </c>
      <c r="BE241" s="49" t="s">
        <v>116</v>
      </c>
      <c r="BF241" s="49" t="s">
        <v>116</v>
      </c>
      <c r="BG241" s="49" t="s">
        <v>116</v>
      </c>
      <c r="BH241" s="49" t="s">
        <v>116</v>
      </c>
      <c r="BI241" s="49" t="s">
        <v>116</v>
      </c>
      <c r="BJ241" s="49" t="s">
        <v>116</v>
      </c>
      <c r="BK241" s="62">
        <v>50</v>
      </c>
      <c r="BL241" s="49">
        <v>10</v>
      </c>
      <c r="BM241" s="49">
        <v>400</v>
      </c>
      <c r="CA241" s="49">
        <v>460</v>
      </c>
      <c r="CB241" s="49">
        <v>1000</v>
      </c>
      <c r="CC241" s="49">
        <v>0</v>
      </c>
      <c r="CD241" s="49">
        <v>0</v>
      </c>
      <c r="CE241" s="49">
        <v>0</v>
      </c>
      <c r="CF241" s="121">
        <v>0</v>
      </c>
      <c r="CG241" s="49">
        <v>0</v>
      </c>
      <c r="CH241" s="49">
        <v>0</v>
      </c>
      <c r="CI241" s="49">
        <v>1</v>
      </c>
      <c r="CJ241" s="49">
        <v>1</v>
      </c>
      <c r="CK241" s="49">
        <v>0</v>
      </c>
      <c r="CL241" s="49">
        <v>0</v>
      </c>
      <c r="CM241" s="49">
        <v>0</v>
      </c>
      <c r="CN241" s="49">
        <v>0</v>
      </c>
      <c r="CO241" s="49">
        <v>0</v>
      </c>
      <c r="CP241" s="49">
        <v>0</v>
      </c>
      <c r="CQ241" s="49">
        <v>0</v>
      </c>
      <c r="CR241" s="49">
        <v>0</v>
      </c>
      <c r="CS241" s="49">
        <v>1000</v>
      </c>
      <c r="CV241" s="49">
        <v>0</v>
      </c>
      <c r="CW241" s="49">
        <v>0</v>
      </c>
    </row>
    <row r="242" s="49" customFormat="1" customHeight="1" spans="1:101">
      <c r="A242" s="116">
        <v>5600</v>
      </c>
      <c r="B242" s="117" t="s">
        <v>403</v>
      </c>
      <c r="H242" s="49" t="s">
        <v>116</v>
      </c>
      <c r="I242" s="49" t="s">
        <v>116</v>
      </c>
      <c r="J242" s="49" t="s">
        <v>116</v>
      </c>
      <c r="K242" s="49" t="s">
        <v>116</v>
      </c>
      <c r="O242" s="77"/>
      <c r="P242" s="77"/>
      <c r="Q242" s="77"/>
      <c r="R242" s="77"/>
      <c r="S242" s="64"/>
      <c r="T242" s="64"/>
      <c r="U242" s="64"/>
      <c r="V242" s="64"/>
      <c r="W242" s="63"/>
      <c r="X242" s="63"/>
      <c r="Y242" s="63"/>
      <c r="Z242" s="63"/>
      <c r="AA242" s="78"/>
      <c r="AB242" s="78"/>
      <c r="AC242" s="78"/>
      <c r="AD242" s="78"/>
      <c r="AE242" s="48">
        <v>200509</v>
      </c>
      <c r="AF242" s="49">
        <v>200308</v>
      </c>
      <c r="AH242" s="49" t="s">
        <v>116</v>
      </c>
      <c r="AI242" s="49" t="s">
        <v>116</v>
      </c>
      <c r="AJ242" s="49" t="s">
        <v>116</v>
      </c>
      <c r="AK242" s="49" t="s">
        <v>116</v>
      </c>
      <c r="AL242" s="49" t="s">
        <v>116</v>
      </c>
      <c r="AM242" s="49" t="s">
        <v>116</v>
      </c>
      <c r="AN242" s="49" t="s">
        <v>116</v>
      </c>
      <c r="AO242" s="49" t="s">
        <v>116</v>
      </c>
      <c r="AP242" s="49" t="s">
        <v>116</v>
      </c>
      <c r="AQ242" s="49" t="s">
        <v>116</v>
      </c>
      <c r="AR242" s="49" t="s">
        <v>116</v>
      </c>
      <c r="AS242" s="49" t="s">
        <v>116</v>
      </c>
      <c r="AT242" s="49" t="s">
        <v>116</v>
      </c>
      <c r="AU242" s="62">
        <v>1</v>
      </c>
      <c r="AV242" s="49">
        <v>1</v>
      </c>
      <c r="AW242" s="49" t="s">
        <v>116</v>
      </c>
      <c r="AX242" s="49" t="s">
        <v>116</v>
      </c>
      <c r="AY242" s="49" t="s">
        <v>116</v>
      </c>
      <c r="AZ242" s="49" t="s">
        <v>116</v>
      </c>
      <c r="BA242" s="49" t="s">
        <v>116</v>
      </c>
      <c r="BB242" s="49" t="s">
        <v>116</v>
      </c>
      <c r="BC242" s="49" t="s">
        <v>116</v>
      </c>
      <c r="BD242" s="49" t="s">
        <v>116</v>
      </c>
      <c r="BE242" s="49" t="s">
        <v>116</v>
      </c>
      <c r="BF242" s="49" t="s">
        <v>116</v>
      </c>
      <c r="BG242" s="49" t="s">
        <v>116</v>
      </c>
      <c r="BH242" s="49" t="s">
        <v>116</v>
      </c>
      <c r="BI242" s="49" t="s">
        <v>116</v>
      </c>
      <c r="BJ242" s="49" t="s">
        <v>116</v>
      </c>
      <c r="BK242" s="62">
        <v>8</v>
      </c>
      <c r="BL242" s="49">
        <v>50</v>
      </c>
      <c r="CA242" s="49">
        <v>58</v>
      </c>
      <c r="CB242" s="49">
        <v>1000</v>
      </c>
      <c r="CC242" s="49">
        <v>0</v>
      </c>
      <c r="CD242" s="49">
        <v>0</v>
      </c>
      <c r="CE242" s="49">
        <v>0</v>
      </c>
      <c r="CF242" s="121">
        <v>0</v>
      </c>
      <c r="CG242" s="49">
        <v>0</v>
      </c>
      <c r="CH242" s="49">
        <v>0</v>
      </c>
      <c r="CI242" s="49">
        <v>1</v>
      </c>
      <c r="CJ242" s="49">
        <v>1</v>
      </c>
      <c r="CK242" s="49">
        <v>0</v>
      </c>
      <c r="CL242" s="49">
        <v>0</v>
      </c>
      <c r="CM242" s="49">
        <v>0</v>
      </c>
      <c r="CN242" s="49">
        <v>0</v>
      </c>
      <c r="CO242" s="49">
        <v>0</v>
      </c>
      <c r="CP242" s="49">
        <v>0</v>
      </c>
      <c r="CQ242" s="49">
        <v>0</v>
      </c>
      <c r="CR242" s="49">
        <v>0</v>
      </c>
      <c r="CS242" s="49">
        <v>1000</v>
      </c>
      <c r="CV242" s="49">
        <v>0</v>
      </c>
      <c r="CW242" s="49">
        <v>0</v>
      </c>
    </row>
    <row r="243" s="49" customFormat="1" customHeight="1" spans="1:101">
      <c r="A243" s="116">
        <v>5610</v>
      </c>
      <c r="B243" s="117" t="s">
        <v>404</v>
      </c>
      <c r="E243" s="49">
        <v>30</v>
      </c>
      <c r="F243" s="49" t="s">
        <v>405</v>
      </c>
      <c r="H243" s="50" t="s">
        <v>326</v>
      </c>
      <c r="I243" s="49" t="s">
        <v>116</v>
      </c>
      <c r="J243" s="49" t="s">
        <v>406</v>
      </c>
      <c r="N243" s="44"/>
      <c r="O243" s="77"/>
      <c r="P243" s="77"/>
      <c r="Q243" s="77"/>
      <c r="R243" s="77"/>
      <c r="S243" s="64"/>
      <c r="T243" s="64"/>
      <c r="U243" s="64"/>
      <c r="V243" s="64"/>
      <c r="W243" s="63"/>
      <c r="X243" s="63"/>
      <c r="Y243" s="63"/>
      <c r="Z243" s="63"/>
      <c r="AA243" s="78"/>
      <c r="AB243" s="78"/>
      <c r="AC243" s="78"/>
      <c r="AD243" s="78"/>
      <c r="AE243" s="48">
        <v>200835</v>
      </c>
      <c r="AU243" s="62">
        <v>1</v>
      </c>
      <c r="AW243" s="49" t="str">
        <f t="shared" ref="AU243:BJ243" si="45">IF(AG243="","",1)</f>
        <v/>
      </c>
      <c r="AX243" s="49" t="str">
        <f t="shared" si="45"/>
        <v/>
      </c>
      <c r="AY243" s="49" t="str">
        <f t="shared" si="45"/>
        <v/>
      </c>
      <c r="AZ243" s="49" t="str">
        <f t="shared" si="45"/>
        <v/>
      </c>
      <c r="BA243" s="49" t="str">
        <f t="shared" si="45"/>
        <v/>
      </c>
      <c r="BB243" s="49" t="str">
        <f t="shared" si="45"/>
        <v/>
      </c>
      <c r="BC243" s="49" t="str">
        <f t="shared" si="45"/>
        <v/>
      </c>
      <c r="BD243" s="49" t="str">
        <f t="shared" si="45"/>
        <v/>
      </c>
      <c r="BE243" s="49" t="str">
        <f t="shared" si="45"/>
        <v/>
      </c>
      <c r="BF243" s="49" t="str">
        <f t="shared" si="45"/>
        <v/>
      </c>
      <c r="BG243" s="49" t="str">
        <f t="shared" si="45"/>
        <v/>
      </c>
      <c r="BH243" s="49" t="str">
        <f t="shared" si="45"/>
        <v/>
      </c>
      <c r="BI243" s="49" t="str">
        <f t="shared" si="45"/>
        <v/>
      </c>
      <c r="BJ243" s="49" t="str">
        <f t="shared" si="45"/>
        <v/>
      </c>
      <c r="BK243" s="62">
        <v>200</v>
      </c>
      <c r="CA243" s="49">
        <f t="shared" ref="CA243:CA249" si="46">SUM(BK243:BZ243)</f>
        <v>200</v>
      </c>
      <c r="CB243" s="49">
        <v>1000</v>
      </c>
      <c r="CC243" s="49">
        <v>0</v>
      </c>
      <c r="CD243" s="49">
        <v>0</v>
      </c>
      <c r="CE243" s="49">
        <v>0</v>
      </c>
      <c r="CF243" s="49">
        <v>193002</v>
      </c>
      <c r="CG243" s="49">
        <v>0</v>
      </c>
      <c r="CH243" s="49">
        <f t="shared" ref="CH243:CH254" si="47">IF(RIGHT(B243,1)="0",1,0)</f>
        <v>0</v>
      </c>
      <c r="CI243" s="49">
        <v>1</v>
      </c>
      <c r="CJ243" s="49">
        <v>0</v>
      </c>
      <c r="CK243" s="49">
        <v>0</v>
      </c>
      <c r="CL243" s="49">
        <v>0</v>
      </c>
      <c r="CM243" s="49">
        <v>0</v>
      </c>
      <c r="CN243" s="49">
        <v>0</v>
      </c>
      <c r="CO243" s="49">
        <v>0</v>
      </c>
      <c r="CP243" s="49">
        <v>0</v>
      </c>
      <c r="CQ243" s="49">
        <v>0</v>
      </c>
      <c r="CR243" s="49">
        <v>0</v>
      </c>
      <c r="CV243" s="49">
        <v>0</v>
      </c>
      <c r="CW243" s="49">
        <v>0</v>
      </c>
    </row>
    <row r="244" s="49" customFormat="1" customHeight="1" spans="1:101">
      <c r="A244" s="116">
        <v>5611</v>
      </c>
      <c r="B244" s="117" t="s">
        <v>407</v>
      </c>
      <c r="J244" s="49">
        <v>50000</v>
      </c>
      <c r="K244" s="49">
        <v>100</v>
      </c>
      <c r="N244" s="44"/>
      <c r="O244" s="77"/>
      <c r="P244" s="77"/>
      <c r="Q244" s="77"/>
      <c r="R244" s="77"/>
      <c r="S244" s="64"/>
      <c r="T244" s="64"/>
      <c r="U244" s="64"/>
      <c r="V244" s="64"/>
      <c r="W244" s="63"/>
      <c r="X244" s="63"/>
      <c r="Y244" s="63"/>
      <c r="Z244" s="63"/>
      <c r="AA244" s="78"/>
      <c r="AB244" s="78"/>
      <c r="AC244" s="78"/>
      <c r="AD244" s="78"/>
      <c r="AE244" s="48">
        <v>200836</v>
      </c>
      <c r="AF244" s="49" t="s">
        <v>116</v>
      </c>
      <c r="AG244" s="49" t="s">
        <v>116</v>
      </c>
      <c r="AH244" s="49" t="s">
        <v>116</v>
      </c>
      <c r="AI244" s="49" t="s">
        <v>116</v>
      </c>
      <c r="AJ244" s="49" t="s">
        <v>116</v>
      </c>
      <c r="AK244" s="49" t="s">
        <v>116</v>
      </c>
      <c r="AL244" s="49" t="s">
        <v>116</v>
      </c>
      <c r="AM244" s="49" t="s">
        <v>116</v>
      </c>
      <c r="AN244" s="49" t="s">
        <v>116</v>
      </c>
      <c r="AO244" s="49" t="s">
        <v>116</v>
      </c>
      <c r="AP244" s="49" t="s">
        <v>116</v>
      </c>
      <c r="AQ244" s="49" t="s">
        <v>116</v>
      </c>
      <c r="AR244" s="49" t="s">
        <v>116</v>
      </c>
      <c r="AS244" s="49" t="s">
        <v>116</v>
      </c>
      <c r="AT244" s="49" t="s">
        <v>116</v>
      </c>
      <c r="AU244" s="62">
        <v>1</v>
      </c>
      <c r="AV244" s="49" t="str">
        <f t="shared" ref="AU244:BJ244" si="48">IF(AF244="","",1)</f>
        <v/>
      </c>
      <c r="AW244" s="49" t="str">
        <f t="shared" si="48"/>
        <v/>
      </c>
      <c r="AX244" s="49" t="str">
        <f t="shared" si="48"/>
        <v/>
      </c>
      <c r="AY244" s="49" t="str">
        <f t="shared" si="48"/>
        <v/>
      </c>
      <c r="AZ244" s="49" t="str">
        <f t="shared" si="48"/>
        <v/>
      </c>
      <c r="BA244" s="49" t="str">
        <f t="shared" si="48"/>
        <v/>
      </c>
      <c r="BB244" s="49" t="str">
        <f t="shared" si="48"/>
        <v/>
      </c>
      <c r="BC244" s="49" t="str">
        <f t="shared" si="48"/>
        <v/>
      </c>
      <c r="BD244" s="49" t="str">
        <f t="shared" si="48"/>
        <v/>
      </c>
      <c r="BE244" s="49" t="str">
        <f t="shared" si="48"/>
        <v/>
      </c>
      <c r="BF244" s="49" t="str">
        <f t="shared" si="48"/>
        <v/>
      </c>
      <c r="BG244" s="49" t="str">
        <f t="shared" si="48"/>
        <v/>
      </c>
      <c r="BH244" s="49" t="str">
        <f t="shared" si="48"/>
        <v/>
      </c>
      <c r="BI244" s="49" t="str">
        <f t="shared" si="48"/>
        <v/>
      </c>
      <c r="BJ244" s="49" t="str">
        <f t="shared" si="48"/>
        <v/>
      </c>
      <c r="BK244" s="62">
        <v>400</v>
      </c>
      <c r="CA244" s="49">
        <v>400</v>
      </c>
      <c r="CB244" s="49">
        <v>1000</v>
      </c>
      <c r="CC244" s="49">
        <v>0</v>
      </c>
      <c r="CD244" s="49">
        <v>0</v>
      </c>
      <c r="CE244" s="49">
        <v>0</v>
      </c>
      <c r="CF244" s="49">
        <v>193002</v>
      </c>
      <c r="CG244" s="49">
        <v>0</v>
      </c>
      <c r="CH244" s="49">
        <f t="shared" si="47"/>
        <v>0</v>
      </c>
      <c r="CI244" s="49">
        <v>1</v>
      </c>
      <c r="CJ244" s="49">
        <v>0</v>
      </c>
      <c r="CK244" s="49">
        <v>0</v>
      </c>
      <c r="CL244" s="49">
        <v>0</v>
      </c>
      <c r="CM244" s="49">
        <v>0</v>
      </c>
      <c r="CN244" s="49">
        <v>0</v>
      </c>
      <c r="CO244" s="49">
        <v>0</v>
      </c>
      <c r="CP244" s="49">
        <v>0</v>
      </c>
      <c r="CQ244" s="49">
        <v>0</v>
      </c>
      <c r="CR244" s="49">
        <v>0</v>
      </c>
      <c r="CV244" s="49">
        <v>0</v>
      </c>
      <c r="CW244" s="49">
        <v>0</v>
      </c>
    </row>
    <row r="245" s="49" customFormat="1" customHeight="1" spans="1:101">
      <c r="A245" s="116">
        <v>5612</v>
      </c>
      <c r="B245" s="117" t="s">
        <v>408</v>
      </c>
      <c r="J245" s="49">
        <v>16000</v>
      </c>
      <c r="K245" s="49">
        <v>20</v>
      </c>
      <c r="N245" s="44"/>
      <c r="O245" s="77"/>
      <c r="P245" s="77"/>
      <c r="Q245" s="77"/>
      <c r="R245" s="77"/>
      <c r="S245" s="64"/>
      <c r="T245" s="64"/>
      <c r="U245" s="64"/>
      <c r="V245" s="64"/>
      <c r="W245" s="63"/>
      <c r="X245" s="63"/>
      <c r="Y245" s="63"/>
      <c r="Z245" s="63"/>
      <c r="AA245" s="78"/>
      <c r="AB245" s="78"/>
      <c r="AC245" s="78"/>
      <c r="AD245" s="78"/>
      <c r="AE245" s="48" t="s">
        <v>116</v>
      </c>
      <c r="AF245" s="49" t="s">
        <v>116</v>
      </c>
      <c r="AG245" s="49" t="s">
        <v>116</v>
      </c>
      <c r="AH245" s="49" t="s">
        <v>116</v>
      </c>
      <c r="AI245" s="49" t="s">
        <v>116</v>
      </c>
      <c r="AJ245" s="49" t="s">
        <v>116</v>
      </c>
      <c r="AK245" s="49" t="s">
        <v>116</v>
      </c>
      <c r="AL245" s="49" t="s">
        <v>116</v>
      </c>
      <c r="AM245" s="49" t="s">
        <v>116</v>
      </c>
      <c r="AN245" s="49" t="s">
        <v>116</v>
      </c>
      <c r="AO245" s="49" t="s">
        <v>116</v>
      </c>
      <c r="AP245" s="49" t="s">
        <v>116</v>
      </c>
      <c r="AQ245" s="49" t="s">
        <v>116</v>
      </c>
      <c r="AR245" s="49" t="s">
        <v>116</v>
      </c>
      <c r="AS245" s="49" t="s">
        <v>116</v>
      </c>
      <c r="AT245" s="49" t="s">
        <v>116</v>
      </c>
      <c r="AU245" s="62" t="str">
        <f t="shared" ref="AU245:AU249" si="49">IF(AE245="","",1)</f>
        <v/>
      </c>
      <c r="AV245" s="49" t="str">
        <f t="shared" ref="AV245:AV249" si="50">IF(AF245="","",1)</f>
        <v/>
      </c>
      <c r="AW245" s="49" t="str">
        <f t="shared" ref="AW245:AW249" si="51">IF(AG245="","",1)</f>
        <v/>
      </c>
      <c r="AX245" s="49" t="str">
        <f t="shared" ref="AX245:AX249" si="52">IF(AH245="","",1)</f>
        <v/>
      </c>
      <c r="AY245" s="49" t="str">
        <f t="shared" ref="AY245:AY249" si="53">IF(AI245="","",1)</f>
        <v/>
      </c>
      <c r="AZ245" s="49" t="str">
        <f t="shared" ref="AZ245:AZ249" si="54">IF(AJ245="","",1)</f>
        <v/>
      </c>
      <c r="BA245" s="49" t="str">
        <f t="shared" ref="BA245:BA249" si="55">IF(AK245="","",1)</f>
        <v/>
      </c>
      <c r="BB245" s="49" t="str">
        <f t="shared" ref="BB245:BB249" si="56">IF(AL245="","",1)</f>
        <v/>
      </c>
      <c r="BC245" s="49" t="str">
        <f t="shared" ref="BC245:BC249" si="57">IF(AM245="","",1)</f>
        <v/>
      </c>
      <c r="BD245" s="49" t="str">
        <f t="shared" ref="BD245:BD249" si="58">IF(AN245="","",1)</f>
        <v/>
      </c>
      <c r="BE245" s="49" t="str">
        <f t="shared" ref="BE245:BE249" si="59">IF(AO245="","",1)</f>
        <v/>
      </c>
      <c r="BF245" s="49" t="str">
        <f t="shared" ref="BF245:BF249" si="60">IF(AP245="","",1)</f>
        <v/>
      </c>
      <c r="BG245" s="49" t="str">
        <f t="shared" ref="BG245:BG249" si="61">IF(AQ245="","",1)</f>
        <v/>
      </c>
      <c r="BH245" s="49" t="str">
        <f t="shared" ref="BH245:BH249" si="62">IF(AR245="","",1)</f>
        <v/>
      </c>
      <c r="BI245" s="49" t="str">
        <f t="shared" ref="BI245:BI249" si="63">IF(AS245="","",1)</f>
        <v/>
      </c>
      <c r="BJ245" s="49" t="str">
        <f t="shared" ref="BJ245:BJ249" si="64">IF(AT245="","",1)</f>
        <v/>
      </c>
      <c r="BK245" s="62"/>
      <c r="CA245" s="49">
        <f t="shared" si="46"/>
        <v>0</v>
      </c>
      <c r="CB245" s="49">
        <v>1000</v>
      </c>
      <c r="CC245" s="49">
        <v>0</v>
      </c>
      <c r="CD245" s="49">
        <v>0</v>
      </c>
      <c r="CE245" s="49">
        <v>0</v>
      </c>
      <c r="CF245" s="49">
        <v>0</v>
      </c>
      <c r="CG245" s="49">
        <v>0</v>
      </c>
      <c r="CH245" s="49">
        <f t="shared" si="47"/>
        <v>0</v>
      </c>
      <c r="CI245" s="49">
        <v>1</v>
      </c>
      <c r="CJ245" s="49">
        <v>0</v>
      </c>
      <c r="CK245" s="49">
        <v>0</v>
      </c>
      <c r="CL245" s="49">
        <v>0</v>
      </c>
      <c r="CM245" s="49">
        <v>0</v>
      </c>
      <c r="CN245" s="49">
        <v>0</v>
      </c>
      <c r="CO245" s="49">
        <v>0</v>
      </c>
      <c r="CP245" s="49">
        <v>0</v>
      </c>
      <c r="CQ245" s="49">
        <v>0</v>
      </c>
      <c r="CR245" s="49">
        <v>0</v>
      </c>
      <c r="CV245" s="49">
        <v>0</v>
      </c>
      <c r="CW245" s="49">
        <v>0</v>
      </c>
    </row>
    <row r="246" s="49" customFormat="1" customHeight="1" spans="1:101">
      <c r="A246" s="116">
        <v>5613</v>
      </c>
      <c r="B246" s="117" t="s">
        <v>409</v>
      </c>
      <c r="J246" s="49">
        <v>90000</v>
      </c>
      <c r="K246" s="49">
        <v>200</v>
      </c>
      <c r="N246" s="44"/>
      <c r="O246" s="77"/>
      <c r="P246" s="77"/>
      <c r="Q246" s="77"/>
      <c r="R246" s="77"/>
      <c r="S246" s="64"/>
      <c r="T246" s="64"/>
      <c r="U246" s="64"/>
      <c r="V246" s="64"/>
      <c r="W246" s="63"/>
      <c r="X246" s="63"/>
      <c r="Y246" s="63"/>
      <c r="Z246" s="63"/>
      <c r="AA246" s="78"/>
      <c r="AB246" s="78"/>
      <c r="AC246" s="78"/>
      <c r="AD246" s="78"/>
      <c r="AE246" s="48" t="s">
        <v>116</v>
      </c>
      <c r="AF246" s="49" t="s">
        <v>116</v>
      </c>
      <c r="AG246" s="49" t="s">
        <v>116</v>
      </c>
      <c r="AH246" s="49" t="s">
        <v>116</v>
      </c>
      <c r="AI246" s="49" t="s">
        <v>116</v>
      </c>
      <c r="AJ246" s="49" t="s">
        <v>116</v>
      </c>
      <c r="AK246" s="49" t="s">
        <v>116</v>
      </c>
      <c r="AL246" s="49" t="s">
        <v>116</v>
      </c>
      <c r="AM246" s="49" t="s">
        <v>116</v>
      </c>
      <c r="AN246" s="49" t="s">
        <v>116</v>
      </c>
      <c r="AO246" s="49" t="s">
        <v>116</v>
      </c>
      <c r="AP246" s="49" t="s">
        <v>116</v>
      </c>
      <c r="AQ246" s="49" t="s">
        <v>116</v>
      </c>
      <c r="AR246" s="49" t="s">
        <v>116</v>
      </c>
      <c r="AS246" s="49" t="s">
        <v>116</v>
      </c>
      <c r="AT246" s="49" t="s">
        <v>116</v>
      </c>
      <c r="AU246" s="62" t="str">
        <f t="shared" si="49"/>
        <v/>
      </c>
      <c r="AV246" s="49" t="str">
        <f t="shared" si="50"/>
        <v/>
      </c>
      <c r="AW246" s="49" t="str">
        <f t="shared" si="51"/>
        <v/>
      </c>
      <c r="AX246" s="49" t="str">
        <f t="shared" si="52"/>
        <v/>
      </c>
      <c r="AY246" s="49" t="str">
        <f t="shared" si="53"/>
        <v/>
      </c>
      <c r="AZ246" s="49" t="str">
        <f t="shared" si="54"/>
        <v/>
      </c>
      <c r="BA246" s="49" t="str">
        <f t="shared" si="55"/>
        <v/>
      </c>
      <c r="BB246" s="49" t="str">
        <f t="shared" si="56"/>
        <v/>
      </c>
      <c r="BC246" s="49" t="str">
        <f t="shared" si="57"/>
        <v/>
      </c>
      <c r="BD246" s="49" t="str">
        <f t="shared" si="58"/>
        <v/>
      </c>
      <c r="BE246" s="49" t="str">
        <f t="shared" si="59"/>
        <v/>
      </c>
      <c r="BF246" s="49" t="str">
        <f t="shared" si="60"/>
        <v/>
      </c>
      <c r="BG246" s="49" t="str">
        <f t="shared" si="61"/>
        <v/>
      </c>
      <c r="BH246" s="49" t="str">
        <f t="shared" si="62"/>
        <v/>
      </c>
      <c r="BI246" s="49" t="str">
        <f t="shared" si="63"/>
        <v/>
      </c>
      <c r="BJ246" s="49" t="str">
        <f t="shared" si="64"/>
        <v/>
      </c>
      <c r="BK246" s="62"/>
      <c r="CA246" s="49">
        <f t="shared" si="46"/>
        <v>0</v>
      </c>
      <c r="CB246" s="49">
        <v>1000</v>
      </c>
      <c r="CC246" s="49">
        <v>0</v>
      </c>
      <c r="CD246" s="49">
        <v>0</v>
      </c>
      <c r="CE246" s="49">
        <v>0</v>
      </c>
      <c r="CF246" s="49">
        <v>0</v>
      </c>
      <c r="CG246" s="49">
        <v>0</v>
      </c>
      <c r="CH246" s="49">
        <f t="shared" si="47"/>
        <v>0</v>
      </c>
      <c r="CI246" s="49">
        <v>1</v>
      </c>
      <c r="CJ246" s="49">
        <v>0</v>
      </c>
      <c r="CK246" s="49">
        <v>0</v>
      </c>
      <c r="CL246" s="49">
        <v>0</v>
      </c>
      <c r="CM246" s="49">
        <v>0</v>
      </c>
      <c r="CN246" s="49">
        <v>0</v>
      </c>
      <c r="CO246" s="49">
        <v>0</v>
      </c>
      <c r="CP246" s="49">
        <v>0</v>
      </c>
      <c r="CQ246" s="49">
        <v>0</v>
      </c>
      <c r="CR246" s="49">
        <v>0</v>
      </c>
      <c r="CV246" s="49">
        <v>0</v>
      </c>
      <c r="CW246" s="49">
        <v>0</v>
      </c>
    </row>
    <row r="247" s="49" customFormat="1" customHeight="1" spans="1:101">
      <c r="A247" s="116">
        <v>5614</v>
      </c>
      <c r="B247" s="117" t="s">
        <v>410</v>
      </c>
      <c r="J247" s="49">
        <v>45000</v>
      </c>
      <c r="K247" s="49">
        <v>80</v>
      </c>
      <c r="N247" s="44"/>
      <c r="O247" s="77"/>
      <c r="P247" s="77"/>
      <c r="Q247" s="77"/>
      <c r="R247" s="77"/>
      <c r="S247" s="64"/>
      <c r="T247" s="64"/>
      <c r="U247" s="64"/>
      <c r="V247" s="64"/>
      <c r="W247" s="63"/>
      <c r="X247" s="63"/>
      <c r="Y247" s="63"/>
      <c r="Z247" s="63"/>
      <c r="AA247" s="78"/>
      <c r="AB247" s="78"/>
      <c r="AC247" s="78"/>
      <c r="AD247" s="78"/>
      <c r="AE247" s="48" t="s">
        <v>116</v>
      </c>
      <c r="AF247" s="49" t="s">
        <v>116</v>
      </c>
      <c r="AG247" s="49" t="s">
        <v>116</v>
      </c>
      <c r="AH247" s="49" t="s">
        <v>116</v>
      </c>
      <c r="AI247" s="49" t="s">
        <v>116</v>
      </c>
      <c r="AJ247" s="49" t="s">
        <v>116</v>
      </c>
      <c r="AK247" s="49" t="s">
        <v>116</v>
      </c>
      <c r="AL247" s="49" t="s">
        <v>116</v>
      </c>
      <c r="AM247" s="49" t="s">
        <v>116</v>
      </c>
      <c r="AN247" s="49" t="s">
        <v>116</v>
      </c>
      <c r="AO247" s="49" t="s">
        <v>116</v>
      </c>
      <c r="AP247" s="49" t="s">
        <v>116</v>
      </c>
      <c r="AQ247" s="49" t="s">
        <v>116</v>
      </c>
      <c r="AR247" s="49" t="s">
        <v>116</v>
      </c>
      <c r="AS247" s="49" t="s">
        <v>116</v>
      </c>
      <c r="AT247" s="49" t="s">
        <v>116</v>
      </c>
      <c r="AU247" s="62" t="str">
        <f t="shared" si="49"/>
        <v/>
      </c>
      <c r="AV247" s="49" t="str">
        <f t="shared" si="50"/>
        <v/>
      </c>
      <c r="AW247" s="49" t="str">
        <f t="shared" si="51"/>
        <v/>
      </c>
      <c r="AX247" s="49" t="str">
        <f t="shared" si="52"/>
        <v/>
      </c>
      <c r="AY247" s="49" t="str">
        <f t="shared" si="53"/>
        <v/>
      </c>
      <c r="AZ247" s="49" t="str">
        <f t="shared" si="54"/>
        <v/>
      </c>
      <c r="BA247" s="49" t="str">
        <f t="shared" si="55"/>
        <v/>
      </c>
      <c r="BB247" s="49" t="str">
        <f t="shared" si="56"/>
        <v/>
      </c>
      <c r="BC247" s="49" t="str">
        <f t="shared" si="57"/>
        <v/>
      </c>
      <c r="BD247" s="49" t="str">
        <f t="shared" si="58"/>
        <v/>
      </c>
      <c r="BE247" s="49" t="str">
        <f t="shared" si="59"/>
        <v/>
      </c>
      <c r="BF247" s="49" t="str">
        <f t="shared" si="60"/>
        <v/>
      </c>
      <c r="BG247" s="49" t="str">
        <f t="shared" si="61"/>
        <v/>
      </c>
      <c r="BH247" s="49" t="str">
        <f t="shared" si="62"/>
        <v/>
      </c>
      <c r="BI247" s="49" t="str">
        <f t="shared" si="63"/>
        <v/>
      </c>
      <c r="BJ247" s="49" t="str">
        <f t="shared" si="64"/>
        <v/>
      </c>
      <c r="BK247" s="62"/>
      <c r="CA247" s="49">
        <f t="shared" si="46"/>
        <v>0</v>
      </c>
      <c r="CB247" s="49">
        <v>1000</v>
      </c>
      <c r="CC247" s="49">
        <v>0</v>
      </c>
      <c r="CD247" s="49">
        <v>0</v>
      </c>
      <c r="CE247" s="49">
        <v>0</v>
      </c>
      <c r="CF247" s="49">
        <v>0</v>
      </c>
      <c r="CG247" s="49">
        <v>0</v>
      </c>
      <c r="CH247" s="49">
        <f t="shared" si="47"/>
        <v>0</v>
      </c>
      <c r="CI247" s="49">
        <v>1</v>
      </c>
      <c r="CJ247" s="49">
        <v>0</v>
      </c>
      <c r="CK247" s="49">
        <v>0</v>
      </c>
      <c r="CL247" s="49">
        <v>0</v>
      </c>
      <c r="CM247" s="49">
        <v>0</v>
      </c>
      <c r="CN247" s="49">
        <v>0</v>
      </c>
      <c r="CO247" s="49">
        <v>0</v>
      </c>
      <c r="CP247" s="49">
        <v>0</v>
      </c>
      <c r="CQ247" s="49">
        <v>0</v>
      </c>
      <c r="CR247" s="49">
        <v>0</v>
      </c>
      <c r="CV247" s="49">
        <v>0</v>
      </c>
      <c r="CW247" s="49">
        <v>0</v>
      </c>
    </row>
    <row r="248" s="49" customFormat="1" customHeight="1" spans="1:101">
      <c r="A248" s="116">
        <v>5615</v>
      </c>
      <c r="B248" s="117" t="s">
        <v>411</v>
      </c>
      <c r="J248" s="49">
        <v>75000</v>
      </c>
      <c r="K248" s="49">
        <v>180</v>
      </c>
      <c r="N248" s="44"/>
      <c r="O248" s="77"/>
      <c r="P248" s="77"/>
      <c r="Q248" s="77"/>
      <c r="R248" s="77"/>
      <c r="S248" s="64"/>
      <c r="T248" s="64"/>
      <c r="U248" s="64"/>
      <c r="V248" s="64"/>
      <c r="W248" s="63"/>
      <c r="X248" s="63"/>
      <c r="Y248" s="63"/>
      <c r="Z248" s="63"/>
      <c r="AA248" s="78"/>
      <c r="AB248" s="78"/>
      <c r="AC248" s="78"/>
      <c r="AD248" s="78"/>
      <c r="AE248" s="48" t="s">
        <v>116</v>
      </c>
      <c r="AF248" s="49" t="s">
        <v>116</v>
      </c>
      <c r="AG248" s="49" t="s">
        <v>116</v>
      </c>
      <c r="AH248" s="49" t="s">
        <v>116</v>
      </c>
      <c r="AI248" s="49" t="s">
        <v>116</v>
      </c>
      <c r="AJ248" s="49" t="s">
        <v>116</v>
      </c>
      <c r="AK248" s="49" t="s">
        <v>116</v>
      </c>
      <c r="AL248" s="49" t="s">
        <v>116</v>
      </c>
      <c r="AM248" s="49" t="s">
        <v>116</v>
      </c>
      <c r="AN248" s="49" t="s">
        <v>116</v>
      </c>
      <c r="AO248" s="49" t="s">
        <v>116</v>
      </c>
      <c r="AP248" s="49" t="s">
        <v>116</v>
      </c>
      <c r="AQ248" s="49" t="s">
        <v>116</v>
      </c>
      <c r="AR248" s="49" t="s">
        <v>116</v>
      </c>
      <c r="AS248" s="49" t="s">
        <v>116</v>
      </c>
      <c r="AT248" s="49" t="s">
        <v>116</v>
      </c>
      <c r="AU248" s="62" t="str">
        <f t="shared" si="49"/>
        <v/>
      </c>
      <c r="AV248" s="49" t="str">
        <f t="shared" si="50"/>
        <v/>
      </c>
      <c r="AW248" s="49" t="str">
        <f t="shared" si="51"/>
        <v/>
      </c>
      <c r="AX248" s="49" t="str">
        <f t="shared" si="52"/>
        <v/>
      </c>
      <c r="AY248" s="49" t="str">
        <f t="shared" si="53"/>
        <v/>
      </c>
      <c r="AZ248" s="49" t="str">
        <f t="shared" si="54"/>
        <v/>
      </c>
      <c r="BA248" s="49" t="str">
        <f t="shared" si="55"/>
        <v/>
      </c>
      <c r="BB248" s="49" t="str">
        <f t="shared" si="56"/>
        <v/>
      </c>
      <c r="BC248" s="49" t="str">
        <f t="shared" si="57"/>
        <v/>
      </c>
      <c r="BD248" s="49" t="str">
        <f t="shared" si="58"/>
        <v/>
      </c>
      <c r="BE248" s="49" t="str">
        <f t="shared" si="59"/>
        <v/>
      </c>
      <c r="BF248" s="49" t="str">
        <f t="shared" si="60"/>
        <v/>
      </c>
      <c r="BG248" s="49" t="str">
        <f t="shared" si="61"/>
        <v/>
      </c>
      <c r="BH248" s="49" t="str">
        <f t="shared" si="62"/>
        <v/>
      </c>
      <c r="BI248" s="49" t="str">
        <f t="shared" si="63"/>
        <v/>
      </c>
      <c r="BJ248" s="49" t="str">
        <f t="shared" si="64"/>
        <v/>
      </c>
      <c r="BK248" s="62"/>
      <c r="CA248" s="49">
        <f t="shared" si="46"/>
        <v>0</v>
      </c>
      <c r="CB248" s="49">
        <v>1000</v>
      </c>
      <c r="CC248" s="49">
        <v>0</v>
      </c>
      <c r="CD248" s="49">
        <v>0</v>
      </c>
      <c r="CE248" s="49">
        <v>0</v>
      </c>
      <c r="CF248" s="49">
        <v>0</v>
      </c>
      <c r="CG248" s="49">
        <v>0</v>
      </c>
      <c r="CH248" s="49">
        <f t="shared" si="47"/>
        <v>0</v>
      </c>
      <c r="CI248" s="49">
        <v>1</v>
      </c>
      <c r="CJ248" s="49">
        <v>0</v>
      </c>
      <c r="CK248" s="49">
        <v>0</v>
      </c>
      <c r="CL248" s="49">
        <v>0</v>
      </c>
      <c r="CM248" s="49">
        <v>0</v>
      </c>
      <c r="CN248" s="49">
        <v>0</v>
      </c>
      <c r="CO248" s="49">
        <v>0</v>
      </c>
      <c r="CP248" s="49">
        <v>0</v>
      </c>
      <c r="CQ248" s="49">
        <v>0</v>
      </c>
      <c r="CR248" s="49">
        <v>0</v>
      </c>
      <c r="CV248" s="49">
        <v>0</v>
      </c>
      <c r="CW248" s="49">
        <v>0</v>
      </c>
    </row>
    <row r="249" s="49" customFormat="1" customHeight="1" spans="1:101">
      <c r="A249" s="116">
        <v>5616</v>
      </c>
      <c r="B249" s="117" t="s">
        <v>412</v>
      </c>
      <c r="E249" s="49" t="s">
        <v>413</v>
      </c>
      <c r="I249" s="49" t="s">
        <v>116</v>
      </c>
      <c r="K249" s="49">
        <v>100</v>
      </c>
      <c r="N249" s="44"/>
      <c r="O249" s="77"/>
      <c r="P249" s="77"/>
      <c r="Q249" s="77"/>
      <c r="R249" s="77"/>
      <c r="S249" s="64"/>
      <c r="T249" s="64"/>
      <c r="U249" s="64"/>
      <c r="V249" s="64"/>
      <c r="W249" s="63"/>
      <c r="X249" s="63"/>
      <c r="Y249" s="63"/>
      <c r="Z249" s="63"/>
      <c r="AA249" s="78"/>
      <c r="AB249" s="78"/>
      <c r="AC249" s="78"/>
      <c r="AD249" s="78"/>
      <c r="AE249" s="48" t="s">
        <v>116</v>
      </c>
      <c r="AF249" s="49" t="s">
        <v>116</v>
      </c>
      <c r="AG249" s="49" t="s">
        <v>116</v>
      </c>
      <c r="AH249" s="49" t="s">
        <v>116</v>
      </c>
      <c r="AI249" s="49" t="s">
        <v>116</v>
      </c>
      <c r="AJ249" s="49" t="s">
        <v>116</v>
      </c>
      <c r="AK249" s="49" t="s">
        <v>116</v>
      </c>
      <c r="AL249" s="49" t="s">
        <v>116</v>
      </c>
      <c r="AM249" s="49" t="s">
        <v>116</v>
      </c>
      <c r="AN249" s="49" t="s">
        <v>116</v>
      </c>
      <c r="AO249" s="49" t="s">
        <v>116</v>
      </c>
      <c r="AP249" s="49" t="s">
        <v>116</v>
      </c>
      <c r="AQ249" s="49" t="s">
        <v>116</v>
      </c>
      <c r="AR249" s="49" t="s">
        <v>116</v>
      </c>
      <c r="AS249" s="49" t="s">
        <v>116</v>
      </c>
      <c r="AT249" s="49" t="s">
        <v>116</v>
      </c>
      <c r="AU249" s="62" t="str">
        <f t="shared" si="49"/>
        <v/>
      </c>
      <c r="AV249" s="49" t="str">
        <f t="shared" si="50"/>
        <v/>
      </c>
      <c r="AW249" s="49" t="str">
        <f t="shared" si="51"/>
        <v/>
      </c>
      <c r="AX249" s="49" t="str">
        <f t="shared" si="52"/>
        <v/>
      </c>
      <c r="AY249" s="49" t="str">
        <f t="shared" si="53"/>
        <v/>
      </c>
      <c r="AZ249" s="49" t="str">
        <f t="shared" si="54"/>
        <v/>
      </c>
      <c r="BA249" s="49" t="str">
        <f t="shared" si="55"/>
        <v/>
      </c>
      <c r="BB249" s="49" t="str">
        <f t="shared" si="56"/>
        <v/>
      </c>
      <c r="BC249" s="49" t="str">
        <f t="shared" si="57"/>
        <v/>
      </c>
      <c r="BD249" s="49" t="str">
        <f t="shared" si="58"/>
        <v/>
      </c>
      <c r="BE249" s="49" t="str">
        <f t="shared" si="59"/>
        <v/>
      </c>
      <c r="BF249" s="49" t="str">
        <f t="shared" si="60"/>
        <v/>
      </c>
      <c r="BG249" s="49" t="str">
        <f t="shared" si="61"/>
        <v/>
      </c>
      <c r="BH249" s="49" t="str">
        <f t="shared" si="62"/>
        <v/>
      </c>
      <c r="BI249" s="49" t="str">
        <f t="shared" si="63"/>
        <v/>
      </c>
      <c r="BJ249" s="49" t="str">
        <f t="shared" si="64"/>
        <v/>
      </c>
      <c r="BK249" s="62"/>
      <c r="CA249" s="49">
        <f t="shared" si="46"/>
        <v>0</v>
      </c>
      <c r="CB249" s="49">
        <v>1000</v>
      </c>
      <c r="CC249" s="49">
        <v>0</v>
      </c>
      <c r="CD249" s="49">
        <v>0</v>
      </c>
      <c r="CE249" s="49">
        <v>0</v>
      </c>
      <c r="CF249" s="49">
        <v>0</v>
      </c>
      <c r="CG249" s="49">
        <v>0</v>
      </c>
      <c r="CH249" s="49">
        <f t="shared" si="47"/>
        <v>0</v>
      </c>
      <c r="CI249" s="49">
        <v>1</v>
      </c>
      <c r="CJ249" s="49">
        <v>0</v>
      </c>
      <c r="CK249" s="49">
        <v>0</v>
      </c>
      <c r="CL249" s="49">
        <v>0</v>
      </c>
      <c r="CM249" s="49">
        <v>0</v>
      </c>
      <c r="CN249" s="49">
        <v>0</v>
      </c>
      <c r="CO249" s="49">
        <v>0</v>
      </c>
      <c r="CP249" s="49">
        <v>0</v>
      </c>
      <c r="CQ249" s="49">
        <v>0</v>
      </c>
      <c r="CR249" s="49">
        <v>0</v>
      </c>
      <c r="CV249" s="49">
        <v>0</v>
      </c>
      <c r="CW249" s="49">
        <v>0</v>
      </c>
    </row>
    <row r="250" s="44" customFormat="1" customHeight="1" spans="1:101">
      <c r="A250" s="45">
        <v>5620</v>
      </c>
      <c r="B250" s="44" t="s">
        <v>414</v>
      </c>
      <c r="H250" s="44" t="s">
        <v>116</v>
      </c>
      <c r="I250" s="44" t="s">
        <v>116</v>
      </c>
      <c r="K250" s="44" t="s">
        <v>116</v>
      </c>
      <c r="O250" s="77">
        <f>A$250</f>
        <v>5620</v>
      </c>
      <c r="P250" s="77">
        <v>1</v>
      </c>
      <c r="Q250" s="77">
        <v>0</v>
      </c>
      <c r="R250" s="77">
        <v>0</v>
      </c>
      <c r="S250" s="64"/>
      <c r="T250" s="64"/>
      <c r="U250" s="64"/>
      <c r="V250" s="64"/>
      <c r="W250" s="63"/>
      <c r="X250" s="63"/>
      <c r="Y250" s="63"/>
      <c r="Z250" s="63"/>
      <c r="AA250" s="78"/>
      <c r="AB250" s="78"/>
      <c r="AC250" s="78"/>
      <c r="AD250" s="78"/>
      <c r="AE250" s="48">
        <v>200190</v>
      </c>
      <c r="AF250" s="44">
        <v>200191</v>
      </c>
      <c r="AG250" s="44">
        <v>200081</v>
      </c>
      <c r="AH250" s="44">
        <v>200082</v>
      </c>
      <c r="AI250" s="44">
        <v>200141</v>
      </c>
      <c r="AJ250" s="44" t="s">
        <v>116</v>
      </c>
      <c r="AK250" s="44" t="s">
        <v>116</v>
      </c>
      <c r="AL250" s="44" t="s">
        <v>116</v>
      </c>
      <c r="AM250" s="44" t="s">
        <v>116</v>
      </c>
      <c r="AN250" s="44" t="s">
        <v>116</v>
      </c>
      <c r="AO250" s="44" t="s">
        <v>116</v>
      </c>
      <c r="AP250" s="44" t="s">
        <v>116</v>
      </c>
      <c r="AQ250" s="44" t="s">
        <v>116</v>
      </c>
      <c r="AR250" s="44" t="s">
        <v>116</v>
      </c>
      <c r="AS250" s="44" t="s">
        <v>116</v>
      </c>
      <c r="AT250" s="44" t="s">
        <v>116</v>
      </c>
      <c r="AU250" s="62">
        <f t="shared" ref="AU250:BJ250" si="65">IF(AE250="","",1)</f>
        <v>1</v>
      </c>
      <c r="AV250" s="44">
        <f t="shared" si="65"/>
        <v>1</v>
      </c>
      <c r="AW250" s="44">
        <f t="shared" si="65"/>
        <v>1</v>
      </c>
      <c r="AX250" s="44">
        <f t="shared" si="65"/>
        <v>1</v>
      </c>
      <c r="AY250" s="44">
        <f t="shared" si="65"/>
        <v>1</v>
      </c>
      <c r="AZ250" s="44" t="str">
        <f t="shared" si="65"/>
        <v/>
      </c>
      <c r="BA250" s="44" t="str">
        <f t="shared" si="65"/>
        <v/>
      </c>
      <c r="BB250" s="44" t="str">
        <f t="shared" si="65"/>
        <v/>
      </c>
      <c r="BC250" s="44" t="str">
        <f t="shared" si="65"/>
        <v/>
      </c>
      <c r="BD250" s="44" t="str">
        <f t="shared" si="65"/>
        <v/>
      </c>
      <c r="BE250" s="44" t="str">
        <f t="shared" si="65"/>
        <v/>
      </c>
      <c r="BF250" s="44" t="str">
        <f t="shared" si="65"/>
        <v/>
      </c>
      <c r="BG250" s="44" t="str">
        <f t="shared" si="65"/>
        <v/>
      </c>
      <c r="BH250" s="44" t="str">
        <f t="shared" si="65"/>
        <v/>
      </c>
      <c r="BI250" s="44" t="str">
        <f t="shared" si="65"/>
        <v/>
      </c>
      <c r="BJ250" s="44" t="str">
        <f t="shared" si="65"/>
        <v/>
      </c>
      <c r="BK250" s="62">
        <v>100</v>
      </c>
      <c r="BL250" s="44">
        <v>100</v>
      </c>
      <c r="BM250" s="44">
        <v>100</v>
      </c>
      <c r="BN250" s="44">
        <v>100</v>
      </c>
      <c r="BO250" s="44">
        <v>100</v>
      </c>
      <c r="CA250" s="44">
        <f t="shared" ref="CA250:CA260" si="66">SUM(BK250:BZ250)</f>
        <v>500</v>
      </c>
      <c r="CB250" s="44">
        <f>CA250</f>
        <v>500</v>
      </c>
      <c r="CC250" s="44">
        <v>0</v>
      </c>
      <c r="CD250" s="44">
        <v>0</v>
      </c>
      <c r="CE250" s="44">
        <v>0</v>
      </c>
      <c r="CF250" s="44">
        <v>0</v>
      </c>
      <c r="CG250" s="44">
        <v>0</v>
      </c>
      <c r="CH250" s="44">
        <f t="shared" si="47"/>
        <v>0</v>
      </c>
      <c r="CI250" s="44">
        <v>1</v>
      </c>
      <c r="CJ250" s="44">
        <v>0</v>
      </c>
      <c r="CK250" s="44">
        <v>0</v>
      </c>
      <c r="CL250" s="44">
        <v>0</v>
      </c>
      <c r="CM250" s="44">
        <v>0</v>
      </c>
      <c r="CN250" s="44">
        <v>0</v>
      </c>
      <c r="CO250" s="44">
        <v>0</v>
      </c>
      <c r="CP250" s="44">
        <v>0</v>
      </c>
      <c r="CQ250" s="44">
        <v>0</v>
      </c>
      <c r="CR250" s="44">
        <v>0</v>
      </c>
      <c r="CV250" s="44">
        <v>0</v>
      </c>
      <c r="CW250" s="44">
        <v>0</v>
      </c>
    </row>
    <row r="251" s="44" customFormat="1" customHeight="1" spans="1:101">
      <c r="A251" s="45">
        <v>5630</v>
      </c>
      <c r="B251" s="44" t="s">
        <v>415</v>
      </c>
      <c r="H251" s="44" t="s">
        <v>116</v>
      </c>
      <c r="I251" s="44" t="s">
        <v>116</v>
      </c>
      <c r="K251" s="44" t="s">
        <v>116</v>
      </c>
      <c r="O251" s="77">
        <f>A$250</f>
        <v>5620</v>
      </c>
      <c r="P251" s="77">
        <v>1</v>
      </c>
      <c r="Q251" s="77">
        <v>0</v>
      </c>
      <c r="R251" s="77">
        <v>0</v>
      </c>
      <c r="S251" s="64"/>
      <c r="T251" s="64"/>
      <c r="U251" s="64"/>
      <c r="V251" s="64"/>
      <c r="W251" s="63"/>
      <c r="X251" s="63"/>
      <c r="Y251" s="63"/>
      <c r="Z251" s="63"/>
      <c r="AA251" s="78"/>
      <c r="AB251" s="78"/>
      <c r="AC251" s="78"/>
      <c r="AD251" s="78"/>
      <c r="AE251" s="48">
        <v>200190</v>
      </c>
      <c r="AF251" s="44">
        <v>200191</v>
      </c>
      <c r="AG251" s="44">
        <v>200192</v>
      </c>
      <c r="AH251" s="44">
        <v>200081</v>
      </c>
      <c r="AI251" s="44">
        <v>200082</v>
      </c>
      <c r="AJ251" s="44">
        <v>200083</v>
      </c>
      <c r="AK251" s="44">
        <v>200142</v>
      </c>
      <c r="AL251" s="44" t="s">
        <v>116</v>
      </c>
      <c r="AM251" s="44" t="s">
        <v>116</v>
      </c>
      <c r="AN251" s="44" t="s">
        <v>116</v>
      </c>
      <c r="AO251" s="44" t="s">
        <v>116</v>
      </c>
      <c r="AP251" s="44" t="s">
        <v>116</v>
      </c>
      <c r="AQ251" s="44" t="s">
        <v>116</v>
      </c>
      <c r="AR251" s="44" t="s">
        <v>116</v>
      </c>
      <c r="AS251" s="44" t="s">
        <v>116</v>
      </c>
      <c r="AT251" s="44" t="s">
        <v>116</v>
      </c>
      <c r="AU251" s="62">
        <f t="shared" ref="AU251:BJ251" si="67">IF(AE251="","",1)</f>
        <v>1</v>
      </c>
      <c r="AV251" s="44">
        <f t="shared" si="67"/>
        <v>1</v>
      </c>
      <c r="AW251" s="44">
        <f t="shared" si="67"/>
        <v>1</v>
      </c>
      <c r="AX251" s="44">
        <f t="shared" si="67"/>
        <v>1</v>
      </c>
      <c r="AY251" s="44">
        <f t="shared" si="67"/>
        <v>1</v>
      </c>
      <c r="AZ251" s="44">
        <f t="shared" si="67"/>
        <v>1</v>
      </c>
      <c r="BA251" s="44">
        <f t="shared" si="67"/>
        <v>1</v>
      </c>
      <c r="BB251" s="44" t="str">
        <f t="shared" si="67"/>
        <v/>
      </c>
      <c r="BC251" s="44" t="str">
        <f t="shared" si="67"/>
        <v/>
      </c>
      <c r="BD251" s="44" t="str">
        <f t="shared" si="67"/>
        <v/>
      </c>
      <c r="BE251" s="44" t="str">
        <f t="shared" si="67"/>
        <v/>
      </c>
      <c r="BF251" s="44" t="str">
        <f t="shared" si="67"/>
        <v/>
      </c>
      <c r="BG251" s="44" t="str">
        <f t="shared" si="67"/>
        <v/>
      </c>
      <c r="BH251" s="44" t="str">
        <f t="shared" si="67"/>
        <v/>
      </c>
      <c r="BI251" s="44" t="str">
        <f t="shared" si="67"/>
        <v/>
      </c>
      <c r="BJ251" s="44" t="str">
        <f t="shared" si="67"/>
        <v/>
      </c>
      <c r="BK251" s="62">
        <v>100</v>
      </c>
      <c r="BL251" s="44">
        <v>100</v>
      </c>
      <c r="BM251" s="44">
        <v>100</v>
      </c>
      <c r="BN251" s="44">
        <v>100</v>
      </c>
      <c r="BO251" s="44">
        <v>100</v>
      </c>
      <c r="BP251" s="44">
        <v>100</v>
      </c>
      <c r="BQ251" s="44">
        <v>100</v>
      </c>
      <c r="CA251" s="44">
        <f t="shared" si="66"/>
        <v>700</v>
      </c>
      <c r="CB251" s="44">
        <f>CA251</f>
        <v>700</v>
      </c>
      <c r="CC251" s="44">
        <v>0</v>
      </c>
      <c r="CD251" s="44">
        <v>0</v>
      </c>
      <c r="CE251" s="44">
        <v>0</v>
      </c>
      <c r="CF251" s="44">
        <v>0</v>
      </c>
      <c r="CG251" s="44">
        <v>0</v>
      </c>
      <c r="CH251" s="44">
        <f t="shared" si="47"/>
        <v>0</v>
      </c>
      <c r="CI251" s="44">
        <v>1</v>
      </c>
      <c r="CJ251" s="44">
        <v>0</v>
      </c>
      <c r="CK251" s="44">
        <v>0</v>
      </c>
      <c r="CL251" s="44">
        <v>0</v>
      </c>
      <c r="CM251" s="44">
        <v>0</v>
      </c>
      <c r="CN251" s="44">
        <v>0</v>
      </c>
      <c r="CO251" s="44">
        <v>0</v>
      </c>
      <c r="CP251" s="44">
        <v>0</v>
      </c>
      <c r="CQ251" s="44">
        <v>0</v>
      </c>
      <c r="CR251" s="44">
        <v>0</v>
      </c>
      <c r="CV251" s="44">
        <v>0</v>
      </c>
      <c r="CW251" s="44">
        <v>0</v>
      </c>
    </row>
    <row r="252" s="44" customFormat="1" customHeight="1" spans="1:101">
      <c r="A252" s="45">
        <v>5640</v>
      </c>
      <c r="B252" s="44" t="s">
        <v>416</v>
      </c>
      <c r="H252" s="44" t="s">
        <v>116</v>
      </c>
      <c r="I252" s="44" t="s">
        <v>116</v>
      </c>
      <c r="K252" s="44" t="s">
        <v>116</v>
      </c>
      <c r="O252" s="77">
        <f>A$250</f>
        <v>5620</v>
      </c>
      <c r="P252" s="77">
        <v>1</v>
      </c>
      <c r="Q252" s="77">
        <v>0</v>
      </c>
      <c r="R252" s="77">
        <v>0</v>
      </c>
      <c r="S252" s="64"/>
      <c r="T252" s="64"/>
      <c r="U252" s="64"/>
      <c r="V252" s="64"/>
      <c r="W252" s="63"/>
      <c r="X252" s="63"/>
      <c r="Y252" s="63"/>
      <c r="Z252" s="63"/>
      <c r="AA252" s="78"/>
      <c r="AB252" s="78"/>
      <c r="AC252" s="78"/>
      <c r="AD252" s="78"/>
      <c r="AE252" s="48">
        <v>200191</v>
      </c>
      <c r="AF252" s="44">
        <v>200192</v>
      </c>
      <c r="AG252" s="44">
        <v>200193</v>
      </c>
      <c r="AH252" s="44">
        <v>200082</v>
      </c>
      <c r="AI252" s="44">
        <v>200083</v>
      </c>
      <c r="AJ252" s="44">
        <v>200084</v>
      </c>
      <c r="AK252" s="44">
        <v>200143</v>
      </c>
      <c r="AL252" s="44" t="s">
        <v>116</v>
      </c>
      <c r="AM252" s="44" t="s">
        <v>116</v>
      </c>
      <c r="AN252" s="44" t="s">
        <v>116</v>
      </c>
      <c r="AO252" s="44" t="s">
        <v>116</v>
      </c>
      <c r="AP252" s="44" t="s">
        <v>116</v>
      </c>
      <c r="AQ252" s="44" t="s">
        <v>116</v>
      </c>
      <c r="AR252" s="44" t="s">
        <v>116</v>
      </c>
      <c r="AS252" s="44" t="s">
        <v>116</v>
      </c>
      <c r="AT252" s="44" t="s">
        <v>116</v>
      </c>
      <c r="AU252" s="62">
        <f t="shared" ref="AU252:BJ252" si="68">IF(AE252="","",1)</f>
        <v>1</v>
      </c>
      <c r="AV252" s="44">
        <f t="shared" si="68"/>
        <v>1</v>
      </c>
      <c r="AW252" s="44">
        <f t="shared" si="68"/>
        <v>1</v>
      </c>
      <c r="AX252" s="44">
        <f t="shared" si="68"/>
        <v>1</v>
      </c>
      <c r="AY252" s="44">
        <f t="shared" si="68"/>
        <v>1</v>
      </c>
      <c r="AZ252" s="44">
        <f t="shared" si="68"/>
        <v>1</v>
      </c>
      <c r="BA252" s="44">
        <f t="shared" si="68"/>
        <v>1</v>
      </c>
      <c r="BB252" s="44" t="str">
        <f t="shared" si="68"/>
        <v/>
      </c>
      <c r="BC252" s="44" t="str">
        <f t="shared" si="68"/>
        <v/>
      </c>
      <c r="BD252" s="44" t="str">
        <f t="shared" si="68"/>
        <v/>
      </c>
      <c r="BE252" s="44" t="str">
        <f t="shared" si="68"/>
        <v/>
      </c>
      <c r="BF252" s="44" t="str">
        <f t="shared" si="68"/>
        <v/>
      </c>
      <c r="BG252" s="44" t="str">
        <f t="shared" si="68"/>
        <v/>
      </c>
      <c r="BH252" s="44" t="str">
        <f t="shared" si="68"/>
        <v/>
      </c>
      <c r="BI252" s="44" t="str">
        <f t="shared" si="68"/>
        <v/>
      </c>
      <c r="BJ252" s="44" t="str">
        <f t="shared" si="68"/>
        <v/>
      </c>
      <c r="BK252" s="62">
        <v>100</v>
      </c>
      <c r="BL252" s="44">
        <v>100</v>
      </c>
      <c r="BM252" s="44">
        <v>100</v>
      </c>
      <c r="BN252" s="44">
        <v>100</v>
      </c>
      <c r="BO252" s="44">
        <v>100</v>
      </c>
      <c r="BP252" s="44">
        <v>100</v>
      </c>
      <c r="BQ252" s="44">
        <v>100</v>
      </c>
      <c r="CA252" s="44">
        <f t="shared" si="66"/>
        <v>700</v>
      </c>
      <c r="CB252" s="44">
        <f>CA252</f>
        <v>700</v>
      </c>
      <c r="CC252" s="44">
        <v>0</v>
      </c>
      <c r="CD252" s="44">
        <v>0</v>
      </c>
      <c r="CE252" s="44">
        <v>0</v>
      </c>
      <c r="CF252" s="44">
        <v>0</v>
      </c>
      <c r="CG252" s="44">
        <v>0</v>
      </c>
      <c r="CH252" s="44">
        <f t="shared" si="47"/>
        <v>0</v>
      </c>
      <c r="CI252" s="44">
        <v>1</v>
      </c>
      <c r="CJ252" s="44">
        <v>0</v>
      </c>
      <c r="CK252" s="44">
        <v>0</v>
      </c>
      <c r="CL252" s="44">
        <v>0</v>
      </c>
      <c r="CM252" s="44">
        <v>0</v>
      </c>
      <c r="CN252" s="44">
        <v>0</v>
      </c>
      <c r="CO252" s="44">
        <v>0</v>
      </c>
      <c r="CP252" s="44">
        <v>0</v>
      </c>
      <c r="CQ252" s="44">
        <v>0</v>
      </c>
      <c r="CR252" s="44">
        <v>0</v>
      </c>
      <c r="CV252" s="44">
        <v>0</v>
      </c>
      <c r="CW252" s="44">
        <v>0</v>
      </c>
    </row>
    <row r="253" s="44" customFormat="1" customHeight="1" spans="1:101">
      <c r="A253" s="45">
        <v>5650</v>
      </c>
      <c r="B253" s="44" t="s">
        <v>417</v>
      </c>
      <c r="H253" s="44" t="s">
        <v>116</v>
      </c>
      <c r="I253" s="44" t="s">
        <v>116</v>
      </c>
      <c r="K253" s="44" t="s">
        <v>116</v>
      </c>
      <c r="O253" s="77">
        <f>A$250</f>
        <v>5620</v>
      </c>
      <c r="P253" s="77">
        <v>1</v>
      </c>
      <c r="Q253" s="77">
        <v>0</v>
      </c>
      <c r="R253" s="77">
        <v>0</v>
      </c>
      <c r="S253" s="64"/>
      <c r="T253" s="64"/>
      <c r="U253" s="64"/>
      <c r="V253" s="64"/>
      <c r="W253" s="63"/>
      <c r="X253" s="63"/>
      <c r="Y253" s="63"/>
      <c r="Z253" s="63"/>
      <c r="AA253" s="78"/>
      <c r="AB253" s="78"/>
      <c r="AC253" s="78"/>
      <c r="AD253" s="78"/>
      <c r="AE253" s="48">
        <v>200192</v>
      </c>
      <c r="AF253" s="44">
        <v>200193</v>
      </c>
      <c r="AG253" s="44">
        <v>200194</v>
      </c>
      <c r="AH253" s="44">
        <v>200083</v>
      </c>
      <c r="AI253" s="44">
        <v>200084</v>
      </c>
      <c r="AJ253" s="44">
        <v>200085</v>
      </c>
      <c r="AK253" s="44">
        <v>200144</v>
      </c>
      <c r="AL253" s="44" t="s">
        <v>116</v>
      </c>
      <c r="AM253" s="44" t="s">
        <v>116</v>
      </c>
      <c r="AN253" s="44" t="s">
        <v>116</v>
      </c>
      <c r="AO253" s="44" t="s">
        <v>116</v>
      </c>
      <c r="AP253" s="44" t="s">
        <v>116</v>
      </c>
      <c r="AQ253" s="44" t="s">
        <v>116</v>
      </c>
      <c r="AR253" s="44" t="s">
        <v>116</v>
      </c>
      <c r="AS253" s="44" t="s">
        <v>116</v>
      </c>
      <c r="AT253" s="44" t="s">
        <v>116</v>
      </c>
      <c r="AU253" s="62">
        <f t="shared" ref="AU253:BJ253" si="69">IF(AE253="","",1)</f>
        <v>1</v>
      </c>
      <c r="AV253" s="44">
        <f t="shared" si="69"/>
        <v>1</v>
      </c>
      <c r="AW253" s="44">
        <f t="shared" si="69"/>
        <v>1</v>
      </c>
      <c r="AX253" s="44">
        <f t="shared" si="69"/>
        <v>1</v>
      </c>
      <c r="AY253" s="44">
        <f t="shared" si="69"/>
        <v>1</v>
      </c>
      <c r="AZ253" s="44">
        <f t="shared" si="69"/>
        <v>1</v>
      </c>
      <c r="BA253" s="44">
        <f t="shared" si="69"/>
        <v>1</v>
      </c>
      <c r="BB253" s="44" t="str">
        <f t="shared" si="69"/>
        <v/>
      </c>
      <c r="BC253" s="44" t="str">
        <f t="shared" si="69"/>
        <v/>
      </c>
      <c r="BD253" s="44" t="str">
        <f t="shared" si="69"/>
        <v/>
      </c>
      <c r="BE253" s="44" t="str">
        <f t="shared" si="69"/>
        <v/>
      </c>
      <c r="BF253" s="44" t="str">
        <f t="shared" si="69"/>
        <v/>
      </c>
      <c r="BG253" s="44" t="str">
        <f t="shared" si="69"/>
        <v/>
      </c>
      <c r="BH253" s="44" t="str">
        <f t="shared" si="69"/>
        <v/>
      </c>
      <c r="BI253" s="44" t="str">
        <f t="shared" si="69"/>
        <v/>
      </c>
      <c r="BJ253" s="44" t="str">
        <f t="shared" si="69"/>
        <v/>
      </c>
      <c r="BK253" s="62">
        <v>100</v>
      </c>
      <c r="BL253" s="44">
        <v>100</v>
      </c>
      <c r="BM253" s="44">
        <v>100</v>
      </c>
      <c r="BN253" s="44">
        <v>100</v>
      </c>
      <c r="BO253" s="44">
        <v>100</v>
      </c>
      <c r="BP253" s="44">
        <v>100</v>
      </c>
      <c r="BQ253" s="44">
        <v>100</v>
      </c>
      <c r="CA253" s="44">
        <f t="shared" si="66"/>
        <v>700</v>
      </c>
      <c r="CB253" s="44">
        <f>CA253</f>
        <v>700</v>
      </c>
      <c r="CC253" s="44">
        <v>0</v>
      </c>
      <c r="CD253" s="44">
        <v>0</v>
      </c>
      <c r="CE253" s="44">
        <v>0</v>
      </c>
      <c r="CF253" s="44">
        <v>0</v>
      </c>
      <c r="CG253" s="44">
        <v>0</v>
      </c>
      <c r="CH253" s="44">
        <f t="shared" si="47"/>
        <v>0</v>
      </c>
      <c r="CI253" s="44">
        <v>1</v>
      </c>
      <c r="CJ253" s="44">
        <v>0</v>
      </c>
      <c r="CK253" s="44">
        <v>0</v>
      </c>
      <c r="CL253" s="44">
        <v>0</v>
      </c>
      <c r="CM253" s="44">
        <v>0</v>
      </c>
      <c r="CN253" s="44">
        <v>0</v>
      </c>
      <c r="CO253" s="44">
        <v>0</v>
      </c>
      <c r="CP253" s="44">
        <v>0</v>
      </c>
      <c r="CQ253" s="44">
        <v>0</v>
      </c>
      <c r="CR253" s="44">
        <v>0</v>
      </c>
      <c r="CV253" s="44">
        <v>0</v>
      </c>
      <c r="CW253" s="44">
        <v>0</v>
      </c>
    </row>
    <row r="254" s="44" customFormat="1" customHeight="1" spans="1:101">
      <c r="A254" s="45">
        <v>5660</v>
      </c>
      <c r="B254" s="44" t="s">
        <v>418</v>
      </c>
      <c r="H254" s="44" t="s">
        <v>116</v>
      </c>
      <c r="I254" s="44" t="s">
        <v>116</v>
      </c>
      <c r="K254" s="44" t="s">
        <v>116</v>
      </c>
      <c r="O254" s="77">
        <f>A$250</f>
        <v>5620</v>
      </c>
      <c r="P254" s="77">
        <v>1</v>
      </c>
      <c r="Q254" s="77">
        <v>0</v>
      </c>
      <c r="R254" s="77">
        <v>0</v>
      </c>
      <c r="S254" s="64"/>
      <c r="T254" s="64"/>
      <c r="U254" s="64"/>
      <c r="V254" s="64"/>
      <c r="W254" s="63"/>
      <c r="X254" s="63"/>
      <c r="Y254" s="63"/>
      <c r="Z254" s="63"/>
      <c r="AA254" s="78"/>
      <c r="AB254" s="78"/>
      <c r="AC254" s="78"/>
      <c r="AD254" s="78"/>
      <c r="AE254" s="48">
        <v>200193</v>
      </c>
      <c r="AF254" s="44">
        <v>200194</v>
      </c>
      <c r="AG254" s="44">
        <v>200084</v>
      </c>
      <c r="AH254" s="44">
        <v>200085</v>
      </c>
      <c r="AI254" s="44">
        <v>200145</v>
      </c>
      <c r="AJ254" s="44" t="s">
        <v>116</v>
      </c>
      <c r="AK254" s="44" t="s">
        <v>116</v>
      </c>
      <c r="AL254" s="44" t="s">
        <v>116</v>
      </c>
      <c r="AM254" s="44" t="s">
        <v>116</v>
      </c>
      <c r="AN254" s="44" t="s">
        <v>116</v>
      </c>
      <c r="AO254" s="44" t="s">
        <v>116</v>
      </c>
      <c r="AP254" s="44" t="s">
        <v>116</v>
      </c>
      <c r="AQ254" s="44" t="s">
        <v>116</v>
      </c>
      <c r="AR254" s="44" t="s">
        <v>116</v>
      </c>
      <c r="AS254" s="44" t="s">
        <v>116</v>
      </c>
      <c r="AT254" s="44" t="s">
        <v>116</v>
      </c>
      <c r="AU254" s="62">
        <f t="shared" ref="AU254:BJ254" si="70">IF(AE254="","",1)</f>
        <v>1</v>
      </c>
      <c r="AV254" s="44">
        <f t="shared" si="70"/>
        <v>1</v>
      </c>
      <c r="AW254" s="44">
        <f t="shared" si="70"/>
        <v>1</v>
      </c>
      <c r="AX254" s="44">
        <f t="shared" si="70"/>
        <v>1</v>
      </c>
      <c r="AY254" s="44">
        <f t="shared" si="70"/>
        <v>1</v>
      </c>
      <c r="AZ254" s="44" t="str">
        <f t="shared" si="70"/>
        <v/>
      </c>
      <c r="BA254" s="44" t="str">
        <f t="shared" si="70"/>
        <v/>
      </c>
      <c r="BB254" s="44" t="str">
        <f t="shared" si="70"/>
        <v/>
      </c>
      <c r="BC254" s="44" t="str">
        <f t="shared" si="70"/>
        <v/>
      </c>
      <c r="BD254" s="44" t="str">
        <f t="shared" si="70"/>
        <v/>
      </c>
      <c r="BE254" s="44" t="str">
        <f t="shared" si="70"/>
        <v/>
      </c>
      <c r="BF254" s="44" t="str">
        <f t="shared" si="70"/>
        <v/>
      </c>
      <c r="BG254" s="44" t="str">
        <f t="shared" si="70"/>
        <v/>
      </c>
      <c r="BH254" s="44" t="str">
        <f t="shared" si="70"/>
        <v/>
      </c>
      <c r="BI254" s="44" t="str">
        <f t="shared" si="70"/>
        <v/>
      </c>
      <c r="BJ254" s="44" t="str">
        <f t="shared" si="70"/>
        <v/>
      </c>
      <c r="BK254" s="62">
        <v>100</v>
      </c>
      <c r="BL254" s="44">
        <v>100</v>
      </c>
      <c r="BM254" s="44">
        <v>100</v>
      </c>
      <c r="BN254" s="44">
        <v>100</v>
      </c>
      <c r="BO254" s="44">
        <v>100</v>
      </c>
      <c r="CA254" s="44">
        <f t="shared" si="66"/>
        <v>500</v>
      </c>
      <c r="CB254" s="44">
        <f>CA254</f>
        <v>500</v>
      </c>
      <c r="CC254" s="44">
        <v>0</v>
      </c>
      <c r="CD254" s="44">
        <v>0</v>
      </c>
      <c r="CE254" s="44">
        <v>0</v>
      </c>
      <c r="CF254" s="44">
        <v>0</v>
      </c>
      <c r="CG254" s="44">
        <v>0</v>
      </c>
      <c r="CH254" s="44">
        <f t="shared" si="47"/>
        <v>0</v>
      </c>
      <c r="CI254" s="44">
        <v>1</v>
      </c>
      <c r="CJ254" s="44">
        <v>0</v>
      </c>
      <c r="CK254" s="44">
        <v>0</v>
      </c>
      <c r="CL254" s="44">
        <v>0</v>
      </c>
      <c r="CM254" s="44">
        <v>0</v>
      </c>
      <c r="CN254" s="44">
        <v>0</v>
      </c>
      <c r="CO254" s="44">
        <v>0</v>
      </c>
      <c r="CP254" s="44">
        <v>0</v>
      </c>
      <c r="CQ254" s="44">
        <v>0</v>
      </c>
      <c r="CR254" s="44">
        <v>0</v>
      </c>
      <c r="CV254" s="44">
        <v>0</v>
      </c>
      <c r="CW254" s="44">
        <v>0</v>
      </c>
    </row>
    <row r="255" s="44" customFormat="1" customHeight="1" spans="1:101">
      <c r="A255" s="45">
        <v>5670</v>
      </c>
      <c r="B255" s="79" t="s">
        <v>419</v>
      </c>
      <c r="H255" s="44" t="s">
        <v>116</v>
      </c>
      <c r="I255" s="44" t="s">
        <v>116</v>
      </c>
      <c r="K255" s="44" t="s">
        <v>116</v>
      </c>
      <c r="O255" s="77"/>
      <c r="P255" s="77"/>
      <c r="Q255" s="77"/>
      <c r="R255" s="77"/>
      <c r="S255" s="64"/>
      <c r="T255" s="64"/>
      <c r="U255" s="64"/>
      <c r="V255" s="64"/>
      <c r="W255" s="63"/>
      <c r="X255" s="63"/>
      <c r="Y255" s="63"/>
      <c r="Z255" s="63"/>
      <c r="AA255" s="78"/>
      <c r="AB255" s="78"/>
      <c r="AC255" s="78"/>
      <c r="AD255" s="78"/>
      <c r="AE255" s="48">
        <v>200182</v>
      </c>
      <c r="AF255" s="44">
        <v>200183</v>
      </c>
      <c r="AG255" s="44">
        <v>200184</v>
      </c>
      <c r="AH255" s="44" t="s">
        <v>116</v>
      </c>
      <c r="AI255" s="44" t="s">
        <v>116</v>
      </c>
      <c r="AJ255" s="44" t="s">
        <v>116</v>
      </c>
      <c r="AK255" s="44" t="s">
        <v>116</v>
      </c>
      <c r="AL255" s="44" t="s">
        <v>116</v>
      </c>
      <c r="AM255" s="44" t="s">
        <v>116</v>
      </c>
      <c r="AN255" s="44" t="s">
        <v>116</v>
      </c>
      <c r="AO255" s="44" t="s">
        <v>116</v>
      </c>
      <c r="AP255" s="44" t="s">
        <v>116</v>
      </c>
      <c r="AQ255" s="44" t="s">
        <v>116</v>
      </c>
      <c r="AR255" s="44" t="s">
        <v>116</v>
      </c>
      <c r="AS255" s="44" t="s">
        <v>116</v>
      </c>
      <c r="AT255" s="44" t="s">
        <v>116</v>
      </c>
      <c r="AU255" s="62">
        <f t="shared" ref="AU255:BJ255" si="71">IF(AE255="","",1)</f>
        <v>1</v>
      </c>
      <c r="AV255" s="44">
        <f t="shared" si="71"/>
        <v>1</v>
      </c>
      <c r="AW255" s="44">
        <f t="shared" si="71"/>
        <v>1</v>
      </c>
      <c r="AX255" s="44" t="str">
        <f t="shared" si="71"/>
        <v/>
      </c>
      <c r="AY255" s="44" t="str">
        <f t="shared" si="71"/>
        <v/>
      </c>
      <c r="AZ255" s="44" t="str">
        <f t="shared" si="71"/>
        <v/>
      </c>
      <c r="BA255" s="44" t="str">
        <f t="shared" si="71"/>
        <v/>
      </c>
      <c r="BB255" s="44" t="str">
        <f t="shared" si="71"/>
        <v/>
      </c>
      <c r="BC255" s="44" t="str">
        <f t="shared" si="71"/>
        <v/>
      </c>
      <c r="BD255" s="44" t="str">
        <f t="shared" si="71"/>
        <v/>
      </c>
      <c r="BE255" s="44" t="str">
        <f t="shared" si="71"/>
        <v/>
      </c>
      <c r="BF255" s="44" t="str">
        <f t="shared" si="71"/>
        <v/>
      </c>
      <c r="BG255" s="44" t="str">
        <f t="shared" si="71"/>
        <v/>
      </c>
      <c r="BH255" s="44" t="str">
        <f t="shared" si="71"/>
        <v/>
      </c>
      <c r="BI255" s="44" t="str">
        <f t="shared" si="71"/>
        <v/>
      </c>
      <c r="BJ255" s="44" t="str">
        <f t="shared" si="71"/>
        <v/>
      </c>
      <c r="BK255" s="62">
        <v>85</v>
      </c>
      <c r="BL255" s="44">
        <v>20</v>
      </c>
      <c r="BM255" s="44">
        <v>40</v>
      </c>
      <c r="CA255" s="44">
        <f t="shared" si="66"/>
        <v>145</v>
      </c>
      <c r="CB255" s="44">
        <v>1000</v>
      </c>
      <c r="CC255" s="44">
        <v>0</v>
      </c>
      <c r="CD255" s="44">
        <v>0</v>
      </c>
      <c r="CE255" s="44">
        <v>0</v>
      </c>
      <c r="CF255" s="44">
        <v>0</v>
      </c>
      <c r="CG255" s="44">
        <v>0</v>
      </c>
      <c r="CH255" s="44">
        <f t="shared" ref="CH255:CH260" si="72">IF(RIGHT(B255,1)="0",1,0)</f>
        <v>0</v>
      </c>
      <c r="CI255" s="44">
        <v>1</v>
      </c>
      <c r="CJ255" s="44">
        <v>0</v>
      </c>
      <c r="CK255" s="44">
        <v>0</v>
      </c>
      <c r="CL255" s="44">
        <v>0</v>
      </c>
      <c r="CM255" s="44">
        <v>0</v>
      </c>
      <c r="CN255" s="44">
        <v>0</v>
      </c>
      <c r="CO255" s="44">
        <v>0</v>
      </c>
      <c r="CP255" s="44">
        <v>0</v>
      </c>
      <c r="CQ255" s="44">
        <v>0</v>
      </c>
      <c r="CR255" s="44">
        <v>0</v>
      </c>
      <c r="CV255" s="44">
        <v>0</v>
      </c>
      <c r="CW255" s="44">
        <v>0</v>
      </c>
    </row>
    <row r="256" s="44" customFormat="1" customHeight="1" spans="1:101">
      <c r="A256" s="45">
        <v>5671</v>
      </c>
      <c r="B256" s="79" t="s">
        <v>420</v>
      </c>
      <c r="H256" s="44">
        <v>1000</v>
      </c>
      <c r="I256" s="44" t="s">
        <v>116</v>
      </c>
      <c r="K256" s="44" t="s">
        <v>116</v>
      </c>
      <c r="O256" s="77"/>
      <c r="P256" s="77"/>
      <c r="Q256" s="77"/>
      <c r="R256" s="77"/>
      <c r="S256" s="64"/>
      <c r="T256" s="64"/>
      <c r="U256" s="64"/>
      <c r="V256" s="64"/>
      <c r="W256" s="63"/>
      <c r="X256" s="63"/>
      <c r="Y256" s="63"/>
      <c r="Z256" s="63"/>
      <c r="AA256" s="78"/>
      <c r="AB256" s="78"/>
      <c r="AC256" s="78"/>
      <c r="AD256" s="78"/>
      <c r="AE256" s="48" t="s">
        <v>116</v>
      </c>
      <c r="AF256" s="44" t="s">
        <v>116</v>
      </c>
      <c r="AG256" s="44" t="s">
        <v>116</v>
      </c>
      <c r="AH256" s="44" t="s">
        <v>116</v>
      </c>
      <c r="AI256" s="44" t="s">
        <v>116</v>
      </c>
      <c r="AJ256" s="44" t="s">
        <v>116</v>
      </c>
      <c r="AK256" s="44" t="s">
        <v>116</v>
      </c>
      <c r="AL256" s="44" t="s">
        <v>116</v>
      </c>
      <c r="AM256" s="44" t="s">
        <v>116</v>
      </c>
      <c r="AN256" s="44" t="s">
        <v>116</v>
      </c>
      <c r="AO256" s="44" t="s">
        <v>116</v>
      </c>
      <c r="AP256" s="44" t="s">
        <v>116</v>
      </c>
      <c r="AQ256" s="44" t="s">
        <v>116</v>
      </c>
      <c r="AR256" s="44" t="s">
        <v>116</v>
      </c>
      <c r="AS256" s="44" t="s">
        <v>116</v>
      </c>
      <c r="AT256" s="44" t="s">
        <v>116</v>
      </c>
      <c r="AU256" s="62" t="str">
        <f t="shared" ref="AU256:BJ256" si="73">IF(AE256="","",1)</f>
        <v/>
      </c>
      <c r="AV256" s="44" t="str">
        <f t="shared" si="73"/>
        <v/>
      </c>
      <c r="AW256" s="44" t="str">
        <f t="shared" si="73"/>
        <v/>
      </c>
      <c r="AX256" s="44" t="str">
        <f t="shared" si="73"/>
        <v/>
      </c>
      <c r="AY256" s="44" t="str">
        <f t="shared" si="73"/>
        <v/>
      </c>
      <c r="AZ256" s="44" t="str">
        <f t="shared" si="73"/>
        <v/>
      </c>
      <c r="BA256" s="44" t="str">
        <f t="shared" si="73"/>
        <v/>
      </c>
      <c r="BB256" s="44" t="str">
        <f t="shared" si="73"/>
        <v/>
      </c>
      <c r="BC256" s="44" t="str">
        <f t="shared" si="73"/>
        <v/>
      </c>
      <c r="BD256" s="44" t="str">
        <f t="shared" si="73"/>
        <v/>
      </c>
      <c r="BE256" s="44" t="str">
        <f t="shared" si="73"/>
        <v/>
      </c>
      <c r="BF256" s="44" t="str">
        <f t="shared" si="73"/>
        <v/>
      </c>
      <c r="BG256" s="44" t="str">
        <f t="shared" si="73"/>
        <v/>
      </c>
      <c r="BH256" s="44" t="str">
        <f t="shared" si="73"/>
        <v/>
      </c>
      <c r="BI256" s="44" t="str">
        <f t="shared" si="73"/>
        <v/>
      </c>
      <c r="BJ256" s="44" t="str">
        <f t="shared" si="73"/>
        <v/>
      </c>
      <c r="BK256" s="62"/>
      <c r="CA256" s="44">
        <f t="shared" si="66"/>
        <v>0</v>
      </c>
      <c r="CB256" s="44">
        <v>1000</v>
      </c>
      <c r="CC256" s="44">
        <v>0</v>
      </c>
      <c r="CD256" s="44">
        <v>0</v>
      </c>
      <c r="CE256" s="44">
        <v>0</v>
      </c>
      <c r="CF256" s="44">
        <v>0</v>
      </c>
      <c r="CG256" s="44">
        <v>0</v>
      </c>
      <c r="CH256" s="44">
        <f t="shared" si="72"/>
        <v>0</v>
      </c>
      <c r="CI256" s="44">
        <v>1</v>
      </c>
      <c r="CJ256" s="44">
        <v>0</v>
      </c>
      <c r="CK256" s="44">
        <v>0</v>
      </c>
      <c r="CL256" s="44">
        <v>0</v>
      </c>
      <c r="CM256" s="44">
        <v>0</v>
      </c>
      <c r="CN256" s="44">
        <v>0</v>
      </c>
      <c r="CO256" s="44">
        <v>0</v>
      </c>
      <c r="CP256" s="44">
        <v>0</v>
      </c>
      <c r="CQ256" s="44">
        <v>0</v>
      </c>
      <c r="CR256" s="44">
        <v>0</v>
      </c>
      <c r="CV256" s="44">
        <v>0</v>
      </c>
      <c r="CW256" s="44">
        <v>0</v>
      </c>
    </row>
    <row r="257" s="44" customFormat="1" customHeight="1" spans="1:101">
      <c r="A257" s="45">
        <v>5680</v>
      </c>
      <c r="B257" s="79" t="s">
        <v>421</v>
      </c>
      <c r="H257" s="44" t="s">
        <v>422</v>
      </c>
      <c r="I257" s="44" t="s">
        <v>423</v>
      </c>
      <c r="O257" s="77"/>
      <c r="P257" s="77"/>
      <c r="Q257" s="77"/>
      <c r="R257" s="77"/>
      <c r="S257" s="64"/>
      <c r="T257" s="64"/>
      <c r="U257" s="64"/>
      <c r="V257" s="64"/>
      <c r="W257" s="63"/>
      <c r="X257" s="63"/>
      <c r="Y257" s="63"/>
      <c r="Z257" s="63"/>
      <c r="AA257" s="78"/>
      <c r="AB257" s="78"/>
      <c r="AC257" s="78"/>
      <c r="AD257" s="78"/>
      <c r="AE257" s="48" t="s">
        <v>116</v>
      </c>
      <c r="AF257" s="44" t="s">
        <v>116</v>
      </c>
      <c r="AG257" s="44" t="s">
        <v>116</v>
      </c>
      <c r="AH257" s="44" t="s">
        <v>116</v>
      </c>
      <c r="AI257" s="44" t="s">
        <v>116</v>
      </c>
      <c r="AJ257" s="44" t="s">
        <v>116</v>
      </c>
      <c r="AK257" s="44" t="s">
        <v>116</v>
      </c>
      <c r="AL257" s="44" t="s">
        <v>116</v>
      </c>
      <c r="AM257" s="44" t="s">
        <v>116</v>
      </c>
      <c r="AN257" s="44" t="s">
        <v>116</v>
      </c>
      <c r="AO257" s="44" t="s">
        <v>116</v>
      </c>
      <c r="AP257" s="44" t="s">
        <v>116</v>
      </c>
      <c r="AQ257" s="44" t="s">
        <v>116</v>
      </c>
      <c r="AR257" s="44" t="s">
        <v>116</v>
      </c>
      <c r="AS257" s="44" t="s">
        <v>116</v>
      </c>
      <c r="AT257" s="44" t="s">
        <v>116</v>
      </c>
      <c r="AU257" s="62" t="str">
        <f t="shared" ref="AU257:BJ257" si="74">IF(AE257="","",1)</f>
        <v/>
      </c>
      <c r="AV257" s="44" t="str">
        <f t="shared" si="74"/>
        <v/>
      </c>
      <c r="AW257" s="44" t="str">
        <f t="shared" si="74"/>
        <v/>
      </c>
      <c r="AX257" s="44" t="str">
        <f t="shared" si="74"/>
        <v/>
      </c>
      <c r="AY257" s="44" t="str">
        <f t="shared" si="74"/>
        <v/>
      </c>
      <c r="AZ257" s="44" t="str">
        <f t="shared" si="74"/>
        <v/>
      </c>
      <c r="BA257" s="44" t="str">
        <f t="shared" si="74"/>
        <v/>
      </c>
      <c r="BB257" s="44" t="str">
        <f t="shared" si="74"/>
        <v/>
      </c>
      <c r="BC257" s="44" t="str">
        <f t="shared" si="74"/>
        <v/>
      </c>
      <c r="BD257" s="44" t="str">
        <f t="shared" si="74"/>
        <v/>
      </c>
      <c r="BE257" s="44" t="str">
        <f t="shared" si="74"/>
        <v/>
      </c>
      <c r="BF257" s="44" t="str">
        <f t="shared" si="74"/>
        <v/>
      </c>
      <c r="BG257" s="44" t="str">
        <f t="shared" si="74"/>
        <v/>
      </c>
      <c r="BH257" s="44" t="str">
        <f t="shared" si="74"/>
        <v/>
      </c>
      <c r="BI257" s="44" t="str">
        <f t="shared" si="74"/>
        <v/>
      </c>
      <c r="BJ257" s="44" t="str">
        <f t="shared" si="74"/>
        <v/>
      </c>
      <c r="BK257" s="62"/>
      <c r="CA257" s="44">
        <f t="shared" si="66"/>
        <v>0</v>
      </c>
      <c r="CB257" s="44">
        <v>1000</v>
      </c>
      <c r="CC257" s="44">
        <v>0</v>
      </c>
      <c r="CD257" s="44">
        <v>0</v>
      </c>
      <c r="CE257" s="44">
        <v>0</v>
      </c>
      <c r="CF257" s="44">
        <v>0</v>
      </c>
      <c r="CG257" s="44">
        <v>0</v>
      </c>
      <c r="CH257" s="44">
        <f t="shared" si="72"/>
        <v>1</v>
      </c>
      <c r="CI257" s="44">
        <v>1</v>
      </c>
      <c r="CJ257" s="44">
        <v>0</v>
      </c>
      <c r="CK257" s="44">
        <v>0</v>
      </c>
      <c r="CL257" s="44">
        <v>0</v>
      </c>
      <c r="CM257" s="44">
        <v>0</v>
      </c>
      <c r="CN257" s="44">
        <v>0</v>
      </c>
      <c r="CO257" s="44">
        <v>0</v>
      </c>
      <c r="CP257" s="44">
        <v>0</v>
      </c>
      <c r="CQ257" s="44">
        <v>0</v>
      </c>
      <c r="CR257" s="44">
        <v>0</v>
      </c>
      <c r="CV257" s="44">
        <v>0</v>
      </c>
      <c r="CW257" s="44">
        <v>0</v>
      </c>
    </row>
    <row r="258" s="44" customFormat="1" customHeight="1" spans="1:101">
      <c r="A258" s="45">
        <v>5700</v>
      </c>
      <c r="B258" s="79" t="s">
        <v>424</v>
      </c>
      <c r="H258" s="44" t="s">
        <v>425</v>
      </c>
      <c r="I258" s="44" t="s">
        <v>116</v>
      </c>
      <c r="K258" s="44" t="s">
        <v>116</v>
      </c>
      <c r="O258" s="77"/>
      <c r="P258" s="77"/>
      <c r="Q258" s="77"/>
      <c r="R258" s="77"/>
      <c r="S258" s="64"/>
      <c r="T258" s="64"/>
      <c r="U258" s="64"/>
      <c r="V258" s="64"/>
      <c r="W258" s="63"/>
      <c r="X258" s="63"/>
      <c r="Y258" s="63"/>
      <c r="Z258" s="63"/>
      <c r="AA258" s="78"/>
      <c r="AB258" s="78"/>
      <c r="AC258" s="78"/>
      <c r="AD258" s="78"/>
      <c r="AE258" s="48" t="s">
        <v>116</v>
      </c>
      <c r="AF258" s="44" t="s">
        <v>116</v>
      </c>
      <c r="AG258" s="44" t="s">
        <v>116</v>
      </c>
      <c r="AH258" s="44" t="s">
        <v>116</v>
      </c>
      <c r="AI258" s="44" t="s">
        <v>116</v>
      </c>
      <c r="AJ258" s="44" t="s">
        <v>116</v>
      </c>
      <c r="AK258" s="44" t="s">
        <v>116</v>
      </c>
      <c r="AL258" s="44" t="s">
        <v>116</v>
      </c>
      <c r="AM258" s="44" t="s">
        <v>116</v>
      </c>
      <c r="AN258" s="44" t="s">
        <v>116</v>
      </c>
      <c r="AO258" s="44" t="s">
        <v>116</v>
      </c>
      <c r="AP258" s="44" t="s">
        <v>116</v>
      </c>
      <c r="AQ258" s="44" t="s">
        <v>116</v>
      </c>
      <c r="AR258" s="44" t="s">
        <v>116</v>
      </c>
      <c r="AS258" s="44" t="s">
        <v>116</v>
      </c>
      <c r="AT258" s="44" t="s">
        <v>116</v>
      </c>
      <c r="AU258" s="62" t="str">
        <f t="shared" ref="AU258:BJ258" si="75">IF(AE258="","",1)</f>
        <v/>
      </c>
      <c r="AV258" s="44" t="str">
        <f t="shared" si="75"/>
        <v/>
      </c>
      <c r="AW258" s="44" t="str">
        <f t="shared" si="75"/>
        <v/>
      </c>
      <c r="AX258" s="44" t="str">
        <f t="shared" si="75"/>
        <v/>
      </c>
      <c r="AY258" s="44" t="str">
        <f t="shared" si="75"/>
        <v/>
      </c>
      <c r="AZ258" s="44" t="str">
        <f t="shared" si="75"/>
        <v/>
      </c>
      <c r="BA258" s="44" t="str">
        <f t="shared" si="75"/>
        <v/>
      </c>
      <c r="BB258" s="44" t="str">
        <f t="shared" si="75"/>
        <v/>
      </c>
      <c r="BC258" s="44" t="str">
        <f t="shared" si="75"/>
        <v/>
      </c>
      <c r="BD258" s="44" t="str">
        <f t="shared" si="75"/>
        <v/>
      </c>
      <c r="BE258" s="44" t="str">
        <f t="shared" si="75"/>
        <v/>
      </c>
      <c r="BF258" s="44" t="str">
        <f t="shared" si="75"/>
        <v/>
      </c>
      <c r="BG258" s="44" t="str">
        <f t="shared" si="75"/>
        <v/>
      </c>
      <c r="BH258" s="44" t="str">
        <f t="shared" si="75"/>
        <v/>
      </c>
      <c r="BI258" s="44" t="str">
        <f t="shared" si="75"/>
        <v/>
      </c>
      <c r="BJ258" s="44" t="str">
        <f t="shared" si="75"/>
        <v/>
      </c>
      <c r="BK258" s="62"/>
      <c r="CA258" s="44">
        <f t="shared" si="66"/>
        <v>0</v>
      </c>
      <c r="CB258" s="44">
        <v>1000</v>
      </c>
      <c r="CC258" s="44">
        <v>0</v>
      </c>
      <c r="CD258" s="44">
        <v>0</v>
      </c>
      <c r="CE258" s="44">
        <v>0</v>
      </c>
      <c r="CF258" s="44">
        <v>0</v>
      </c>
      <c r="CG258" s="44">
        <v>0</v>
      </c>
      <c r="CH258" s="44">
        <f t="shared" si="72"/>
        <v>1</v>
      </c>
      <c r="CI258" s="44">
        <v>1</v>
      </c>
      <c r="CJ258" s="44">
        <v>0</v>
      </c>
      <c r="CK258" s="44">
        <v>0</v>
      </c>
      <c r="CL258" s="44">
        <v>0</v>
      </c>
      <c r="CM258" s="44">
        <v>0</v>
      </c>
      <c r="CN258" s="44">
        <v>0</v>
      </c>
      <c r="CO258" s="44">
        <v>0</v>
      </c>
      <c r="CP258" s="44">
        <v>0</v>
      </c>
      <c r="CQ258" s="44">
        <v>0</v>
      </c>
      <c r="CR258" s="44">
        <v>0</v>
      </c>
      <c r="CV258" s="44">
        <v>0</v>
      </c>
      <c r="CW258" s="44">
        <v>0</v>
      </c>
    </row>
    <row r="259" s="48" customFormat="1" customHeight="1" spans="1:101">
      <c r="A259" s="95">
        <v>5710</v>
      </c>
      <c r="B259" s="80" t="s">
        <v>426</v>
      </c>
      <c r="H259" s="48" t="s">
        <v>427</v>
      </c>
      <c r="I259" s="48" t="s">
        <v>116</v>
      </c>
      <c r="K259" s="48" t="s">
        <v>116</v>
      </c>
      <c r="O259" s="77"/>
      <c r="P259" s="77"/>
      <c r="Q259" s="77"/>
      <c r="R259" s="77"/>
      <c r="S259" s="64"/>
      <c r="T259" s="64"/>
      <c r="U259" s="64"/>
      <c r="V259" s="64"/>
      <c r="W259" s="63"/>
      <c r="X259" s="63"/>
      <c r="Y259" s="63"/>
      <c r="Z259" s="63"/>
      <c r="AA259" s="78"/>
      <c r="AB259" s="78"/>
      <c r="AC259" s="78"/>
      <c r="AD259" s="78"/>
      <c r="AE259" s="48" t="s">
        <v>116</v>
      </c>
      <c r="AF259" s="48" t="s">
        <v>116</v>
      </c>
      <c r="AG259" s="48" t="s">
        <v>116</v>
      </c>
      <c r="AH259" s="48" t="s">
        <v>116</v>
      </c>
      <c r="AI259" s="48" t="s">
        <v>116</v>
      </c>
      <c r="AJ259" s="48" t="s">
        <v>116</v>
      </c>
      <c r="AK259" s="48" t="s">
        <v>116</v>
      </c>
      <c r="AL259" s="48" t="s">
        <v>116</v>
      </c>
      <c r="AM259" s="48" t="s">
        <v>116</v>
      </c>
      <c r="AN259" s="48" t="s">
        <v>116</v>
      </c>
      <c r="AO259" s="48" t="s">
        <v>116</v>
      </c>
      <c r="AP259" s="48" t="s">
        <v>116</v>
      </c>
      <c r="AQ259" s="48" t="s">
        <v>116</v>
      </c>
      <c r="AR259" s="48" t="s">
        <v>116</v>
      </c>
      <c r="AS259" s="48" t="s">
        <v>116</v>
      </c>
      <c r="AT259" s="48" t="s">
        <v>116</v>
      </c>
      <c r="AU259" s="62" t="str">
        <f t="shared" ref="AU259:BJ259" si="76">IF(AE259="","",1)</f>
        <v/>
      </c>
      <c r="AV259" s="48" t="str">
        <f t="shared" si="76"/>
        <v/>
      </c>
      <c r="AW259" s="48" t="str">
        <f t="shared" si="76"/>
        <v/>
      </c>
      <c r="AX259" s="48" t="str">
        <f t="shared" si="76"/>
        <v/>
      </c>
      <c r="AY259" s="48" t="str">
        <f t="shared" si="76"/>
        <v/>
      </c>
      <c r="AZ259" s="48" t="str">
        <f t="shared" si="76"/>
        <v/>
      </c>
      <c r="BA259" s="48" t="str">
        <f t="shared" si="76"/>
        <v/>
      </c>
      <c r="BB259" s="48" t="str">
        <f t="shared" si="76"/>
        <v/>
      </c>
      <c r="BC259" s="48" t="str">
        <f t="shared" si="76"/>
        <v/>
      </c>
      <c r="BD259" s="48" t="str">
        <f t="shared" si="76"/>
        <v/>
      </c>
      <c r="BE259" s="48" t="str">
        <f t="shared" si="76"/>
        <v/>
      </c>
      <c r="BF259" s="48" t="str">
        <f t="shared" si="76"/>
        <v/>
      </c>
      <c r="BG259" s="48" t="str">
        <f t="shared" si="76"/>
        <v/>
      </c>
      <c r="BH259" s="48" t="str">
        <f t="shared" si="76"/>
        <v/>
      </c>
      <c r="BI259" s="48" t="str">
        <f t="shared" si="76"/>
        <v/>
      </c>
      <c r="BJ259" s="48" t="str">
        <f t="shared" si="76"/>
        <v/>
      </c>
      <c r="BK259" s="62"/>
      <c r="CA259" s="48">
        <f t="shared" si="66"/>
        <v>0</v>
      </c>
      <c r="CB259" s="48">
        <v>1000</v>
      </c>
      <c r="CC259" s="48">
        <v>0</v>
      </c>
      <c r="CD259" s="48">
        <v>0</v>
      </c>
      <c r="CE259" s="48">
        <v>0</v>
      </c>
      <c r="CF259" s="48">
        <v>0</v>
      </c>
      <c r="CG259" s="48">
        <v>0</v>
      </c>
      <c r="CH259" s="48">
        <f t="shared" si="72"/>
        <v>0</v>
      </c>
      <c r="CI259" s="48">
        <v>1</v>
      </c>
      <c r="CJ259" s="48">
        <v>0</v>
      </c>
      <c r="CK259" s="48">
        <v>0</v>
      </c>
      <c r="CL259" s="48">
        <v>0</v>
      </c>
      <c r="CM259" s="48">
        <v>0</v>
      </c>
      <c r="CN259" s="48">
        <v>0</v>
      </c>
      <c r="CO259" s="48">
        <v>0</v>
      </c>
      <c r="CP259" s="48">
        <v>0</v>
      </c>
      <c r="CQ259" s="48">
        <v>0</v>
      </c>
      <c r="CR259" s="48">
        <v>0</v>
      </c>
      <c r="CV259" s="48">
        <v>0</v>
      </c>
      <c r="CW259" s="48">
        <v>0</v>
      </c>
    </row>
    <row r="260" s="48" customFormat="1" customHeight="1" spans="1:101">
      <c r="A260" s="95">
        <v>5711</v>
      </c>
      <c r="B260" s="80" t="s">
        <v>428</v>
      </c>
      <c r="H260" s="48" t="s">
        <v>427</v>
      </c>
      <c r="I260" s="48" t="s">
        <v>116</v>
      </c>
      <c r="K260" s="48" t="s">
        <v>116</v>
      </c>
      <c r="O260" s="77"/>
      <c r="P260" s="77"/>
      <c r="Q260" s="77"/>
      <c r="R260" s="77"/>
      <c r="S260" s="64"/>
      <c r="T260" s="64"/>
      <c r="U260" s="64"/>
      <c r="V260" s="64"/>
      <c r="W260" s="63"/>
      <c r="X260" s="63"/>
      <c r="Y260" s="63"/>
      <c r="Z260" s="63"/>
      <c r="AA260" s="78"/>
      <c r="AB260" s="78"/>
      <c r="AC260" s="78"/>
      <c r="AD260" s="78"/>
      <c r="AE260" s="48">
        <v>200871</v>
      </c>
      <c r="AF260" s="49">
        <v>200849</v>
      </c>
      <c r="AG260" s="49">
        <v>200850</v>
      </c>
      <c r="AH260" s="49">
        <v>200851</v>
      </c>
      <c r="AI260" s="49">
        <v>200852</v>
      </c>
      <c r="AJ260" s="49">
        <v>200853</v>
      </c>
      <c r="AK260" s="49">
        <v>200854</v>
      </c>
      <c r="AL260" s="49">
        <v>200855</v>
      </c>
      <c r="AM260" s="49">
        <v>200856</v>
      </c>
      <c r="AN260" s="49">
        <v>200857</v>
      </c>
      <c r="AO260" s="48">
        <v>200303</v>
      </c>
      <c r="AP260" s="48" t="s">
        <v>116</v>
      </c>
      <c r="AQ260" s="48" t="s">
        <v>116</v>
      </c>
      <c r="AR260" s="48" t="s">
        <v>116</v>
      </c>
      <c r="AS260" s="48" t="s">
        <v>116</v>
      </c>
      <c r="AT260" s="48" t="s">
        <v>116</v>
      </c>
      <c r="AU260" s="62">
        <f t="shared" ref="AU260:BJ260" si="77">IF(AE260="","",1)</f>
        <v>1</v>
      </c>
      <c r="AV260" s="48">
        <f t="shared" si="77"/>
        <v>1</v>
      </c>
      <c r="AW260" s="48">
        <f t="shared" si="77"/>
        <v>1</v>
      </c>
      <c r="AX260" s="48">
        <f t="shared" si="77"/>
        <v>1</v>
      </c>
      <c r="AY260" s="48">
        <f t="shared" si="77"/>
        <v>1</v>
      </c>
      <c r="AZ260" s="48">
        <f t="shared" si="77"/>
        <v>1</v>
      </c>
      <c r="BA260" s="48">
        <f t="shared" si="77"/>
        <v>1</v>
      </c>
      <c r="BB260" s="48">
        <f t="shared" si="77"/>
        <v>1</v>
      </c>
      <c r="BC260" s="48">
        <f t="shared" si="77"/>
        <v>1</v>
      </c>
      <c r="BD260" s="48">
        <f t="shared" si="77"/>
        <v>1</v>
      </c>
      <c r="BE260" s="48">
        <f t="shared" si="77"/>
        <v>1</v>
      </c>
      <c r="BF260" s="48" t="str">
        <f t="shared" si="77"/>
        <v/>
      </c>
      <c r="BG260" s="48" t="str">
        <f t="shared" si="77"/>
        <v/>
      </c>
      <c r="BH260" s="48" t="str">
        <f t="shared" si="77"/>
        <v/>
      </c>
      <c r="BI260" s="48" t="str">
        <f t="shared" si="77"/>
        <v/>
      </c>
      <c r="BJ260" s="48" t="str">
        <f t="shared" si="77"/>
        <v/>
      </c>
      <c r="BK260" s="62">
        <v>50</v>
      </c>
      <c r="BL260" s="48">
        <v>50</v>
      </c>
      <c r="BM260" s="48">
        <v>50</v>
      </c>
      <c r="BN260" s="48">
        <v>50</v>
      </c>
      <c r="BO260" s="48">
        <v>50</v>
      </c>
      <c r="BP260" s="48">
        <v>50</v>
      </c>
      <c r="BQ260" s="48">
        <v>50</v>
      </c>
      <c r="BR260" s="48">
        <v>50</v>
      </c>
      <c r="BS260" s="48">
        <v>50</v>
      </c>
      <c r="BT260" s="48">
        <v>50</v>
      </c>
      <c r="BU260" s="48">
        <v>50</v>
      </c>
      <c r="CA260" s="48">
        <f t="shared" si="66"/>
        <v>550</v>
      </c>
      <c r="CB260" s="48">
        <v>1000</v>
      </c>
      <c r="CC260" s="48">
        <v>0</v>
      </c>
      <c r="CD260" s="48">
        <v>0</v>
      </c>
      <c r="CE260" s="48">
        <v>0</v>
      </c>
      <c r="CF260" s="48">
        <v>0</v>
      </c>
      <c r="CG260" s="48">
        <v>0</v>
      </c>
      <c r="CH260" s="48">
        <f t="shared" si="72"/>
        <v>0</v>
      </c>
      <c r="CI260" s="48">
        <v>1</v>
      </c>
      <c r="CJ260" s="48">
        <v>0</v>
      </c>
      <c r="CK260" s="48">
        <v>0</v>
      </c>
      <c r="CL260" s="48">
        <v>0</v>
      </c>
      <c r="CM260" s="48">
        <v>0</v>
      </c>
      <c r="CN260" s="48">
        <v>0</v>
      </c>
      <c r="CO260" s="48">
        <v>0</v>
      </c>
      <c r="CP260" s="48">
        <v>0</v>
      </c>
      <c r="CQ260" s="48">
        <v>0</v>
      </c>
      <c r="CR260" s="48">
        <v>0</v>
      </c>
      <c r="CV260" s="48">
        <v>0</v>
      </c>
      <c r="CW260" s="48">
        <v>0</v>
      </c>
    </row>
    <row r="261" s="44" customFormat="1" customHeight="1" spans="1:101">
      <c r="A261" s="45">
        <v>5720</v>
      </c>
      <c r="B261" s="79" t="s">
        <v>429</v>
      </c>
      <c r="H261" s="44" t="s">
        <v>430</v>
      </c>
      <c r="I261" s="44" t="s">
        <v>116</v>
      </c>
      <c r="K261" s="44" t="s">
        <v>116</v>
      </c>
      <c r="O261" s="77">
        <v>200238</v>
      </c>
      <c r="P261" s="77">
        <v>1</v>
      </c>
      <c r="Q261" s="77">
        <v>0</v>
      </c>
      <c r="R261" s="77">
        <v>0</v>
      </c>
      <c r="S261" s="64"/>
      <c r="T261" s="64"/>
      <c r="U261" s="64"/>
      <c r="V261" s="64"/>
      <c r="W261" s="63"/>
      <c r="X261" s="63"/>
      <c r="Y261" s="63"/>
      <c r="Z261" s="63"/>
      <c r="AA261" s="78"/>
      <c r="AB261" s="78"/>
      <c r="AC261" s="78"/>
      <c r="AD261" s="78"/>
      <c r="AE261" s="48" t="s">
        <v>116</v>
      </c>
      <c r="AF261" s="44" t="s">
        <v>116</v>
      </c>
      <c r="AG261" s="44" t="s">
        <v>116</v>
      </c>
      <c r="AH261" s="44" t="s">
        <v>116</v>
      </c>
      <c r="AI261" s="44" t="s">
        <v>116</v>
      </c>
      <c r="AJ261" s="44" t="s">
        <v>116</v>
      </c>
      <c r="AK261" s="44" t="s">
        <v>116</v>
      </c>
      <c r="AL261" s="44" t="s">
        <v>116</v>
      </c>
      <c r="AM261" s="44" t="s">
        <v>116</v>
      </c>
      <c r="AN261" s="44" t="s">
        <v>116</v>
      </c>
      <c r="AO261" s="44" t="s">
        <v>116</v>
      </c>
      <c r="AP261" s="44" t="s">
        <v>116</v>
      </c>
      <c r="AQ261" s="44" t="s">
        <v>116</v>
      </c>
      <c r="AR261" s="44" t="s">
        <v>116</v>
      </c>
      <c r="AS261" s="44" t="s">
        <v>116</v>
      </c>
      <c r="AT261" s="44" t="s">
        <v>116</v>
      </c>
      <c r="AU261" s="62" t="str">
        <f t="shared" ref="AU261:BJ261" si="78">IF(AE261="","",1)</f>
        <v/>
      </c>
      <c r="AV261" s="44" t="str">
        <f t="shared" si="78"/>
        <v/>
      </c>
      <c r="AW261" s="44" t="str">
        <f t="shared" si="78"/>
        <v/>
      </c>
      <c r="AX261" s="44" t="str">
        <f t="shared" si="78"/>
        <v/>
      </c>
      <c r="AY261" s="44" t="str">
        <f t="shared" si="78"/>
        <v/>
      </c>
      <c r="AZ261" s="44" t="str">
        <f t="shared" si="78"/>
        <v/>
      </c>
      <c r="BA261" s="44" t="str">
        <f t="shared" si="78"/>
        <v/>
      </c>
      <c r="BB261" s="44" t="str">
        <f t="shared" si="78"/>
        <v/>
      </c>
      <c r="BC261" s="44" t="str">
        <f t="shared" si="78"/>
        <v/>
      </c>
      <c r="BD261" s="44" t="str">
        <f t="shared" si="78"/>
        <v/>
      </c>
      <c r="BE261" s="44" t="str">
        <f t="shared" si="78"/>
        <v/>
      </c>
      <c r="BF261" s="44" t="str">
        <f t="shared" si="78"/>
        <v/>
      </c>
      <c r="BG261" s="44" t="str">
        <f t="shared" si="78"/>
        <v/>
      </c>
      <c r="BH261" s="44" t="str">
        <f t="shared" si="78"/>
        <v/>
      </c>
      <c r="BI261" s="44" t="str">
        <f t="shared" si="78"/>
        <v/>
      </c>
      <c r="BJ261" s="44" t="str">
        <f t="shared" si="78"/>
        <v/>
      </c>
      <c r="BK261" s="62"/>
      <c r="CA261" s="44">
        <v>1000</v>
      </c>
      <c r="CB261" s="44">
        <v>1000</v>
      </c>
      <c r="CC261" s="44">
        <v>0</v>
      </c>
      <c r="CD261" s="44">
        <v>0</v>
      </c>
      <c r="CE261" s="44">
        <v>0</v>
      </c>
      <c r="CF261" s="44">
        <v>0</v>
      </c>
      <c r="CG261" s="44">
        <v>0</v>
      </c>
      <c r="CH261" s="44">
        <f t="shared" ref="CH261:CH279" si="79">IF(RIGHT(B261,1)="0",1,0)</f>
        <v>0</v>
      </c>
      <c r="CI261" s="44">
        <v>1</v>
      </c>
      <c r="CJ261" s="44">
        <v>0</v>
      </c>
      <c r="CK261" s="44">
        <v>0</v>
      </c>
      <c r="CL261" s="44">
        <v>0</v>
      </c>
      <c r="CM261" s="44">
        <v>0</v>
      </c>
      <c r="CN261" s="44">
        <v>0</v>
      </c>
      <c r="CO261" s="44">
        <v>0</v>
      </c>
      <c r="CP261" s="44">
        <v>0</v>
      </c>
      <c r="CQ261" s="44">
        <v>0</v>
      </c>
      <c r="CR261" s="44">
        <v>0</v>
      </c>
      <c r="CV261" s="44">
        <v>0</v>
      </c>
      <c r="CW261" s="44">
        <v>0</v>
      </c>
    </row>
    <row r="262" s="44" customFormat="1" customHeight="1" spans="1:101">
      <c r="A262" s="45">
        <v>5721</v>
      </c>
      <c r="B262" s="79" t="s">
        <v>431</v>
      </c>
      <c r="H262" s="44" t="s">
        <v>430</v>
      </c>
      <c r="I262" s="44" t="s">
        <v>116</v>
      </c>
      <c r="K262" s="44" t="s">
        <v>116</v>
      </c>
      <c r="O262" s="77">
        <v>200239</v>
      </c>
      <c r="P262" s="77">
        <v>1</v>
      </c>
      <c r="Q262" s="77">
        <v>0</v>
      </c>
      <c r="R262" s="77">
        <v>0</v>
      </c>
      <c r="S262" s="64"/>
      <c r="T262" s="64"/>
      <c r="U262" s="64"/>
      <c r="V262" s="64"/>
      <c r="W262" s="63"/>
      <c r="X262" s="63"/>
      <c r="Y262" s="63"/>
      <c r="Z262" s="63"/>
      <c r="AA262" s="78"/>
      <c r="AB262" s="78"/>
      <c r="AC262" s="78"/>
      <c r="AD262" s="78"/>
      <c r="AE262" s="48" t="s">
        <v>116</v>
      </c>
      <c r="AF262" s="44" t="s">
        <v>116</v>
      </c>
      <c r="AG262" s="44" t="s">
        <v>116</v>
      </c>
      <c r="AH262" s="44" t="s">
        <v>116</v>
      </c>
      <c r="AI262" s="44" t="s">
        <v>116</v>
      </c>
      <c r="AJ262" s="44" t="s">
        <v>116</v>
      </c>
      <c r="AK262" s="44" t="s">
        <v>116</v>
      </c>
      <c r="AL262" s="44" t="s">
        <v>116</v>
      </c>
      <c r="AM262" s="44" t="s">
        <v>116</v>
      </c>
      <c r="AN262" s="44" t="s">
        <v>116</v>
      </c>
      <c r="AO262" s="44" t="s">
        <v>116</v>
      </c>
      <c r="AP262" s="44" t="s">
        <v>116</v>
      </c>
      <c r="AQ262" s="44" t="s">
        <v>116</v>
      </c>
      <c r="AR262" s="44" t="s">
        <v>116</v>
      </c>
      <c r="AS262" s="44" t="s">
        <v>116</v>
      </c>
      <c r="AT262" s="44" t="s">
        <v>116</v>
      </c>
      <c r="AU262" s="62" t="str">
        <f t="shared" ref="AU262:BJ262" si="80">IF(AE262="","",1)</f>
        <v/>
      </c>
      <c r="AV262" s="44" t="str">
        <f t="shared" si="80"/>
        <v/>
      </c>
      <c r="AW262" s="44" t="str">
        <f t="shared" si="80"/>
        <v/>
      </c>
      <c r="AX262" s="44" t="str">
        <f t="shared" si="80"/>
        <v/>
      </c>
      <c r="AY262" s="44" t="str">
        <f t="shared" si="80"/>
        <v/>
      </c>
      <c r="AZ262" s="44" t="str">
        <f t="shared" si="80"/>
        <v/>
      </c>
      <c r="BA262" s="44" t="str">
        <f t="shared" si="80"/>
        <v/>
      </c>
      <c r="BB262" s="44" t="str">
        <f t="shared" si="80"/>
        <v/>
      </c>
      <c r="BC262" s="44" t="str">
        <f t="shared" si="80"/>
        <v/>
      </c>
      <c r="BD262" s="44" t="str">
        <f t="shared" si="80"/>
        <v/>
      </c>
      <c r="BE262" s="44" t="str">
        <f t="shared" si="80"/>
        <v/>
      </c>
      <c r="BF262" s="44" t="str">
        <f t="shared" si="80"/>
        <v/>
      </c>
      <c r="BG262" s="44" t="str">
        <f t="shared" si="80"/>
        <v/>
      </c>
      <c r="BH262" s="44" t="str">
        <f t="shared" si="80"/>
        <v/>
      </c>
      <c r="BI262" s="44" t="str">
        <f t="shared" si="80"/>
        <v/>
      </c>
      <c r="BJ262" s="44" t="str">
        <f t="shared" si="80"/>
        <v/>
      </c>
      <c r="BK262" s="62"/>
      <c r="CA262" s="44">
        <v>1000</v>
      </c>
      <c r="CB262" s="44">
        <v>1000</v>
      </c>
      <c r="CC262" s="44">
        <v>0</v>
      </c>
      <c r="CD262" s="44">
        <v>0</v>
      </c>
      <c r="CE262" s="44">
        <v>0</v>
      </c>
      <c r="CF262" s="44">
        <v>0</v>
      </c>
      <c r="CG262" s="44">
        <v>0</v>
      </c>
      <c r="CH262" s="44">
        <f t="shared" si="79"/>
        <v>0</v>
      </c>
      <c r="CI262" s="44">
        <v>1</v>
      </c>
      <c r="CJ262" s="44">
        <v>0</v>
      </c>
      <c r="CK262" s="44">
        <v>0</v>
      </c>
      <c r="CL262" s="44">
        <v>0</v>
      </c>
      <c r="CM262" s="44">
        <v>0</v>
      </c>
      <c r="CN262" s="44">
        <v>0</v>
      </c>
      <c r="CO262" s="44">
        <v>0</v>
      </c>
      <c r="CP262" s="44">
        <v>0</v>
      </c>
      <c r="CQ262" s="44">
        <v>0</v>
      </c>
      <c r="CR262" s="44">
        <v>0</v>
      </c>
      <c r="CV262" s="44">
        <v>1</v>
      </c>
      <c r="CW262" s="44">
        <v>1</v>
      </c>
    </row>
    <row r="263" s="44" customFormat="1" customHeight="1" spans="1:101">
      <c r="A263" s="45">
        <v>5730</v>
      </c>
      <c r="B263" s="79" t="s">
        <v>432</v>
      </c>
      <c r="H263" s="44" t="s">
        <v>433</v>
      </c>
      <c r="I263" s="44" t="s">
        <v>116</v>
      </c>
      <c r="O263" s="77"/>
      <c r="P263" s="77"/>
      <c r="Q263" s="77"/>
      <c r="R263" s="77"/>
      <c r="S263" s="64"/>
      <c r="T263" s="64"/>
      <c r="U263" s="64"/>
      <c r="V263" s="64"/>
      <c r="W263" s="63"/>
      <c r="X263" s="63"/>
      <c r="Y263" s="63"/>
      <c r="Z263" s="63"/>
      <c r="AA263" s="78"/>
      <c r="AB263" s="78"/>
      <c r="AC263" s="78"/>
      <c r="AD263" s="78"/>
      <c r="AE263" s="48" t="s">
        <v>116</v>
      </c>
      <c r="AF263" s="44" t="s">
        <v>116</v>
      </c>
      <c r="AG263" s="44" t="s">
        <v>116</v>
      </c>
      <c r="AH263" s="44" t="s">
        <v>116</v>
      </c>
      <c r="AI263" s="44" t="s">
        <v>116</v>
      </c>
      <c r="AJ263" s="44" t="s">
        <v>116</v>
      </c>
      <c r="AK263" s="44" t="s">
        <v>116</v>
      </c>
      <c r="AL263" s="44" t="s">
        <v>116</v>
      </c>
      <c r="AM263" s="44" t="s">
        <v>116</v>
      </c>
      <c r="AN263" s="44" t="s">
        <v>116</v>
      </c>
      <c r="AO263" s="44" t="s">
        <v>116</v>
      </c>
      <c r="AP263" s="44" t="s">
        <v>116</v>
      </c>
      <c r="AQ263" s="44" t="s">
        <v>116</v>
      </c>
      <c r="AR263" s="44" t="s">
        <v>116</v>
      </c>
      <c r="AS263" s="44" t="s">
        <v>116</v>
      </c>
      <c r="AT263" s="44" t="s">
        <v>116</v>
      </c>
      <c r="AU263" s="62" t="str">
        <f t="shared" ref="AU263:BJ263" si="81">IF(AE263="","",1)</f>
        <v/>
      </c>
      <c r="AV263" s="44" t="str">
        <f t="shared" si="81"/>
        <v/>
      </c>
      <c r="AW263" s="44" t="str">
        <f t="shared" si="81"/>
        <v/>
      </c>
      <c r="AX263" s="44" t="str">
        <f t="shared" si="81"/>
        <v/>
      </c>
      <c r="AY263" s="44" t="str">
        <f t="shared" si="81"/>
        <v/>
      </c>
      <c r="AZ263" s="44" t="str">
        <f t="shared" si="81"/>
        <v/>
      </c>
      <c r="BA263" s="44" t="str">
        <f t="shared" si="81"/>
        <v/>
      </c>
      <c r="BB263" s="44" t="str">
        <f t="shared" si="81"/>
        <v/>
      </c>
      <c r="BC263" s="44" t="str">
        <f t="shared" si="81"/>
        <v/>
      </c>
      <c r="BD263" s="44" t="str">
        <f t="shared" si="81"/>
        <v/>
      </c>
      <c r="BE263" s="44" t="str">
        <f t="shared" si="81"/>
        <v/>
      </c>
      <c r="BF263" s="44" t="str">
        <f t="shared" si="81"/>
        <v/>
      </c>
      <c r="BG263" s="44" t="str">
        <f t="shared" si="81"/>
        <v/>
      </c>
      <c r="BH263" s="44" t="str">
        <f t="shared" si="81"/>
        <v/>
      </c>
      <c r="BI263" s="44" t="str">
        <f t="shared" si="81"/>
        <v/>
      </c>
      <c r="BJ263" s="44" t="str">
        <f t="shared" si="81"/>
        <v/>
      </c>
      <c r="BK263" s="62"/>
      <c r="CA263" s="44">
        <f t="shared" ref="CA263:CA280" si="82">SUM(BK263:BZ263)</f>
        <v>0</v>
      </c>
      <c r="CB263" s="44">
        <v>1000</v>
      </c>
      <c r="CC263" s="44">
        <v>0</v>
      </c>
      <c r="CD263" s="44">
        <v>0</v>
      </c>
      <c r="CE263" s="44">
        <v>0</v>
      </c>
      <c r="CF263" s="44">
        <v>0</v>
      </c>
      <c r="CG263" s="44">
        <v>0</v>
      </c>
      <c r="CH263" s="44">
        <f t="shared" si="79"/>
        <v>1</v>
      </c>
      <c r="CI263" s="44">
        <v>1</v>
      </c>
      <c r="CJ263" s="44">
        <v>0</v>
      </c>
      <c r="CK263" s="44">
        <v>0</v>
      </c>
      <c r="CL263" s="44">
        <v>0</v>
      </c>
      <c r="CM263" s="44">
        <v>0</v>
      </c>
      <c r="CN263" s="44">
        <v>0</v>
      </c>
      <c r="CO263" s="44">
        <v>0</v>
      </c>
      <c r="CP263" s="44">
        <v>0</v>
      </c>
      <c r="CQ263" s="44">
        <v>0</v>
      </c>
      <c r="CR263" s="44">
        <v>0</v>
      </c>
      <c r="CV263" s="44">
        <v>0</v>
      </c>
      <c r="CW263" s="44">
        <v>0</v>
      </c>
    </row>
    <row r="264" s="44" customFormat="1" customHeight="1" spans="1:101">
      <c r="A264" s="45">
        <v>5731</v>
      </c>
      <c r="B264" s="79" t="s">
        <v>434</v>
      </c>
      <c r="H264" s="44" t="s">
        <v>435</v>
      </c>
      <c r="I264" s="44" t="s">
        <v>116</v>
      </c>
      <c r="K264" s="44" t="s">
        <v>116</v>
      </c>
      <c r="O264" s="77"/>
      <c r="P264" s="77"/>
      <c r="Q264" s="77"/>
      <c r="R264" s="77"/>
      <c r="S264" s="64"/>
      <c r="T264" s="64"/>
      <c r="U264" s="64"/>
      <c r="V264" s="64"/>
      <c r="W264" s="63"/>
      <c r="X264" s="63"/>
      <c r="Y264" s="63"/>
      <c r="Z264" s="63"/>
      <c r="AA264" s="78"/>
      <c r="AB264" s="78"/>
      <c r="AC264" s="78"/>
      <c r="AD264" s="78"/>
      <c r="AE264" s="48" t="s">
        <v>116</v>
      </c>
      <c r="AF264" s="44" t="s">
        <v>116</v>
      </c>
      <c r="AG264" s="44" t="s">
        <v>116</v>
      </c>
      <c r="AH264" s="44" t="s">
        <v>116</v>
      </c>
      <c r="AI264" s="44" t="s">
        <v>116</v>
      </c>
      <c r="AJ264" s="44" t="s">
        <v>116</v>
      </c>
      <c r="AK264" s="44" t="s">
        <v>116</v>
      </c>
      <c r="AL264" s="44" t="s">
        <v>116</v>
      </c>
      <c r="AM264" s="44" t="s">
        <v>116</v>
      </c>
      <c r="AN264" s="44" t="s">
        <v>116</v>
      </c>
      <c r="AO264" s="44" t="s">
        <v>116</v>
      </c>
      <c r="AP264" s="44" t="s">
        <v>116</v>
      </c>
      <c r="AQ264" s="44" t="s">
        <v>116</v>
      </c>
      <c r="AR264" s="44" t="s">
        <v>116</v>
      </c>
      <c r="AS264" s="44" t="s">
        <v>116</v>
      </c>
      <c r="AT264" s="44" t="s">
        <v>116</v>
      </c>
      <c r="AU264" s="62" t="str">
        <f t="shared" ref="AU264:BJ264" si="83">IF(AE264="","",1)</f>
        <v/>
      </c>
      <c r="AV264" s="44" t="str">
        <f t="shared" si="83"/>
        <v/>
      </c>
      <c r="AW264" s="44" t="str">
        <f t="shared" si="83"/>
        <v/>
      </c>
      <c r="AX264" s="44" t="str">
        <f t="shared" si="83"/>
        <v/>
      </c>
      <c r="AY264" s="44" t="str">
        <f t="shared" si="83"/>
        <v/>
      </c>
      <c r="AZ264" s="44" t="str">
        <f t="shared" si="83"/>
        <v/>
      </c>
      <c r="BA264" s="44" t="str">
        <f t="shared" si="83"/>
        <v/>
      </c>
      <c r="BB264" s="44" t="str">
        <f t="shared" si="83"/>
        <v/>
      </c>
      <c r="BC264" s="44" t="str">
        <f t="shared" si="83"/>
        <v/>
      </c>
      <c r="BD264" s="44" t="str">
        <f t="shared" si="83"/>
        <v/>
      </c>
      <c r="BE264" s="44" t="str">
        <f t="shared" si="83"/>
        <v/>
      </c>
      <c r="BF264" s="44" t="str">
        <f t="shared" si="83"/>
        <v/>
      </c>
      <c r="BG264" s="44" t="str">
        <f t="shared" si="83"/>
        <v/>
      </c>
      <c r="BH264" s="44" t="str">
        <f t="shared" si="83"/>
        <v/>
      </c>
      <c r="BI264" s="44" t="str">
        <f t="shared" si="83"/>
        <v/>
      </c>
      <c r="BJ264" s="44" t="str">
        <f t="shared" si="83"/>
        <v/>
      </c>
      <c r="BK264" s="62"/>
      <c r="CA264" s="44">
        <f t="shared" si="82"/>
        <v>0</v>
      </c>
      <c r="CB264" s="44">
        <v>1000</v>
      </c>
      <c r="CC264" s="44">
        <v>0</v>
      </c>
      <c r="CD264" s="44">
        <v>0</v>
      </c>
      <c r="CE264" s="44">
        <v>0</v>
      </c>
      <c r="CF264" s="44">
        <v>0</v>
      </c>
      <c r="CG264" s="44">
        <v>0</v>
      </c>
      <c r="CH264" s="44">
        <f t="shared" si="79"/>
        <v>1</v>
      </c>
      <c r="CI264" s="44">
        <v>1</v>
      </c>
      <c r="CJ264" s="44">
        <v>0</v>
      </c>
      <c r="CK264" s="44">
        <v>0</v>
      </c>
      <c r="CL264" s="44">
        <v>0</v>
      </c>
      <c r="CM264" s="44">
        <v>0</v>
      </c>
      <c r="CN264" s="44">
        <v>0</v>
      </c>
      <c r="CO264" s="44">
        <v>0</v>
      </c>
      <c r="CP264" s="44">
        <v>0</v>
      </c>
      <c r="CQ264" s="44">
        <v>0</v>
      </c>
      <c r="CR264" s="44">
        <v>0</v>
      </c>
      <c r="CV264" s="44">
        <v>0</v>
      </c>
      <c r="CW264" s="44">
        <v>0</v>
      </c>
    </row>
    <row r="265" s="44" customFormat="1" customHeight="1" spans="1:101">
      <c r="A265" s="45">
        <v>5810</v>
      </c>
      <c r="B265" s="79" t="s">
        <v>436</v>
      </c>
      <c r="H265" s="44" t="s">
        <v>437</v>
      </c>
      <c r="I265" s="44" t="s">
        <v>438</v>
      </c>
      <c r="K265" s="44" t="s">
        <v>439</v>
      </c>
      <c r="O265" s="77"/>
      <c r="P265" s="77"/>
      <c r="Q265" s="77"/>
      <c r="R265" s="77"/>
      <c r="S265" s="64"/>
      <c r="T265" s="64"/>
      <c r="U265" s="64"/>
      <c r="V265" s="64"/>
      <c r="W265" s="63"/>
      <c r="X265" s="63"/>
      <c r="Y265" s="63"/>
      <c r="Z265" s="63"/>
      <c r="AA265" s="78"/>
      <c r="AB265" s="78"/>
      <c r="AC265" s="78"/>
      <c r="AD265" s="78"/>
      <c r="AE265" s="48">
        <v>200066</v>
      </c>
      <c r="AF265" s="44">
        <v>200180</v>
      </c>
      <c r="AG265" s="44" t="s">
        <v>116</v>
      </c>
      <c r="AH265" s="44" t="s">
        <v>116</v>
      </c>
      <c r="AI265" s="44" t="s">
        <v>116</v>
      </c>
      <c r="AJ265" s="44" t="s">
        <v>116</v>
      </c>
      <c r="AK265" s="44" t="s">
        <v>116</v>
      </c>
      <c r="AL265" s="44" t="s">
        <v>116</v>
      </c>
      <c r="AM265" s="44" t="s">
        <v>116</v>
      </c>
      <c r="AN265" s="44" t="s">
        <v>116</v>
      </c>
      <c r="AO265" s="44" t="s">
        <v>116</v>
      </c>
      <c r="AP265" s="44" t="s">
        <v>116</v>
      </c>
      <c r="AQ265" s="44" t="s">
        <v>116</v>
      </c>
      <c r="AR265" s="44" t="s">
        <v>116</v>
      </c>
      <c r="AS265" s="44" t="s">
        <v>116</v>
      </c>
      <c r="AT265" s="44" t="s">
        <v>116</v>
      </c>
      <c r="AU265" s="62">
        <f t="shared" ref="AU265:BJ265" si="84">IF(AE265="","",1)</f>
        <v>1</v>
      </c>
      <c r="AV265" s="44">
        <f t="shared" si="84"/>
        <v>1</v>
      </c>
      <c r="AW265" s="44" t="str">
        <f t="shared" si="84"/>
        <v/>
      </c>
      <c r="AX265" s="44" t="str">
        <f t="shared" si="84"/>
        <v/>
      </c>
      <c r="AY265" s="44" t="str">
        <f t="shared" si="84"/>
        <v/>
      </c>
      <c r="AZ265" s="44" t="str">
        <f t="shared" si="84"/>
        <v/>
      </c>
      <c r="BA265" s="44" t="str">
        <f t="shared" si="84"/>
        <v/>
      </c>
      <c r="BB265" s="44" t="str">
        <f t="shared" si="84"/>
        <v/>
      </c>
      <c r="BC265" s="44" t="str">
        <f t="shared" si="84"/>
        <v/>
      </c>
      <c r="BD265" s="44" t="str">
        <f t="shared" si="84"/>
        <v/>
      </c>
      <c r="BE265" s="44" t="str">
        <f t="shared" si="84"/>
        <v/>
      </c>
      <c r="BF265" s="44" t="str">
        <f t="shared" si="84"/>
        <v/>
      </c>
      <c r="BG265" s="44" t="str">
        <f t="shared" si="84"/>
        <v/>
      </c>
      <c r="BH265" s="44" t="str">
        <f t="shared" si="84"/>
        <v/>
      </c>
      <c r="BI265" s="44" t="str">
        <f t="shared" si="84"/>
        <v/>
      </c>
      <c r="BJ265" s="44" t="str">
        <f t="shared" si="84"/>
        <v/>
      </c>
      <c r="BK265" s="62">
        <v>500</v>
      </c>
      <c r="BL265" s="44">
        <v>500</v>
      </c>
      <c r="CA265" s="44">
        <f t="shared" si="82"/>
        <v>1000</v>
      </c>
      <c r="CB265" s="44">
        <v>1000</v>
      </c>
      <c r="CC265" s="44">
        <v>0</v>
      </c>
      <c r="CD265" s="44">
        <v>0</v>
      </c>
      <c r="CE265" s="44">
        <v>0</v>
      </c>
      <c r="CF265" s="44">
        <v>0</v>
      </c>
      <c r="CG265" s="44">
        <v>0</v>
      </c>
      <c r="CH265" s="44">
        <f t="shared" si="79"/>
        <v>1</v>
      </c>
      <c r="CI265" s="44">
        <v>1</v>
      </c>
      <c r="CJ265" s="44">
        <v>0</v>
      </c>
      <c r="CK265" s="44">
        <v>0</v>
      </c>
      <c r="CL265" s="44">
        <v>0</v>
      </c>
      <c r="CM265" s="44">
        <v>0</v>
      </c>
      <c r="CN265" s="44">
        <v>0</v>
      </c>
      <c r="CO265" s="44">
        <v>0</v>
      </c>
      <c r="CP265" s="44">
        <v>0</v>
      </c>
      <c r="CQ265" s="44">
        <v>0</v>
      </c>
      <c r="CR265" s="44">
        <v>0</v>
      </c>
      <c r="CV265" s="44">
        <v>0</v>
      </c>
      <c r="CW265" s="44">
        <v>0</v>
      </c>
    </row>
    <row r="266" s="44" customFormat="1" customHeight="1" spans="1:101">
      <c r="A266" s="45">
        <v>5820</v>
      </c>
      <c r="B266" s="79" t="s">
        <v>440</v>
      </c>
      <c r="H266" s="44" t="s">
        <v>116</v>
      </c>
      <c r="I266" s="44" t="s">
        <v>116</v>
      </c>
      <c r="K266" s="44" t="s">
        <v>116</v>
      </c>
      <c r="O266" s="77">
        <f>A267</f>
        <v>5830</v>
      </c>
      <c r="P266" s="77">
        <v>1</v>
      </c>
      <c r="Q266" s="77">
        <v>0</v>
      </c>
      <c r="R266" s="77">
        <v>0</v>
      </c>
      <c r="S266" s="64"/>
      <c r="T266" s="64"/>
      <c r="U266" s="64"/>
      <c r="V266" s="64"/>
      <c r="W266" s="63"/>
      <c r="X266" s="63"/>
      <c r="Y266" s="63"/>
      <c r="Z266" s="63"/>
      <c r="AA266" s="78"/>
      <c r="AB266" s="78"/>
      <c r="AC266" s="78"/>
      <c r="AD266" s="78"/>
      <c r="AE266" s="48">
        <v>200074</v>
      </c>
      <c r="AF266" s="44" t="s">
        <v>116</v>
      </c>
      <c r="AG266" s="44" t="s">
        <v>116</v>
      </c>
      <c r="AH266" s="44" t="s">
        <v>116</v>
      </c>
      <c r="AI266" s="44" t="s">
        <v>116</v>
      </c>
      <c r="AJ266" s="44" t="s">
        <v>116</v>
      </c>
      <c r="AK266" s="44" t="s">
        <v>116</v>
      </c>
      <c r="AL266" s="44" t="s">
        <v>116</v>
      </c>
      <c r="AM266" s="44" t="s">
        <v>116</v>
      </c>
      <c r="AN266" s="44" t="s">
        <v>116</v>
      </c>
      <c r="AO266" s="44" t="s">
        <v>116</v>
      </c>
      <c r="AP266" s="44" t="s">
        <v>116</v>
      </c>
      <c r="AQ266" s="44" t="s">
        <v>116</v>
      </c>
      <c r="AR266" s="44" t="s">
        <v>116</v>
      </c>
      <c r="AS266" s="44" t="s">
        <v>116</v>
      </c>
      <c r="AT266" s="44" t="s">
        <v>116</v>
      </c>
      <c r="AU266" s="62">
        <f t="shared" ref="AU266:BJ266" si="85">IF(AE266="","",1)</f>
        <v>1</v>
      </c>
      <c r="AV266" s="44" t="str">
        <f t="shared" si="85"/>
        <v/>
      </c>
      <c r="AW266" s="44" t="str">
        <f t="shared" si="85"/>
        <v/>
      </c>
      <c r="AX266" s="44" t="str">
        <f t="shared" si="85"/>
        <v/>
      </c>
      <c r="AY266" s="44" t="str">
        <f t="shared" si="85"/>
        <v/>
      </c>
      <c r="AZ266" s="44" t="str">
        <f t="shared" si="85"/>
        <v/>
      </c>
      <c r="BA266" s="44" t="str">
        <f t="shared" si="85"/>
        <v/>
      </c>
      <c r="BB266" s="44" t="str">
        <f t="shared" si="85"/>
        <v/>
      </c>
      <c r="BC266" s="44" t="str">
        <f t="shared" si="85"/>
        <v/>
      </c>
      <c r="BD266" s="44" t="str">
        <f t="shared" si="85"/>
        <v/>
      </c>
      <c r="BE266" s="44" t="str">
        <f t="shared" si="85"/>
        <v/>
      </c>
      <c r="BF266" s="44" t="str">
        <f t="shared" si="85"/>
        <v/>
      </c>
      <c r="BG266" s="44" t="str">
        <f t="shared" si="85"/>
        <v/>
      </c>
      <c r="BH266" s="44" t="str">
        <f t="shared" si="85"/>
        <v/>
      </c>
      <c r="BI266" s="44" t="str">
        <f t="shared" si="85"/>
        <v/>
      </c>
      <c r="BJ266" s="44" t="str">
        <f t="shared" si="85"/>
        <v/>
      </c>
      <c r="BK266" s="62">
        <v>500</v>
      </c>
      <c r="CA266" s="44">
        <f t="shared" si="82"/>
        <v>500</v>
      </c>
      <c r="CB266" s="44">
        <v>1000</v>
      </c>
      <c r="CC266" s="44">
        <v>0</v>
      </c>
      <c r="CD266" s="44">
        <v>0</v>
      </c>
      <c r="CE266" s="44">
        <v>0</v>
      </c>
      <c r="CF266" s="114">
        <v>162016</v>
      </c>
      <c r="CG266" s="44">
        <v>0</v>
      </c>
      <c r="CH266" s="44">
        <f t="shared" si="79"/>
        <v>0</v>
      </c>
      <c r="CI266" s="44">
        <v>1</v>
      </c>
      <c r="CJ266" s="44">
        <v>1</v>
      </c>
      <c r="CK266" s="44">
        <v>0</v>
      </c>
      <c r="CL266" s="44">
        <v>0</v>
      </c>
      <c r="CM266" s="44">
        <v>0</v>
      </c>
      <c r="CN266" s="44">
        <v>0</v>
      </c>
      <c r="CO266" s="44">
        <v>0</v>
      </c>
      <c r="CP266" s="44">
        <v>0</v>
      </c>
      <c r="CQ266" s="44">
        <v>0</v>
      </c>
      <c r="CR266" s="44">
        <v>0</v>
      </c>
      <c r="CS266" s="44">
        <v>1000</v>
      </c>
      <c r="CV266" s="44">
        <v>0</v>
      </c>
      <c r="CW266" s="44">
        <v>0</v>
      </c>
    </row>
    <row r="267" s="44" customFormat="1" customHeight="1" spans="1:101">
      <c r="A267" s="45">
        <v>5830</v>
      </c>
      <c r="B267" s="79" t="s">
        <v>441</v>
      </c>
      <c r="H267" s="44" t="s">
        <v>116</v>
      </c>
      <c r="I267" s="44" t="s">
        <v>116</v>
      </c>
      <c r="K267" s="44" t="s">
        <v>116</v>
      </c>
      <c r="O267" s="77"/>
      <c r="P267" s="77"/>
      <c r="Q267" s="77"/>
      <c r="R267" s="77"/>
      <c r="S267" s="64"/>
      <c r="T267" s="64"/>
      <c r="U267" s="64"/>
      <c r="V267" s="64"/>
      <c r="W267" s="63"/>
      <c r="X267" s="63"/>
      <c r="Y267" s="63"/>
      <c r="Z267" s="63"/>
      <c r="AA267" s="78"/>
      <c r="AB267" s="78"/>
      <c r="AC267" s="78"/>
      <c r="AD267" s="78"/>
      <c r="AE267" s="48">
        <v>200205</v>
      </c>
      <c r="AF267" s="44" t="s">
        <v>116</v>
      </c>
      <c r="AG267" s="44" t="s">
        <v>116</v>
      </c>
      <c r="AH267" s="44" t="s">
        <v>116</v>
      </c>
      <c r="AI267" s="44" t="s">
        <v>116</v>
      </c>
      <c r="AJ267" s="44" t="s">
        <v>116</v>
      </c>
      <c r="AK267" s="44" t="s">
        <v>116</v>
      </c>
      <c r="AL267" s="44" t="s">
        <v>116</v>
      </c>
      <c r="AM267" s="44" t="s">
        <v>116</v>
      </c>
      <c r="AN267" s="44" t="s">
        <v>116</v>
      </c>
      <c r="AO267" s="44" t="s">
        <v>116</v>
      </c>
      <c r="AP267" s="44" t="s">
        <v>116</v>
      </c>
      <c r="AQ267" s="44" t="s">
        <v>116</v>
      </c>
      <c r="AR267" s="44" t="s">
        <v>116</v>
      </c>
      <c r="AS267" s="44" t="s">
        <v>116</v>
      </c>
      <c r="AT267" s="44" t="s">
        <v>116</v>
      </c>
      <c r="AU267" s="62">
        <f t="shared" ref="AU267:BJ267" si="86">IF(AE267="","",1)</f>
        <v>1</v>
      </c>
      <c r="AV267" s="44" t="str">
        <f t="shared" si="86"/>
        <v/>
      </c>
      <c r="AW267" s="44" t="str">
        <f t="shared" si="86"/>
        <v/>
      </c>
      <c r="AX267" s="44" t="str">
        <f t="shared" si="86"/>
        <v/>
      </c>
      <c r="AY267" s="44" t="str">
        <f t="shared" si="86"/>
        <v/>
      </c>
      <c r="AZ267" s="44" t="str">
        <f t="shared" si="86"/>
        <v/>
      </c>
      <c r="BA267" s="44" t="str">
        <f t="shared" si="86"/>
        <v/>
      </c>
      <c r="BB267" s="44" t="str">
        <f t="shared" si="86"/>
        <v/>
      </c>
      <c r="BC267" s="44" t="str">
        <f t="shared" si="86"/>
        <v/>
      </c>
      <c r="BD267" s="44" t="str">
        <f t="shared" si="86"/>
        <v/>
      </c>
      <c r="BE267" s="44" t="str">
        <f t="shared" si="86"/>
        <v/>
      </c>
      <c r="BF267" s="44" t="str">
        <f t="shared" si="86"/>
        <v/>
      </c>
      <c r="BG267" s="44" t="str">
        <f t="shared" si="86"/>
        <v/>
      </c>
      <c r="BH267" s="44" t="str">
        <f t="shared" si="86"/>
        <v/>
      </c>
      <c r="BI267" s="44" t="str">
        <f t="shared" si="86"/>
        <v/>
      </c>
      <c r="BJ267" s="44" t="str">
        <f t="shared" si="86"/>
        <v/>
      </c>
      <c r="BK267" s="62">
        <v>300</v>
      </c>
      <c r="CA267" s="44">
        <f t="shared" si="82"/>
        <v>300</v>
      </c>
      <c r="CB267" s="44">
        <v>1000</v>
      </c>
      <c r="CC267" s="44">
        <v>0</v>
      </c>
      <c r="CD267" s="44">
        <v>0</v>
      </c>
      <c r="CE267" s="44">
        <v>0</v>
      </c>
      <c r="CF267" s="114">
        <v>162016</v>
      </c>
      <c r="CG267" s="44">
        <v>0</v>
      </c>
      <c r="CH267" s="44">
        <f t="shared" si="79"/>
        <v>0</v>
      </c>
      <c r="CI267" s="44">
        <v>1</v>
      </c>
      <c r="CJ267" s="44">
        <v>1</v>
      </c>
      <c r="CK267" s="44">
        <v>0</v>
      </c>
      <c r="CL267" s="44">
        <v>0</v>
      </c>
      <c r="CM267" s="44">
        <v>0</v>
      </c>
      <c r="CN267" s="44">
        <v>0</v>
      </c>
      <c r="CO267" s="44">
        <v>0</v>
      </c>
      <c r="CP267" s="44">
        <v>0</v>
      </c>
      <c r="CQ267" s="44">
        <v>0</v>
      </c>
      <c r="CR267" s="44">
        <v>0</v>
      </c>
      <c r="CS267" s="44">
        <v>1000</v>
      </c>
      <c r="CV267" s="44">
        <v>0</v>
      </c>
      <c r="CW267" s="44">
        <v>0</v>
      </c>
    </row>
    <row r="268" s="48" customFormat="1" customHeight="1" spans="1:101">
      <c r="A268" s="95">
        <v>5840</v>
      </c>
      <c r="B268" s="80" t="s">
        <v>442</v>
      </c>
      <c r="H268" s="48" t="s">
        <v>443</v>
      </c>
      <c r="I268" s="48" t="s">
        <v>116</v>
      </c>
      <c r="J268" s="48" t="s">
        <v>444</v>
      </c>
      <c r="N268" s="44"/>
      <c r="O268" s="77"/>
      <c r="P268" s="77"/>
      <c r="Q268" s="77"/>
      <c r="R268" s="77"/>
      <c r="S268" s="64"/>
      <c r="T268" s="64"/>
      <c r="U268" s="64"/>
      <c r="V268" s="64"/>
      <c r="W268" s="63"/>
      <c r="X268" s="63"/>
      <c r="Y268" s="63"/>
      <c r="Z268" s="63"/>
      <c r="AA268" s="78"/>
      <c r="AB268" s="78"/>
      <c r="AC268" s="78"/>
      <c r="AD268" s="78"/>
      <c r="AE268" s="48">
        <v>200872</v>
      </c>
      <c r="AF268" s="49"/>
      <c r="AL268" s="48" t="s">
        <v>116</v>
      </c>
      <c r="AM268" s="48" t="s">
        <v>116</v>
      </c>
      <c r="AN268" s="48" t="s">
        <v>116</v>
      </c>
      <c r="AO268" s="48" t="s">
        <v>116</v>
      </c>
      <c r="AP268" s="48" t="s">
        <v>116</v>
      </c>
      <c r="AQ268" s="48" t="s">
        <v>116</v>
      </c>
      <c r="AR268" s="48" t="s">
        <v>116</v>
      </c>
      <c r="AS268" s="48" t="s">
        <v>116</v>
      </c>
      <c r="AT268" s="48" t="s">
        <v>116</v>
      </c>
      <c r="AU268" s="62">
        <f t="shared" ref="AU268:BJ268" si="87">IF(AE268="","",1)</f>
        <v>1</v>
      </c>
      <c r="AV268" s="48" t="str">
        <f t="shared" si="87"/>
        <v/>
      </c>
      <c r="AW268" s="48" t="str">
        <f t="shared" si="87"/>
        <v/>
      </c>
      <c r="AX268" s="48" t="str">
        <f t="shared" si="87"/>
        <v/>
      </c>
      <c r="AY268" s="48" t="str">
        <f t="shared" si="87"/>
        <v/>
      </c>
      <c r="AZ268" s="48" t="str">
        <f t="shared" si="87"/>
        <v/>
      </c>
      <c r="BA268" s="48" t="str">
        <f t="shared" si="87"/>
        <v/>
      </c>
      <c r="BB268" s="48" t="str">
        <f t="shared" si="87"/>
        <v/>
      </c>
      <c r="BC268" s="48" t="str">
        <f t="shared" si="87"/>
        <v/>
      </c>
      <c r="BD268" s="48" t="str">
        <f t="shared" si="87"/>
        <v/>
      </c>
      <c r="BE268" s="48" t="str">
        <f t="shared" si="87"/>
        <v/>
      </c>
      <c r="BF268" s="48" t="str">
        <f t="shared" si="87"/>
        <v/>
      </c>
      <c r="BG268" s="48" t="str">
        <f t="shared" si="87"/>
        <v/>
      </c>
      <c r="BH268" s="48" t="str">
        <f t="shared" si="87"/>
        <v/>
      </c>
      <c r="BI268" s="48" t="str">
        <f t="shared" si="87"/>
        <v/>
      </c>
      <c r="BJ268" s="48" t="str">
        <f t="shared" si="87"/>
        <v/>
      </c>
      <c r="BK268" s="62">
        <v>600</v>
      </c>
      <c r="CA268" s="48">
        <f t="shared" si="82"/>
        <v>600</v>
      </c>
      <c r="CB268" s="48">
        <v>1000</v>
      </c>
      <c r="CC268" s="48">
        <v>0</v>
      </c>
      <c r="CD268" s="48">
        <v>0</v>
      </c>
      <c r="CE268" s="48">
        <v>0</v>
      </c>
      <c r="CF268" s="49">
        <v>0</v>
      </c>
      <c r="CG268" s="48">
        <v>1</v>
      </c>
      <c r="CH268" s="48">
        <f t="shared" si="79"/>
        <v>0</v>
      </c>
      <c r="CI268" s="48">
        <v>1</v>
      </c>
      <c r="CJ268" s="48">
        <v>0</v>
      </c>
      <c r="CK268" s="48">
        <v>0</v>
      </c>
      <c r="CL268" s="48">
        <v>0</v>
      </c>
      <c r="CM268" s="48">
        <v>0</v>
      </c>
      <c r="CN268" s="48">
        <v>0</v>
      </c>
      <c r="CO268" s="48">
        <v>0</v>
      </c>
      <c r="CP268" s="48">
        <v>0</v>
      </c>
      <c r="CQ268" s="48">
        <v>0</v>
      </c>
      <c r="CR268" s="48">
        <v>0</v>
      </c>
      <c r="CV268" s="48">
        <v>0</v>
      </c>
      <c r="CW268" s="48">
        <v>0</v>
      </c>
    </row>
    <row r="269" s="48" customFormat="1" customHeight="1" spans="1:101">
      <c r="A269" s="95">
        <v>5850</v>
      </c>
      <c r="B269" s="80" t="s">
        <v>445</v>
      </c>
      <c r="H269" s="48" t="s">
        <v>446</v>
      </c>
      <c r="I269" s="48" t="s">
        <v>116</v>
      </c>
      <c r="J269" s="48" t="s">
        <v>447</v>
      </c>
      <c r="N269" s="44"/>
      <c r="O269" s="77"/>
      <c r="P269" s="77"/>
      <c r="Q269" s="77"/>
      <c r="R269" s="77"/>
      <c r="S269" s="64"/>
      <c r="T269" s="64"/>
      <c r="U269" s="64"/>
      <c r="V269" s="64"/>
      <c r="W269" s="63"/>
      <c r="X269" s="63"/>
      <c r="Y269" s="63"/>
      <c r="Z269" s="63"/>
      <c r="AA269" s="78"/>
      <c r="AB269" s="78"/>
      <c r="AC269" s="78"/>
      <c r="AD269" s="78"/>
      <c r="AE269" s="48">
        <v>200872</v>
      </c>
      <c r="AL269" s="48" t="s">
        <v>116</v>
      </c>
      <c r="AM269" s="48" t="s">
        <v>116</v>
      </c>
      <c r="AN269" s="48" t="s">
        <v>116</v>
      </c>
      <c r="AO269" s="48" t="s">
        <v>116</v>
      </c>
      <c r="AP269" s="48" t="s">
        <v>116</v>
      </c>
      <c r="AQ269" s="48" t="s">
        <v>116</v>
      </c>
      <c r="AR269" s="48" t="s">
        <v>116</v>
      </c>
      <c r="AS269" s="48" t="s">
        <v>116</v>
      </c>
      <c r="AT269" s="48" t="s">
        <v>116</v>
      </c>
      <c r="AU269" s="62">
        <f t="shared" ref="AU269:BJ269" si="88">IF(AE269="","",1)</f>
        <v>1</v>
      </c>
      <c r="AV269" s="48" t="str">
        <f t="shared" si="88"/>
        <v/>
      </c>
      <c r="AW269" s="48" t="str">
        <f t="shared" si="88"/>
        <v/>
      </c>
      <c r="AX269" s="48" t="str">
        <f t="shared" si="88"/>
        <v/>
      </c>
      <c r="AY269" s="48" t="str">
        <f t="shared" si="88"/>
        <v/>
      </c>
      <c r="AZ269" s="48" t="str">
        <f t="shared" si="88"/>
        <v/>
      </c>
      <c r="BA269" s="48" t="str">
        <f t="shared" si="88"/>
        <v/>
      </c>
      <c r="BB269" s="48" t="str">
        <f t="shared" si="88"/>
        <v/>
      </c>
      <c r="BC269" s="48" t="str">
        <f t="shared" si="88"/>
        <v/>
      </c>
      <c r="BD269" s="48" t="str">
        <f t="shared" si="88"/>
        <v/>
      </c>
      <c r="BE269" s="48" t="str">
        <f t="shared" si="88"/>
        <v/>
      </c>
      <c r="BF269" s="48" t="str">
        <f t="shared" si="88"/>
        <v/>
      </c>
      <c r="BG269" s="48" t="str">
        <f t="shared" si="88"/>
        <v/>
      </c>
      <c r="BH269" s="48" t="str">
        <f t="shared" si="88"/>
        <v/>
      </c>
      <c r="BI269" s="48" t="str">
        <f t="shared" si="88"/>
        <v/>
      </c>
      <c r="BJ269" s="48" t="str">
        <f t="shared" si="88"/>
        <v/>
      </c>
      <c r="BK269" s="62">
        <v>200</v>
      </c>
      <c r="CA269" s="48">
        <f t="shared" si="82"/>
        <v>200</v>
      </c>
      <c r="CB269" s="48">
        <v>1000</v>
      </c>
      <c r="CC269" s="48">
        <v>0</v>
      </c>
      <c r="CD269" s="48">
        <v>0</v>
      </c>
      <c r="CE269" s="48">
        <v>0</v>
      </c>
      <c r="CF269" s="49">
        <v>0</v>
      </c>
      <c r="CG269" s="48">
        <v>1</v>
      </c>
      <c r="CH269" s="48">
        <f t="shared" si="79"/>
        <v>0</v>
      </c>
      <c r="CI269" s="48">
        <v>1</v>
      </c>
      <c r="CJ269" s="48">
        <v>0</v>
      </c>
      <c r="CK269" s="48">
        <v>0</v>
      </c>
      <c r="CL269" s="48">
        <v>0</v>
      </c>
      <c r="CM269" s="48">
        <v>0</v>
      </c>
      <c r="CN269" s="48">
        <v>0</v>
      </c>
      <c r="CO269" s="48">
        <v>0</v>
      </c>
      <c r="CP269" s="48">
        <v>0</v>
      </c>
      <c r="CQ269" s="48">
        <v>0</v>
      </c>
      <c r="CR269" s="48">
        <v>0</v>
      </c>
      <c r="CV269" s="48">
        <v>0</v>
      </c>
      <c r="CW269" s="48">
        <v>0</v>
      </c>
    </row>
    <row r="270" s="48" customFormat="1" customHeight="1" spans="1:101">
      <c r="A270" s="95">
        <v>5860</v>
      </c>
      <c r="B270" s="80" t="s">
        <v>448</v>
      </c>
      <c r="H270" s="48" t="s">
        <v>116</v>
      </c>
      <c r="I270" s="48" t="s">
        <v>116</v>
      </c>
      <c r="K270" s="48">
        <v>800</v>
      </c>
      <c r="N270" s="44"/>
      <c r="O270" s="77"/>
      <c r="P270" s="77"/>
      <c r="Q270" s="77"/>
      <c r="R270" s="77"/>
      <c r="S270" s="64"/>
      <c r="T270" s="64"/>
      <c r="U270" s="64"/>
      <c r="V270" s="64"/>
      <c r="W270" s="63"/>
      <c r="X270" s="63"/>
      <c r="Y270" s="63"/>
      <c r="Z270" s="63"/>
      <c r="AA270" s="78"/>
      <c r="AB270" s="78"/>
      <c r="AC270" s="78"/>
      <c r="AD270" s="78"/>
      <c r="AE270" s="48">
        <v>200805</v>
      </c>
      <c r="AF270" s="49">
        <v>200301</v>
      </c>
      <c r="AG270" s="49">
        <v>200873</v>
      </c>
      <c r="AL270" s="48" t="s">
        <v>116</v>
      </c>
      <c r="AM270" s="48" t="s">
        <v>116</v>
      </c>
      <c r="AN270" s="48" t="s">
        <v>116</v>
      </c>
      <c r="AO270" s="48" t="s">
        <v>116</v>
      </c>
      <c r="AP270" s="48" t="s">
        <v>116</v>
      </c>
      <c r="AQ270" s="48" t="s">
        <v>116</v>
      </c>
      <c r="AR270" s="48" t="s">
        <v>116</v>
      </c>
      <c r="AS270" s="48" t="s">
        <v>116</v>
      </c>
      <c r="AT270" s="48" t="s">
        <v>116</v>
      </c>
      <c r="AU270" s="62">
        <f t="shared" ref="AU270:BJ270" si="89">IF(AE270="","",1)</f>
        <v>1</v>
      </c>
      <c r="AV270" s="48">
        <f t="shared" si="89"/>
        <v>1</v>
      </c>
      <c r="AW270" s="48">
        <f t="shared" si="89"/>
        <v>1</v>
      </c>
      <c r="AX270" s="48" t="str">
        <f t="shared" si="89"/>
        <v/>
      </c>
      <c r="AY270" s="48" t="str">
        <f t="shared" si="89"/>
        <v/>
      </c>
      <c r="AZ270" s="48" t="str">
        <f t="shared" si="89"/>
        <v/>
      </c>
      <c r="BA270" s="48" t="str">
        <f t="shared" si="89"/>
        <v/>
      </c>
      <c r="BB270" s="48" t="str">
        <f t="shared" si="89"/>
        <v/>
      </c>
      <c r="BC270" s="48" t="str">
        <f t="shared" si="89"/>
        <v/>
      </c>
      <c r="BD270" s="48" t="str">
        <f t="shared" si="89"/>
        <v/>
      </c>
      <c r="BE270" s="48" t="str">
        <f t="shared" si="89"/>
        <v/>
      </c>
      <c r="BF270" s="48" t="str">
        <f t="shared" si="89"/>
        <v/>
      </c>
      <c r="BG270" s="48" t="str">
        <f t="shared" si="89"/>
        <v/>
      </c>
      <c r="BH270" s="48" t="str">
        <f t="shared" si="89"/>
        <v/>
      </c>
      <c r="BI270" s="48" t="str">
        <f t="shared" si="89"/>
        <v/>
      </c>
      <c r="BJ270" s="48" t="str">
        <f t="shared" si="89"/>
        <v/>
      </c>
      <c r="BK270" s="62">
        <v>200</v>
      </c>
      <c r="BL270" s="48">
        <v>400</v>
      </c>
      <c r="BM270" s="48">
        <v>400</v>
      </c>
      <c r="CA270" s="48">
        <f t="shared" si="82"/>
        <v>1000</v>
      </c>
      <c r="CB270" s="48">
        <f>CA270</f>
        <v>1000</v>
      </c>
      <c r="CC270" s="48">
        <v>0</v>
      </c>
      <c r="CD270" s="48">
        <v>0</v>
      </c>
      <c r="CE270" s="48">
        <v>0</v>
      </c>
      <c r="CF270" s="49">
        <v>193003</v>
      </c>
      <c r="CG270" s="48">
        <v>1</v>
      </c>
      <c r="CH270" s="48">
        <f t="shared" si="79"/>
        <v>0</v>
      </c>
      <c r="CI270" s="48">
        <v>1</v>
      </c>
      <c r="CJ270" s="48">
        <v>0</v>
      </c>
      <c r="CK270" s="48">
        <v>0</v>
      </c>
      <c r="CL270" s="48">
        <v>0</v>
      </c>
      <c r="CM270" s="48">
        <v>0</v>
      </c>
      <c r="CN270" s="48">
        <v>0</v>
      </c>
      <c r="CO270" s="48">
        <v>0</v>
      </c>
      <c r="CP270" s="48">
        <v>0</v>
      </c>
      <c r="CQ270" s="48">
        <v>0</v>
      </c>
      <c r="CR270" s="48">
        <v>0</v>
      </c>
      <c r="CV270" s="48">
        <v>0</v>
      </c>
      <c r="CW270" s="48">
        <v>0</v>
      </c>
    </row>
    <row r="271" s="49" customFormat="1" customHeight="1" spans="1:101">
      <c r="A271" s="116">
        <v>5870</v>
      </c>
      <c r="B271" s="117" t="s">
        <v>449</v>
      </c>
      <c r="H271" s="49" t="s">
        <v>450</v>
      </c>
      <c r="I271" s="49" t="s">
        <v>116</v>
      </c>
      <c r="J271" s="49" t="s">
        <v>444</v>
      </c>
      <c r="K271" s="49">
        <v>50</v>
      </c>
      <c r="N271" s="44"/>
      <c r="O271" s="77"/>
      <c r="P271" s="77"/>
      <c r="Q271" s="77"/>
      <c r="R271" s="77"/>
      <c r="S271" s="64"/>
      <c r="T271" s="64"/>
      <c r="U271" s="64"/>
      <c r="V271" s="64"/>
      <c r="W271" s="63"/>
      <c r="X271" s="63"/>
      <c r="Y271" s="63"/>
      <c r="Z271" s="63"/>
      <c r="AA271" s="78"/>
      <c r="AB271" s="78"/>
      <c r="AC271" s="78"/>
      <c r="AD271" s="78"/>
      <c r="AE271" s="48">
        <v>200207</v>
      </c>
      <c r="AF271" s="49">
        <v>200208</v>
      </c>
      <c r="AG271" s="49">
        <v>200872</v>
      </c>
      <c r="AJ271" s="49" t="s">
        <v>116</v>
      </c>
      <c r="AK271" s="49" t="s">
        <v>116</v>
      </c>
      <c r="AL271" s="49" t="s">
        <v>116</v>
      </c>
      <c r="AM271" s="49" t="s">
        <v>116</v>
      </c>
      <c r="AN271" s="49" t="s">
        <v>116</v>
      </c>
      <c r="AO271" s="49" t="s">
        <v>116</v>
      </c>
      <c r="AP271" s="49" t="s">
        <v>116</v>
      </c>
      <c r="AQ271" s="49" t="s">
        <v>116</v>
      </c>
      <c r="AR271" s="49" t="s">
        <v>116</v>
      </c>
      <c r="AS271" s="49" t="s">
        <v>116</v>
      </c>
      <c r="AT271" s="49" t="s">
        <v>116</v>
      </c>
      <c r="AU271" s="62">
        <f t="shared" ref="AU271:BJ271" si="90">IF(AE271="","",1)</f>
        <v>1</v>
      </c>
      <c r="AV271" s="49">
        <f t="shared" si="90"/>
        <v>1</v>
      </c>
      <c r="AW271" s="49">
        <f t="shared" si="90"/>
        <v>1</v>
      </c>
      <c r="AX271" s="49" t="str">
        <f t="shared" si="90"/>
        <v/>
      </c>
      <c r="AY271" s="49" t="str">
        <f t="shared" si="90"/>
        <v/>
      </c>
      <c r="AZ271" s="49" t="str">
        <f t="shared" si="90"/>
        <v/>
      </c>
      <c r="BA271" s="49" t="str">
        <f t="shared" si="90"/>
        <v/>
      </c>
      <c r="BB271" s="49" t="str">
        <f t="shared" si="90"/>
        <v/>
      </c>
      <c r="BC271" s="49" t="str">
        <f t="shared" si="90"/>
        <v/>
      </c>
      <c r="BD271" s="49" t="str">
        <f t="shared" si="90"/>
        <v/>
      </c>
      <c r="BE271" s="49" t="str">
        <f t="shared" si="90"/>
        <v/>
      </c>
      <c r="BF271" s="49" t="str">
        <f t="shared" si="90"/>
        <v/>
      </c>
      <c r="BG271" s="49" t="str">
        <f t="shared" si="90"/>
        <v/>
      </c>
      <c r="BH271" s="49" t="str">
        <f t="shared" si="90"/>
        <v/>
      </c>
      <c r="BI271" s="49" t="str">
        <f t="shared" si="90"/>
        <v/>
      </c>
      <c r="BJ271" s="49" t="str">
        <f t="shared" si="90"/>
        <v/>
      </c>
      <c r="BK271" s="62">
        <v>200</v>
      </c>
      <c r="BL271" s="49">
        <v>200</v>
      </c>
      <c r="BM271" s="49">
        <v>200</v>
      </c>
      <c r="CA271" s="49">
        <f t="shared" si="82"/>
        <v>600</v>
      </c>
      <c r="CB271" s="49">
        <v>1000</v>
      </c>
      <c r="CC271" s="49">
        <v>0</v>
      </c>
      <c r="CD271" s="49">
        <v>0</v>
      </c>
      <c r="CE271" s="49">
        <v>0</v>
      </c>
      <c r="CF271" s="49">
        <v>193004</v>
      </c>
      <c r="CG271" s="49">
        <v>1</v>
      </c>
      <c r="CH271" s="49">
        <f t="shared" si="79"/>
        <v>0</v>
      </c>
      <c r="CI271" s="49">
        <v>1</v>
      </c>
      <c r="CJ271" s="49">
        <v>0</v>
      </c>
      <c r="CK271" s="49">
        <v>0</v>
      </c>
      <c r="CL271" s="49">
        <v>0</v>
      </c>
      <c r="CM271" s="49">
        <v>0</v>
      </c>
      <c r="CN271" s="49">
        <v>0</v>
      </c>
      <c r="CO271" s="49">
        <v>0</v>
      </c>
      <c r="CP271" s="49">
        <v>0</v>
      </c>
      <c r="CQ271" s="49">
        <v>0</v>
      </c>
      <c r="CR271" s="49">
        <v>0</v>
      </c>
      <c r="CV271" s="49">
        <v>0</v>
      </c>
      <c r="CW271" s="49">
        <v>0</v>
      </c>
    </row>
    <row r="272" s="49" customFormat="1" customHeight="1" spans="1:101">
      <c r="A272" s="116">
        <v>5880</v>
      </c>
      <c r="B272" s="117" t="s">
        <v>451</v>
      </c>
      <c r="H272" s="49" t="s">
        <v>452</v>
      </c>
      <c r="I272" s="49" t="s">
        <v>116</v>
      </c>
      <c r="J272" s="49" t="s">
        <v>447</v>
      </c>
      <c r="K272" s="49">
        <v>25</v>
      </c>
      <c r="N272" s="44"/>
      <c r="O272" s="77"/>
      <c r="P272" s="77"/>
      <c r="Q272" s="77"/>
      <c r="R272" s="77"/>
      <c r="S272" s="64"/>
      <c r="T272" s="64"/>
      <c r="U272" s="64"/>
      <c r="V272" s="64"/>
      <c r="W272" s="63"/>
      <c r="X272" s="63"/>
      <c r="Y272" s="63"/>
      <c r="Z272" s="63"/>
      <c r="AA272" s="78"/>
      <c r="AB272" s="78"/>
      <c r="AC272" s="78"/>
      <c r="AD272" s="78"/>
      <c r="AE272" s="48">
        <v>200207</v>
      </c>
      <c r="AF272" s="49">
        <v>200208</v>
      </c>
      <c r="AG272" s="49">
        <v>200872</v>
      </c>
      <c r="AH272" s="49" t="s">
        <v>116</v>
      </c>
      <c r="AI272" s="49" t="s">
        <v>116</v>
      </c>
      <c r="AJ272" s="49" t="s">
        <v>116</v>
      </c>
      <c r="AK272" s="49" t="s">
        <v>116</v>
      </c>
      <c r="AL272" s="49" t="s">
        <v>116</v>
      </c>
      <c r="AM272" s="49" t="s">
        <v>116</v>
      </c>
      <c r="AN272" s="49" t="s">
        <v>116</v>
      </c>
      <c r="AO272" s="49" t="s">
        <v>116</v>
      </c>
      <c r="AP272" s="49" t="s">
        <v>116</v>
      </c>
      <c r="AQ272" s="49" t="s">
        <v>116</v>
      </c>
      <c r="AR272" s="49" t="s">
        <v>116</v>
      </c>
      <c r="AS272" s="49" t="s">
        <v>116</v>
      </c>
      <c r="AT272" s="49" t="s">
        <v>116</v>
      </c>
      <c r="AU272" s="62">
        <f t="shared" ref="AU272:BJ272" si="91">IF(AE272="","",1)</f>
        <v>1</v>
      </c>
      <c r="AV272" s="49">
        <f t="shared" si="91"/>
        <v>1</v>
      </c>
      <c r="AW272" s="49">
        <f t="shared" si="91"/>
        <v>1</v>
      </c>
      <c r="AX272" s="49" t="str">
        <f t="shared" si="91"/>
        <v/>
      </c>
      <c r="AY272" s="49" t="str">
        <f t="shared" si="91"/>
        <v/>
      </c>
      <c r="AZ272" s="49" t="str">
        <f t="shared" si="91"/>
        <v/>
      </c>
      <c r="BA272" s="49" t="str">
        <f t="shared" si="91"/>
        <v/>
      </c>
      <c r="BB272" s="49" t="str">
        <f t="shared" si="91"/>
        <v/>
      </c>
      <c r="BC272" s="49" t="str">
        <f t="shared" si="91"/>
        <v/>
      </c>
      <c r="BD272" s="49" t="str">
        <f t="shared" si="91"/>
        <v/>
      </c>
      <c r="BE272" s="49" t="str">
        <f t="shared" si="91"/>
        <v/>
      </c>
      <c r="BF272" s="49" t="str">
        <f t="shared" si="91"/>
        <v/>
      </c>
      <c r="BG272" s="49" t="str">
        <f t="shared" si="91"/>
        <v/>
      </c>
      <c r="BH272" s="49" t="str">
        <f t="shared" si="91"/>
        <v/>
      </c>
      <c r="BI272" s="49" t="str">
        <f t="shared" si="91"/>
        <v/>
      </c>
      <c r="BJ272" s="49" t="str">
        <f t="shared" si="91"/>
        <v/>
      </c>
      <c r="BK272" s="62">
        <v>50</v>
      </c>
      <c r="BL272" s="49">
        <v>50</v>
      </c>
      <c r="BM272" s="49">
        <v>50</v>
      </c>
      <c r="CA272" s="49">
        <f t="shared" si="82"/>
        <v>150</v>
      </c>
      <c r="CB272" s="49">
        <v>1000</v>
      </c>
      <c r="CC272" s="49">
        <v>0</v>
      </c>
      <c r="CD272" s="49">
        <v>0</v>
      </c>
      <c r="CE272" s="49">
        <v>0</v>
      </c>
      <c r="CF272" s="49">
        <v>0</v>
      </c>
      <c r="CG272" s="49">
        <v>1</v>
      </c>
      <c r="CH272" s="49">
        <f t="shared" si="79"/>
        <v>0</v>
      </c>
      <c r="CI272" s="49">
        <v>1</v>
      </c>
      <c r="CJ272" s="49">
        <v>0</v>
      </c>
      <c r="CK272" s="49">
        <v>0</v>
      </c>
      <c r="CL272" s="49">
        <v>0</v>
      </c>
      <c r="CM272" s="49">
        <v>0</v>
      </c>
      <c r="CN272" s="49">
        <v>0</v>
      </c>
      <c r="CO272" s="49">
        <v>0</v>
      </c>
      <c r="CP272" s="49">
        <v>0</v>
      </c>
      <c r="CQ272" s="49">
        <v>0</v>
      </c>
      <c r="CR272" s="49">
        <v>0</v>
      </c>
      <c r="CV272" s="49">
        <v>0</v>
      </c>
      <c r="CW272" s="49">
        <v>0</v>
      </c>
    </row>
    <row r="273" s="49" customFormat="1" customHeight="1" spans="1:101">
      <c r="A273" s="116">
        <v>5890</v>
      </c>
      <c r="B273" s="117" t="s">
        <v>453</v>
      </c>
      <c r="H273" s="49" t="s">
        <v>116</v>
      </c>
      <c r="I273" s="49" t="s">
        <v>116</v>
      </c>
      <c r="K273" s="49" t="s">
        <v>116</v>
      </c>
      <c r="N273" s="44"/>
      <c r="O273" s="77"/>
      <c r="P273" s="77"/>
      <c r="Q273" s="77"/>
      <c r="R273" s="77"/>
      <c r="S273" s="64"/>
      <c r="T273" s="64"/>
      <c r="U273" s="64"/>
      <c r="V273" s="64"/>
      <c r="W273" s="63"/>
      <c r="X273" s="63"/>
      <c r="Y273" s="63"/>
      <c r="Z273" s="63"/>
      <c r="AA273" s="78"/>
      <c r="AB273" s="78"/>
      <c r="AC273" s="78"/>
      <c r="AD273" s="78"/>
      <c r="AE273" s="48"/>
      <c r="AU273" s="62"/>
      <c r="BB273" s="49" t="str">
        <f t="shared" ref="AU273:BJ273" si="92">IF(AL273="","",1)</f>
        <v/>
      </c>
      <c r="BC273" s="49" t="str">
        <f t="shared" si="92"/>
        <v/>
      </c>
      <c r="BD273" s="49" t="str">
        <f t="shared" si="92"/>
        <v/>
      </c>
      <c r="BE273" s="49" t="str">
        <f t="shared" si="92"/>
        <v/>
      </c>
      <c r="BF273" s="49" t="str">
        <f t="shared" si="92"/>
        <v/>
      </c>
      <c r="BG273" s="49" t="str">
        <f t="shared" si="92"/>
        <v/>
      </c>
      <c r="BH273" s="49" t="str">
        <f t="shared" si="92"/>
        <v/>
      </c>
      <c r="BI273" s="49" t="str">
        <f t="shared" si="92"/>
        <v/>
      </c>
      <c r="BJ273" s="49" t="str">
        <f t="shared" si="92"/>
        <v/>
      </c>
      <c r="BK273" s="62"/>
      <c r="CA273" s="49">
        <f t="shared" si="82"/>
        <v>0</v>
      </c>
      <c r="CB273" s="49">
        <v>492</v>
      </c>
      <c r="CC273" s="49">
        <v>0</v>
      </c>
      <c r="CD273" s="49">
        <v>0</v>
      </c>
      <c r="CE273" s="49">
        <v>0</v>
      </c>
      <c r="CF273" s="49">
        <v>0</v>
      </c>
      <c r="CG273" s="49">
        <v>1</v>
      </c>
      <c r="CH273" s="49">
        <f t="shared" si="79"/>
        <v>0</v>
      </c>
      <c r="CI273" s="49">
        <v>1</v>
      </c>
      <c r="CJ273" s="49">
        <v>0</v>
      </c>
      <c r="CK273" s="49">
        <v>0</v>
      </c>
      <c r="CL273" s="49">
        <v>0</v>
      </c>
      <c r="CM273" s="49">
        <v>0</v>
      </c>
      <c r="CN273" s="49">
        <v>0</v>
      </c>
      <c r="CO273" s="49">
        <v>0</v>
      </c>
      <c r="CP273" s="49">
        <v>0</v>
      </c>
      <c r="CQ273" s="49">
        <v>0</v>
      </c>
      <c r="CR273" s="49">
        <v>0</v>
      </c>
      <c r="CV273" s="49">
        <v>0</v>
      </c>
      <c r="CW273" s="49">
        <v>0</v>
      </c>
    </row>
    <row r="274" s="44" customFormat="1" customHeight="1" spans="1:101">
      <c r="A274" s="45">
        <v>5900</v>
      </c>
      <c r="B274" s="79" t="s">
        <v>454</v>
      </c>
      <c r="H274" s="44" t="s">
        <v>455</v>
      </c>
      <c r="I274" s="44" t="s">
        <v>116</v>
      </c>
      <c r="K274" s="44" t="s">
        <v>116</v>
      </c>
      <c r="O274" s="77"/>
      <c r="P274" s="77"/>
      <c r="Q274" s="77"/>
      <c r="R274" s="77"/>
      <c r="S274" s="64"/>
      <c r="T274" s="64"/>
      <c r="U274" s="64"/>
      <c r="V274" s="64"/>
      <c r="W274" s="63"/>
      <c r="X274" s="63"/>
      <c r="Y274" s="63"/>
      <c r="Z274" s="63"/>
      <c r="AA274" s="78"/>
      <c r="AB274" s="78"/>
      <c r="AC274" s="78"/>
      <c r="AD274" s="78"/>
      <c r="AE274" s="48" t="s">
        <v>116</v>
      </c>
      <c r="AF274" s="44" t="s">
        <v>116</v>
      </c>
      <c r="AG274" s="44" t="s">
        <v>116</v>
      </c>
      <c r="AH274" s="44" t="s">
        <v>116</v>
      </c>
      <c r="AI274" s="44" t="s">
        <v>116</v>
      </c>
      <c r="AJ274" s="44" t="s">
        <v>116</v>
      </c>
      <c r="AK274" s="44" t="s">
        <v>116</v>
      </c>
      <c r="AL274" s="44" t="s">
        <v>116</v>
      </c>
      <c r="AM274" s="44" t="s">
        <v>116</v>
      </c>
      <c r="AN274" s="44" t="s">
        <v>116</v>
      </c>
      <c r="AO274" s="44" t="s">
        <v>116</v>
      </c>
      <c r="AP274" s="44" t="s">
        <v>116</v>
      </c>
      <c r="AQ274" s="44" t="s">
        <v>116</v>
      </c>
      <c r="AR274" s="44" t="s">
        <v>116</v>
      </c>
      <c r="AS274" s="44" t="s">
        <v>116</v>
      </c>
      <c r="AT274" s="44" t="s">
        <v>116</v>
      </c>
      <c r="AU274" s="62" t="str">
        <f t="shared" ref="AU274:BJ274" si="93">IF(AE274="","",1)</f>
        <v/>
      </c>
      <c r="AV274" s="44" t="str">
        <f t="shared" si="93"/>
        <v/>
      </c>
      <c r="AW274" s="44" t="str">
        <f t="shared" si="93"/>
        <v/>
      </c>
      <c r="AX274" s="44" t="str">
        <f t="shared" si="93"/>
        <v/>
      </c>
      <c r="AY274" s="44" t="str">
        <f t="shared" si="93"/>
        <v/>
      </c>
      <c r="AZ274" s="44" t="str">
        <f t="shared" si="93"/>
        <v/>
      </c>
      <c r="BA274" s="44" t="str">
        <f t="shared" si="93"/>
        <v/>
      </c>
      <c r="BB274" s="44" t="str">
        <f t="shared" si="93"/>
        <v/>
      </c>
      <c r="BC274" s="44" t="str">
        <f t="shared" si="93"/>
        <v/>
      </c>
      <c r="BD274" s="44" t="str">
        <f t="shared" si="93"/>
        <v/>
      </c>
      <c r="BE274" s="44" t="str">
        <f t="shared" si="93"/>
        <v/>
      </c>
      <c r="BF274" s="44" t="str">
        <f t="shared" si="93"/>
        <v/>
      </c>
      <c r="BG274" s="44" t="str">
        <f t="shared" si="93"/>
        <v/>
      </c>
      <c r="BH274" s="44" t="str">
        <f t="shared" si="93"/>
        <v/>
      </c>
      <c r="BI274" s="44" t="str">
        <f t="shared" si="93"/>
        <v/>
      </c>
      <c r="BJ274" s="44" t="str">
        <f t="shared" si="93"/>
        <v/>
      </c>
      <c r="BK274" s="62"/>
      <c r="CA274" s="44">
        <f t="shared" si="82"/>
        <v>0</v>
      </c>
      <c r="CB274" s="44">
        <v>1000</v>
      </c>
      <c r="CC274" s="44">
        <v>0</v>
      </c>
      <c r="CD274" s="44">
        <v>0</v>
      </c>
      <c r="CE274" s="44">
        <v>0</v>
      </c>
      <c r="CF274" s="44">
        <v>0</v>
      </c>
      <c r="CG274" s="44">
        <v>0</v>
      </c>
      <c r="CH274" s="44">
        <f t="shared" si="79"/>
        <v>1</v>
      </c>
      <c r="CI274" s="44">
        <v>1</v>
      </c>
      <c r="CJ274" s="44">
        <v>0</v>
      </c>
      <c r="CK274" s="44">
        <v>0</v>
      </c>
      <c r="CL274" s="44">
        <v>0</v>
      </c>
      <c r="CM274" s="44">
        <v>0</v>
      </c>
      <c r="CN274" s="44">
        <v>0</v>
      </c>
      <c r="CO274" s="44">
        <v>0</v>
      </c>
      <c r="CP274" s="44">
        <v>0</v>
      </c>
      <c r="CQ274" s="44">
        <v>0</v>
      </c>
      <c r="CR274" s="44">
        <v>0</v>
      </c>
      <c r="CV274" s="44">
        <v>0</v>
      </c>
      <c r="CW274" s="44">
        <v>0</v>
      </c>
    </row>
    <row r="275" s="44" customFormat="1" customHeight="1" spans="1:101">
      <c r="A275" s="45">
        <v>5910</v>
      </c>
      <c r="B275" s="79" t="s">
        <v>456</v>
      </c>
      <c r="H275" s="44" t="s">
        <v>457</v>
      </c>
      <c r="I275" s="44" t="s">
        <v>116</v>
      </c>
      <c r="K275" s="44" t="s">
        <v>116</v>
      </c>
      <c r="O275" s="77"/>
      <c r="P275" s="77"/>
      <c r="Q275" s="77"/>
      <c r="R275" s="77"/>
      <c r="S275" s="64"/>
      <c r="T275" s="64"/>
      <c r="U275" s="64"/>
      <c r="V275" s="64"/>
      <c r="W275" s="63"/>
      <c r="X275" s="63"/>
      <c r="Y275" s="63"/>
      <c r="Z275" s="63"/>
      <c r="AA275" s="78"/>
      <c r="AB275" s="78"/>
      <c r="AC275" s="78"/>
      <c r="AD275" s="78"/>
      <c r="AE275" s="48" t="s">
        <v>116</v>
      </c>
      <c r="AF275" s="44" t="s">
        <v>116</v>
      </c>
      <c r="AG275" s="44" t="s">
        <v>116</v>
      </c>
      <c r="AH275" s="44" t="s">
        <v>116</v>
      </c>
      <c r="AI275" s="44" t="s">
        <v>116</v>
      </c>
      <c r="AJ275" s="44" t="s">
        <v>116</v>
      </c>
      <c r="AK275" s="44" t="s">
        <v>116</v>
      </c>
      <c r="AL275" s="44" t="s">
        <v>116</v>
      </c>
      <c r="AM275" s="44" t="s">
        <v>116</v>
      </c>
      <c r="AN275" s="44" t="s">
        <v>116</v>
      </c>
      <c r="AO275" s="44" t="s">
        <v>116</v>
      </c>
      <c r="AP275" s="44" t="s">
        <v>116</v>
      </c>
      <c r="AQ275" s="44" t="s">
        <v>116</v>
      </c>
      <c r="AR275" s="44" t="s">
        <v>116</v>
      </c>
      <c r="AS275" s="44" t="s">
        <v>116</v>
      </c>
      <c r="AT275" s="44" t="s">
        <v>116</v>
      </c>
      <c r="AU275" s="62" t="str">
        <f t="shared" ref="AU275:BJ275" si="94">IF(AE275="","",1)</f>
        <v/>
      </c>
      <c r="AV275" s="44" t="str">
        <f t="shared" si="94"/>
        <v/>
      </c>
      <c r="AW275" s="44" t="str">
        <f t="shared" si="94"/>
        <v/>
      </c>
      <c r="AX275" s="44" t="str">
        <f t="shared" si="94"/>
        <v/>
      </c>
      <c r="AY275" s="44" t="str">
        <f t="shared" si="94"/>
        <v/>
      </c>
      <c r="AZ275" s="44" t="str">
        <f t="shared" si="94"/>
        <v/>
      </c>
      <c r="BA275" s="44" t="str">
        <f t="shared" si="94"/>
        <v/>
      </c>
      <c r="BB275" s="44" t="str">
        <f t="shared" si="94"/>
        <v/>
      </c>
      <c r="BC275" s="44" t="str">
        <f t="shared" si="94"/>
        <v/>
      </c>
      <c r="BD275" s="44" t="str">
        <f t="shared" si="94"/>
        <v/>
      </c>
      <c r="BE275" s="44" t="str">
        <f t="shared" si="94"/>
        <v/>
      </c>
      <c r="BF275" s="44" t="str">
        <f t="shared" si="94"/>
        <v/>
      </c>
      <c r="BG275" s="44" t="str">
        <f t="shared" si="94"/>
        <v/>
      </c>
      <c r="BH275" s="44" t="str">
        <f t="shared" si="94"/>
        <v/>
      </c>
      <c r="BI275" s="44" t="str">
        <f t="shared" si="94"/>
        <v/>
      </c>
      <c r="BJ275" s="44" t="str">
        <f t="shared" si="94"/>
        <v/>
      </c>
      <c r="BK275" s="62"/>
      <c r="CA275" s="44">
        <f t="shared" si="82"/>
        <v>0</v>
      </c>
      <c r="CB275" s="44">
        <v>1000</v>
      </c>
      <c r="CC275" s="44">
        <v>0</v>
      </c>
      <c r="CD275" s="44">
        <v>0</v>
      </c>
      <c r="CE275" s="44">
        <v>0</v>
      </c>
      <c r="CF275" s="44">
        <v>0</v>
      </c>
      <c r="CG275" s="44">
        <v>0</v>
      </c>
      <c r="CH275" s="44">
        <f t="shared" si="79"/>
        <v>0</v>
      </c>
      <c r="CI275" s="44">
        <v>1</v>
      </c>
      <c r="CJ275" s="44">
        <v>0</v>
      </c>
      <c r="CK275" s="44">
        <v>0</v>
      </c>
      <c r="CL275" s="44">
        <v>0</v>
      </c>
      <c r="CM275" s="44">
        <v>0</v>
      </c>
      <c r="CN275" s="44">
        <v>0</v>
      </c>
      <c r="CO275" s="44">
        <v>0</v>
      </c>
      <c r="CP275" s="44">
        <v>0</v>
      </c>
      <c r="CQ275" s="44">
        <v>0</v>
      </c>
      <c r="CR275" s="44">
        <v>0</v>
      </c>
      <c r="CV275" s="44">
        <v>0</v>
      </c>
      <c r="CW275" s="44">
        <v>0</v>
      </c>
    </row>
    <row r="276" s="45" customFormat="1" customHeight="1" spans="1:102">
      <c r="A276" s="45">
        <v>5920</v>
      </c>
      <c r="B276" s="79" t="s">
        <v>458</v>
      </c>
      <c r="C276" s="44"/>
      <c r="D276" s="44"/>
      <c r="E276" s="44"/>
      <c r="F276" s="44"/>
      <c r="G276" s="44"/>
      <c r="H276" s="44" t="s">
        <v>116</v>
      </c>
      <c r="I276" s="44" t="s">
        <v>116</v>
      </c>
      <c r="J276" s="44"/>
      <c r="K276" s="44" t="s">
        <v>116</v>
      </c>
      <c r="L276" s="44"/>
      <c r="M276" s="44"/>
      <c r="N276" s="44"/>
      <c r="O276" s="77"/>
      <c r="P276" s="77"/>
      <c r="Q276" s="77"/>
      <c r="R276" s="77"/>
      <c r="S276" s="64"/>
      <c r="T276" s="64"/>
      <c r="U276" s="64"/>
      <c r="V276" s="64"/>
      <c r="W276" s="63"/>
      <c r="X276" s="63"/>
      <c r="Y276" s="63"/>
      <c r="Z276" s="63"/>
      <c r="AA276" s="78"/>
      <c r="AB276" s="78"/>
      <c r="AC276" s="78"/>
      <c r="AD276" s="78"/>
      <c r="AE276" s="48">
        <v>200062</v>
      </c>
      <c r="AF276" s="44">
        <v>200066</v>
      </c>
      <c r="AG276" s="44">
        <v>200068</v>
      </c>
      <c r="AH276" s="44">
        <v>200075</v>
      </c>
      <c r="AI276" s="44">
        <v>200205</v>
      </c>
      <c r="AJ276" s="44">
        <v>200175</v>
      </c>
      <c r="AK276" s="44">
        <v>200177</v>
      </c>
      <c r="AL276" s="44" t="s">
        <v>116</v>
      </c>
      <c r="AM276" s="44" t="s">
        <v>116</v>
      </c>
      <c r="AN276" s="44" t="s">
        <v>116</v>
      </c>
      <c r="AO276" s="44" t="s">
        <v>116</v>
      </c>
      <c r="AP276" s="44" t="s">
        <v>116</v>
      </c>
      <c r="AQ276" s="44" t="s">
        <v>116</v>
      </c>
      <c r="AR276" s="44" t="s">
        <v>116</v>
      </c>
      <c r="AS276" s="44" t="s">
        <v>116</v>
      </c>
      <c r="AT276" s="44" t="s">
        <v>116</v>
      </c>
      <c r="AU276" s="62">
        <f t="shared" ref="AU276:BJ276" si="95">IF(AE276="","",1)</f>
        <v>1</v>
      </c>
      <c r="AV276" s="44">
        <f t="shared" si="95"/>
        <v>1</v>
      </c>
      <c r="AW276" s="44">
        <f t="shared" si="95"/>
        <v>1</v>
      </c>
      <c r="AX276" s="44">
        <f t="shared" si="95"/>
        <v>1</v>
      </c>
      <c r="AY276" s="44">
        <f t="shared" si="95"/>
        <v>1</v>
      </c>
      <c r="AZ276" s="44">
        <f t="shared" si="95"/>
        <v>1</v>
      </c>
      <c r="BA276" s="44">
        <f t="shared" si="95"/>
        <v>1</v>
      </c>
      <c r="BB276" s="44" t="str">
        <f t="shared" si="95"/>
        <v/>
      </c>
      <c r="BC276" s="44" t="str">
        <f t="shared" si="95"/>
        <v/>
      </c>
      <c r="BD276" s="44" t="str">
        <f t="shared" si="95"/>
        <v/>
      </c>
      <c r="BE276" s="44" t="str">
        <f t="shared" si="95"/>
        <v/>
      </c>
      <c r="BF276" s="44" t="str">
        <f t="shared" si="95"/>
        <v/>
      </c>
      <c r="BG276" s="44" t="str">
        <f t="shared" si="95"/>
        <v/>
      </c>
      <c r="BH276" s="44" t="str">
        <f t="shared" si="95"/>
        <v/>
      </c>
      <c r="BI276" s="44" t="str">
        <f t="shared" si="95"/>
        <v/>
      </c>
      <c r="BJ276" s="44" t="str">
        <f t="shared" si="95"/>
        <v/>
      </c>
      <c r="BK276" s="62">
        <v>50</v>
      </c>
      <c r="BL276" s="44">
        <v>200</v>
      </c>
      <c r="BM276" s="44">
        <v>100</v>
      </c>
      <c r="BN276" s="44">
        <v>10</v>
      </c>
      <c r="BO276" s="44">
        <v>100</v>
      </c>
      <c r="BP276" s="44">
        <v>2</v>
      </c>
      <c r="BQ276" s="44">
        <v>80</v>
      </c>
      <c r="BR276" s="44"/>
      <c r="BS276" s="44"/>
      <c r="BT276" s="44"/>
      <c r="BU276" s="44"/>
      <c r="BV276" s="44"/>
      <c r="BW276" s="44"/>
      <c r="BX276" s="44"/>
      <c r="BY276" s="44"/>
      <c r="BZ276" s="44"/>
      <c r="CA276" s="44">
        <f t="shared" si="82"/>
        <v>542</v>
      </c>
      <c r="CB276" s="44">
        <v>542</v>
      </c>
      <c r="CC276" s="44">
        <v>0</v>
      </c>
      <c r="CD276" s="44">
        <v>0</v>
      </c>
      <c r="CE276" s="44">
        <v>0</v>
      </c>
      <c r="CF276" s="44">
        <v>0</v>
      </c>
      <c r="CG276" s="44">
        <v>0</v>
      </c>
      <c r="CH276" s="44">
        <f t="shared" si="79"/>
        <v>0</v>
      </c>
      <c r="CI276" s="44">
        <v>1</v>
      </c>
      <c r="CJ276" s="44">
        <v>0</v>
      </c>
      <c r="CK276" s="44">
        <v>0</v>
      </c>
      <c r="CL276" s="44">
        <v>0</v>
      </c>
      <c r="CM276" s="44">
        <v>0</v>
      </c>
      <c r="CN276" s="44">
        <v>0</v>
      </c>
      <c r="CO276" s="44">
        <v>0</v>
      </c>
      <c r="CP276" s="44">
        <v>0</v>
      </c>
      <c r="CQ276" s="44">
        <v>0</v>
      </c>
      <c r="CR276" s="44">
        <v>0</v>
      </c>
      <c r="CS276" s="44"/>
      <c r="CT276" s="44"/>
      <c r="CU276" s="44"/>
      <c r="CV276" s="44">
        <v>0</v>
      </c>
      <c r="CW276" s="44">
        <v>0</v>
      </c>
      <c r="CX276" s="44"/>
    </row>
    <row r="277" s="44" customFormat="1" customHeight="1" spans="1:101">
      <c r="A277" s="45">
        <v>5930</v>
      </c>
      <c r="B277" s="79" t="s">
        <v>459</v>
      </c>
      <c r="H277" s="44" t="s">
        <v>116</v>
      </c>
      <c r="I277" s="44" t="s">
        <v>116</v>
      </c>
      <c r="K277" s="44" t="s">
        <v>116</v>
      </c>
      <c r="O277" s="77"/>
      <c r="P277" s="77"/>
      <c r="Q277" s="77"/>
      <c r="R277" s="77"/>
      <c r="S277" s="64"/>
      <c r="T277" s="64"/>
      <c r="U277" s="64"/>
      <c r="V277" s="64"/>
      <c r="W277" s="63"/>
      <c r="X277" s="63"/>
      <c r="Y277" s="63"/>
      <c r="Z277" s="63"/>
      <c r="AA277" s="78"/>
      <c r="AB277" s="78"/>
      <c r="AC277" s="78"/>
      <c r="AD277" s="78"/>
      <c r="AE277" s="48">
        <v>200181</v>
      </c>
      <c r="AF277" s="44">
        <v>200074</v>
      </c>
      <c r="AG277" s="44">
        <v>200071</v>
      </c>
      <c r="AH277" s="44">
        <v>200183</v>
      </c>
      <c r="AI277" s="44">
        <v>200205</v>
      </c>
      <c r="AJ277" s="44" t="s">
        <v>116</v>
      </c>
      <c r="AK277" s="44" t="s">
        <v>116</v>
      </c>
      <c r="AL277" s="44" t="s">
        <v>116</v>
      </c>
      <c r="AM277" s="44" t="s">
        <v>116</v>
      </c>
      <c r="AN277" s="44" t="s">
        <v>116</v>
      </c>
      <c r="AO277" s="44" t="s">
        <v>116</v>
      </c>
      <c r="AP277" s="44" t="s">
        <v>116</v>
      </c>
      <c r="AQ277" s="44" t="s">
        <v>116</v>
      </c>
      <c r="AR277" s="44" t="s">
        <v>116</v>
      </c>
      <c r="AS277" s="44" t="s">
        <v>116</v>
      </c>
      <c r="AT277" s="44" t="s">
        <v>116</v>
      </c>
      <c r="AU277" s="62">
        <f t="shared" ref="AU277:BJ277" si="96">IF(AE277="","",1)</f>
        <v>1</v>
      </c>
      <c r="AV277" s="44">
        <f t="shared" si="96"/>
        <v>1</v>
      </c>
      <c r="AW277" s="44">
        <f t="shared" si="96"/>
        <v>1</v>
      </c>
      <c r="AX277" s="44">
        <f t="shared" si="96"/>
        <v>1</v>
      </c>
      <c r="AY277" s="44">
        <f t="shared" si="96"/>
        <v>1</v>
      </c>
      <c r="AZ277" s="44" t="str">
        <f t="shared" si="96"/>
        <v/>
      </c>
      <c r="BA277" s="44" t="str">
        <f t="shared" si="96"/>
        <v/>
      </c>
      <c r="BB277" s="44" t="str">
        <f t="shared" si="96"/>
        <v/>
      </c>
      <c r="BC277" s="44" t="str">
        <f t="shared" si="96"/>
        <v/>
      </c>
      <c r="BD277" s="44" t="str">
        <f t="shared" si="96"/>
        <v/>
      </c>
      <c r="BE277" s="44" t="str">
        <f t="shared" si="96"/>
        <v/>
      </c>
      <c r="BF277" s="44" t="str">
        <f t="shared" si="96"/>
        <v/>
      </c>
      <c r="BG277" s="44" t="str">
        <f t="shared" si="96"/>
        <v/>
      </c>
      <c r="BH277" s="44" t="str">
        <f t="shared" si="96"/>
        <v/>
      </c>
      <c r="BI277" s="44" t="str">
        <f t="shared" si="96"/>
        <v/>
      </c>
      <c r="BJ277" s="44" t="str">
        <f t="shared" si="96"/>
        <v/>
      </c>
      <c r="BK277" s="62">
        <v>200</v>
      </c>
      <c r="BL277" s="44">
        <v>200</v>
      </c>
      <c r="BM277" s="44">
        <v>100</v>
      </c>
      <c r="BN277" s="44">
        <v>300</v>
      </c>
      <c r="BO277" s="44">
        <v>200</v>
      </c>
      <c r="CA277" s="44">
        <f t="shared" si="82"/>
        <v>1000</v>
      </c>
      <c r="CB277" s="44">
        <v>1000</v>
      </c>
      <c r="CC277" s="44">
        <v>0</v>
      </c>
      <c r="CD277" s="44">
        <v>0</v>
      </c>
      <c r="CE277" s="44">
        <v>0</v>
      </c>
      <c r="CF277" s="44">
        <v>0</v>
      </c>
      <c r="CG277" s="44">
        <v>0</v>
      </c>
      <c r="CH277" s="44">
        <f t="shared" si="79"/>
        <v>0</v>
      </c>
      <c r="CI277" s="44">
        <v>1</v>
      </c>
      <c r="CJ277" s="44">
        <v>0</v>
      </c>
      <c r="CK277" s="44">
        <v>0</v>
      </c>
      <c r="CL277" s="44">
        <v>0</v>
      </c>
      <c r="CM277" s="44">
        <v>0</v>
      </c>
      <c r="CN277" s="44">
        <v>0</v>
      </c>
      <c r="CO277" s="44">
        <v>0</v>
      </c>
      <c r="CP277" s="44">
        <v>0</v>
      </c>
      <c r="CQ277" s="44">
        <v>0</v>
      </c>
      <c r="CR277" s="44">
        <v>0</v>
      </c>
      <c r="CV277" s="44">
        <v>0</v>
      </c>
      <c r="CW277" s="44">
        <v>0</v>
      </c>
    </row>
    <row r="278" s="44" customFormat="1" customHeight="1" spans="1:101">
      <c r="A278" s="45">
        <v>5940</v>
      </c>
      <c r="B278" s="79" t="s">
        <v>460</v>
      </c>
      <c r="H278" s="44" t="s">
        <v>116</v>
      </c>
      <c r="I278" s="44" t="s">
        <v>116</v>
      </c>
      <c r="K278" s="44" t="s">
        <v>116</v>
      </c>
      <c r="O278" s="77"/>
      <c r="P278" s="77"/>
      <c r="Q278" s="77"/>
      <c r="R278" s="77"/>
      <c r="S278" s="64"/>
      <c r="T278" s="64"/>
      <c r="U278" s="64"/>
      <c r="V278" s="64"/>
      <c r="W278" s="63"/>
      <c r="X278" s="63"/>
      <c r="Y278" s="63"/>
      <c r="Z278" s="63"/>
      <c r="AA278" s="78"/>
      <c r="AB278" s="78"/>
      <c r="AC278" s="78"/>
      <c r="AD278" s="78"/>
      <c r="AE278" s="48">
        <v>200181</v>
      </c>
      <c r="AF278" s="44">
        <v>200074</v>
      </c>
      <c r="AG278" s="44">
        <v>200071</v>
      </c>
      <c r="AH278" s="44">
        <v>200183</v>
      </c>
      <c r="AI278" s="44">
        <v>200205</v>
      </c>
      <c r="AJ278" s="44" t="s">
        <v>116</v>
      </c>
      <c r="AK278" s="44" t="s">
        <v>116</v>
      </c>
      <c r="AL278" s="44" t="s">
        <v>116</v>
      </c>
      <c r="AM278" s="44" t="s">
        <v>116</v>
      </c>
      <c r="AN278" s="44" t="s">
        <v>116</v>
      </c>
      <c r="AO278" s="44" t="s">
        <v>116</v>
      </c>
      <c r="AP278" s="44" t="s">
        <v>116</v>
      </c>
      <c r="AQ278" s="44" t="s">
        <v>116</v>
      </c>
      <c r="AR278" s="44" t="s">
        <v>116</v>
      </c>
      <c r="AS278" s="44" t="s">
        <v>116</v>
      </c>
      <c r="AT278" s="44" t="s">
        <v>116</v>
      </c>
      <c r="AU278" s="62">
        <f t="shared" ref="AU278:BJ278" si="97">IF(AE278="","",1)</f>
        <v>1</v>
      </c>
      <c r="AV278" s="44">
        <f t="shared" si="97"/>
        <v>1</v>
      </c>
      <c r="AW278" s="44">
        <f t="shared" si="97"/>
        <v>1</v>
      </c>
      <c r="AX278" s="44">
        <f t="shared" si="97"/>
        <v>1</v>
      </c>
      <c r="AY278" s="44">
        <f t="shared" si="97"/>
        <v>1</v>
      </c>
      <c r="AZ278" s="44" t="str">
        <f t="shared" si="97"/>
        <v/>
      </c>
      <c r="BA278" s="44" t="str">
        <f t="shared" si="97"/>
        <v/>
      </c>
      <c r="BB278" s="44" t="str">
        <f t="shared" si="97"/>
        <v/>
      </c>
      <c r="BC278" s="44" t="str">
        <f t="shared" si="97"/>
        <v/>
      </c>
      <c r="BD278" s="44" t="str">
        <f t="shared" si="97"/>
        <v/>
      </c>
      <c r="BE278" s="44" t="str">
        <f t="shared" si="97"/>
        <v/>
      </c>
      <c r="BF278" s="44" t="str">
        <f t="shared" si="97"/>
        <v/>
      </c>
      <c r="BG278" s="44" t="str">
        <f t="shared" si="97"/>
        <v/>
      </c>
      <c r="BH278" s="44" t="str">
        <f t="shared" si="97"/>
        <v/>
      </c>
      <c r="BI278" s="44" t="str">
        <f t="shared" si="97"/>
        <v/>
      </c>
      <c r="BJ278" s="44" t="str">
        <f t="shared" si="97"/>
        <v/>
      </c>
      <c r="BK278" s="62">
        <v>150</v>
      </c>
      <c r="BL278" s="44">
        <v>200</v>
      </c>
      <c r="BM278" s="44">
        <v>150</v>
      </c>
      <c r="BN278" s="44">
        <v>300</v>
      </c>
      <c r="BO278" s="44">
        <v>200</v>
      </c>
      <c r="CA278" s="44">
        <f t="shared" si="82"/>
        <v>1000</v>
      </c>
      <c r="CB278" s="44">
        <v>1000</v>
      </c>
      <c r="CC278" s="44">
        <v>0</v>
      </c>
      <c r="CD278" s="44">
        <v>0</v>
      </c>
      <c r="CE278" s="44">
        <v>0</v>
      </c>
      <c r="CF278" s="44">
        <v>0</v>
      </c>
      <c r="CG278" s="44">
        <v>0</v>
      </c>
      <c r="CH278" s="44">
        <f t="shared" si="79"/>
        <v>0</v>
      </c>
      <c r="CI278" s="44">
        <v>1</v>
      </c>
      <c r="CJ278" s="44">
        <v>0</v>
      </c>
      <c r="CK278" s="44">
        <v>0</v>
      </c>
      <c r="CL278" s="44">
        <v>0</v>
      </c>
      <c r="CM278" s="44">
        <v>0</v>
      </c>
      <c r="CN278" s="44">
        <v>0</v>
      </c>
      <c r="CO278" s="44">
        <v>0</v>
      </c>
      <c r="CP278" s="44">
        <v>0</v>
      </c>
      <c r="CQ278" s="44">
        <v>0</v>
      </c>
      <c r="CR278" s="44">
        <v>0</v>
      </c>
      <c r="CV278" s="44">
        <v>0</v>
      </c>
      <c r="CW278" s="44">
        <v>0</v>
      </c>
    </row>
    <row r="279" s="44" customFormat="1" customHeight="1" spans="1:101">
      <c r="A279" s="45">
        <v>5950</v>
      </c>
      <c r="B279" s="79" t="s">
        <v>461</v>
      </c>
      <c r="I279" s="44" t="s">
        <v>116</v>
      </c>
      <c r="K279" s="44" t="s">
        <v>116</v>
      </c>
      <c r="O279" s="77"/>
      <c r="P279" s="77"/>
      <c r="Q279" s="77"/>
      <c r="R279" s="77"/>
      <c r="S279" s="64"/>
      <c r="T279" s="64"/>
      <c r="U279" s="64"/>
      <c r="V279" s="64"/>
      <c r="W279" s="63"/>
      <c r="X279" s="63"/>
      <c r="Y279" s="63"/>
      <c r="Z279" s="63"/>
      <c r="AA279" s="78"/>
      <c r="AB279" s="78"/>
      <c r="AC279" s="78"/>
      <c r="AD279" s="78"/>
      <c r="AE279" s="48">
        <v>200181</v>
      </c>
      <c r="AF279" s="44">
        <v>200074</v>
      </c>
      <c r="AG279" s="44">
        <v>200071</v>
      </c>
      <c r="AH279" s="44">
        <v>200183</v>
      </c>
      <c r="AI279" s="44">
        <v>200205</v>
      </c>
      <c r="AJ279" s="44" t="s">
        <v>116</v>
      </c>
      <c r="AK279" s="44" t="s">
        <v>116</v>
      </c>
      <c r="AL279" s="44" t="s">
        <v>116</v>
      </c>
      <c r="AM279" s="44" t="s">
        <v>116</v>
      </c>
      <c r="AN279" s="44" t="s">
        <v>116</v>
      </c>
      <c r="AO279" s="44" t="s">
        <v>116</v>
      </c>
      <c r="AP279" s="44" t="s">
        <v>116</v>
      </c>
      <c r="AQ279" s="44" t="s">
        <v>116</v>
      </c>
      <c r="AR279" s="44" t="s">
        <v>116</v>
      </c>
      <c r="AS279" s="44" t="s">
        <v>116</v>
      </c>
      <c r="AT279" s="44" t="s">
        <v>116</v>
      </c>
      <c r="AU279" s="62">
        <f t="shared" ref="AU279:BJ279" si="98">IF(AE279="","",1)</f>
        <v>1</v>
      </c>
      <c r="AV279" s="44">
        <f t="shared" si="98"/>
        <v>1</v>
      </c>
      <c r="AW279" s="44">
        <f t="shared" si="98"/>
        <v>1</v>
      </c>
      <c r="AX279" s="44">
        <f t="shared" si="98"/>
        <v>1</v>
      </c>
      <c r="AY279" s="44">
        <f t="shared" si="98"/>
        <v>1</v>
      </c>
      <c r="AZ279" s="44" t="str">
        <f t="shared" si="98"/>
        <v/>
      </c>
      <c r="BA279" s="44" t="str">
        <f t="shared" si="98"/>
        <v/>
      </c>
      <c r="BB279" s="44" t="str">
        <f t="shared" si="98"/>
        <v/>
      </c>
      <c r="BC279" s="44" t="str">
        <f t="shared" si="98"/>
        <v/>
      </c>
      <c r="BD279" s="44" t="str">
        <f t="shared" si="98"/>
        <v/>
      </c>
      <c r="BE279" s="44" t="str">
        <f t="shared" si="98"/>
        <v/>
      </c>
      <c r="BF279" s="44" t="str">
        <f t="shared" si="98"/>
        <v/>
      </c>
      <c r="BG279" s="44" t="str">
        <f t="shared" si="98"/>
        <v/>
      </c>
      <c r="BH279" s="44" t="str">
        <f t="shared" si="98"/>
        <v/>
      </c>
      <c r="BI279" s="44" t="str">
        <f t="shared" si="98"/>
        <v/>
      </c>
      <c r="BJ279" s="44" t="str">
        <f t="shared" si="98"/>
        <v/>
      </c>
      <c r="BK279" s="62">
        <v>100</v>
      </c>
      <c r="BL279" s="44">
        <v>200</v>
      </c>
      <c r="BM279" s="44">
        <v>200</v>
      </c>
      <c r="BN279" s="44">
        <v>300</v>
      </c>
      <c r="BO279" s="44">
        <v>200</v>
      </c>
      <c r="CA279" s="44">
        <f t="shared" si="82"/>
        <v>1000</v>
      </c>
      <c r="CB279" s="44">
        <v>1000</v>
      </c>
      <c r="CC279" s="44">
        <v>0</v>
      </c>
      <c r="CD279" s="44">
        <v>0</v>
      </c>
      <c r="CE279" s="44">
        <v>0</v>
      </c>
      <c r="CF279" s="44">
        <v>0</v>
      </c>
      <c r="CG279" s="44">
        <v>0</v>
      </c>
      <c r="CH279" s="44">
        <f t="shared" si="79"/>
        <v>0</v>
      </c>
      <c r="CI279" s="44">
        <v>1</v>
      </c>
      <c r="CJ279" s="44">
        <v>0</v>
      </c>
      <c r="CK279" s="44">
        <v>0</v>
      </c>
      <c r="CL279" s="44">
        <v>0</v>
      </c>
      <c r="CM279" s="44">
        <v>0</v>
      </c>
      <c r="CN279" s="44">
        <v>0</v>
      </c>
      <c r="CO279" s="44">
        <v>0</v>
      </c>
      <c r="CP279" s="44">
        <v>0</v>
      </c>
      <c r="CQ279" s="44">
        <v>0</v>
      </c>
      <c r="CR279" s="44">
        <v>0</v>
      </c>
      <c r="CV279" s="44">
        <v>0</v>
      </c>
      <c r="CW279" s="44">
        <v>0</v>
      </c>
    </row>
    <row r="280" s="51" customFormat="1" customHeight="1" spans="1:101">
      <c r="A280" s="51">
        <v>11801</v>
      </c>
      <c r="B280" s="123" t="s">
        <v>462</v>
      </c>
      <c r="N280" s="44"/>
      <c r="O280" s="77"/>
      <c r="P280" s="77"/>
      <c r="Q280" s="77"/>
      <c r="R280" s="77"/>
      <c r="S280" s="64"/>
      <c r="T280" s="64"/>
      <c r="U280" s="64"/>
      <c r="V280" s="64"/>
      <c r="W280" s="63"/>
      <c r="X280" s="63"/>
      <c r="Y280" s="63"/>
      <c r="Z280" s="63"/>
      <c r="AA280" s="78"/>
      <c r="AB280" s="78"/>
      <c r="AC280" s="78"/>
      <c r="AD280" s="78"/>
      <c r="AE280" s="48">
        <v>200501</v>
      </c>
      <c r="AF280" s="51">
        <v>200502</v>
      </c>
      <c r="AG280" s="51">
        <v>200503</v>
      </c>
      <c r="AH280" s="51">
        <v>200504</v>
      </c>
      <c r="AI280" s="51">
        <v>200505</v>
      </c>
      <c r="AJ280" s="51">
        <v>200506</v>
      </c>
      <c r="AK280" s="51">
        <v>200507</v>
      </c>
      <c r="AL280" s="51">
        <v>200508</v>
      </c>
      <c r="AM280" s="51">
        <v>200509</v>
      </c>
      <c r="AN280" s="51">
        <v>200510</v>
      </c>
      <c r="AU280" s="62">
        <v>2</v>
      </c>
      <c r="AV280" s="51">
        <v>2</v>
      </c>
      <c r="AW280" s="51">
        <v>2</v>
      </c>
      <c r="AX280" s="51">
        <v>2</v>
      </c>
      <c r="AY280" s="51">
        <v>2</v>
      </c>
      <c r="AZ280" s="51">
        <v>2</v>
      </c>
      <c r="BA280" s="51">
        <v>2</v>
      </c>
      <c r="BB280" s="51">
        <v>2</v>
      </c>
      <c r="BC280" s="51">
        <v>2</v>
      </c>
      <c r="BD280" s="51">
        <v>2</v>
      </c>
      <c r="BK280" s="62">
        <v>50</v>
      </c>
      <c r="BL280" s="51">
        <v>50</v>
      </c>
      <c r="BM280" s="51">
        <v>50</v>
      </c>
      <c r="BN280" s="51">
        <v>200</v>
      </c>
      <c r="BO280" s="51">
        <v>200</v>
      </c>
      <c r="BP280" s="51">
        <v>200</v>
      </c>
      <c r="BQ280" s="51">
        <v>200</v>
      </c>
      <c r="BR280" s="51">
        <v>200</v>
      </c>
      <c r="BS280" s="51">
        <v>200</v>
      </c>
      <c r="BT280" s="51">
        <v>200</v>
      </c>
      <c r="CA280" s="51">
        <f t="shared" si="82"/>
        <v>1550</v>
      </c>
      <c r="CB280" s="51">
        <f>CA280</f>
        <v>1550</v>
      </c>
      <c r="CC280" s="124">
        <v>0</v>
      </c>
      <c r="CD280" s="124">
        <v>0</v>
      </c>
      <c r="CE280" s="51">
        <v>0</v>
      </c>
      <c r="CF280" s="128">
        <v>160448</v>
      </c>
      <c r="CG280" s="124">
        <v>0</v>
      </c>
      <c r="CH280" s="51">
        <v>0</v>
      </c>
      <c r="CI280" s="124">
        <v>1</v>
      </c>
      <c r="CK280" s="124">
        <v>0</v>
      </c>
      <c r="CL280" s="124">
        <v>0</v>
      </c>
      <c r="CM280" s="124">
        <v>0</v>
      </c>
      <c r="CN280" s="124">
        <v>0</v>
      </c>
      <c r="CO280" s="124">
        <v>0</v>
      </c>
      <c r="CP280" s="124">
        <v>0</v>
      </c>
      <c r="CQ280" s="124">
        <v>1</v>
      </c>
      <c r="CR280" s="124">
        <v>0</v>
      </c>
      <c r="CV280" s="51">
        <v>0</v>
      </c>
      <c r="CW280" s="51">
        <v>0</v>
      </c>
    </row>
    <row r="281" s="51" customFormat="1" customHeight="1" spans="1:102">
      <c r="A281" s="124">
        <v>11802</v>
      </c>
      <c r="B281" s="125" t="s">
        <v>463</v>
      </c>
      <c r="D281" s="124"/>
      <c r="E281" s="124"/>
      <c r="F281" s="124"/>
      <c r="G281" s="124"/>
      <c r="H281" s="124"/>
      <c r="I281" s="124"/>
      <c r="K281" s="124"/>
      <c r="L281" s="124"/>
      <c r="M281" s="124"/>
      <c r="N281" s="44"/>
      <c r="O281" s="91">
        <v>200053</v>
      </c>
      <c r="P281" s="91">
        <v>1</v>
      </c>
      <c r="Q281" s="91">
        <v>0</v>
      </c>
      <c r="R281" s="91">
        <v>0</v>
      </c>
      <c r="S281" s="64">
        <v>0</v>
      </c>
      <c r="T281" s="64">
        <v>0</v>
      </c>
      <c r="U281" s="64">
        <v>0</v>
      </c>
      <c r="V281" s="64">
        <v>0</v>
      </c>
      <c r="W281" s="93">
        <v>0</v>
      </c>
      <c r="X281" s="93">
        <v>0</v>
      </c>
      <c r="Y281" s="93">
        <v>0</v>
      </c>
      <c r="Z281" s="93">
        <v>0</v>
      </c>
      <c r="AA281" s="94">
        <v>0</v>
      </c>
      <c r="AB281" s="94">
        <v>0</v>
      </c>
      <c r="AC281" s="94">
        <v>0</v>
      </c>
      <c r="AD281" s="94">
        <v>0</v>
      </c>
      <c r="AE281" s="95"/>
      <c r="AF281" s="124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  <c r="AT281" s="124"/>
      <c r="AU281" s="97"/>
      <c r="AV281" s="124"/>
      <c r="AW281" s="124"/>
      <c r="AX281" s="124"/>
      <c r="AY281" s="124"/>
      <c r="AZ281" s="124"/>
      <c r="BA281" s="124"/>
      <c r="BB281" s="124"/>
      <c r="BC281" s="124"/>
      <c r="BD281" s="124"/>
      <c r="BE281" s="124"/>
      <c r="BF281" s="124"/>
      <c r="BG281" s="124"/>
      <c r="BH281" s="124"/>
      <c r="BI281" s="124"/>
      <c r="BJ281" s="124"/>
      <c r="BK281" s="97">
        <v>1</v>
      </c>
      <c r="BL281" s="124">
        <v>10</v>
      </c>
      <c r="BM281" s="124">
        <v>10</v>
      </c>
      <c r="BN281" s="124">
        <v>40</v>
      </c>
      <c r="BO281" s="124">
        <v>40</v>
      </c>
      <c r="BP281" s="124"/>
      <c r="BQ281" s="124"/>
      <c r="BR281" s="124"/>
      <c r="BS281" s="124"/>
      <c r="BT281" s="124"/>
      <c r="BU281" s="124"/>
      <c r="BV281" s="124"/>
      <c r="BW281" s="124"/>
      <c r="BX281" s="124"/>
      <c r="BY281" s="124"/>
      <c r="BZ281" s="124"/>
      <c r="CA281" s="124">
        <v>1000</v>
      </c>
      <c r="CB281" s="51">
        <f t="shared" ref="CB281:CB286" si="99">CA281</f>
        <v>1000</v>
      </c>
      <c r="CC281" s="124">
        <v>0</v>
      </c>
      <c r="CD281" s="124">
        <v>0</v>
      </c>
      <c r="CE281" s="51">
        <v>0</v>
      </c>
      <c r="CF281" s="124">
        <v>160431</v>
      </c>
      <c r="CG281" s="124">
        <v>0</v>
      </c>
      <c r="CH281" s="51">
        <v>0</v>
      </c>
      <c r="CI281" s="124">
        <v>1</v>
      </c>
      <c r="CJ281" s="124"/>
      <c r="CK281" s="124">
        <v>0</v>
      </c>
      <c r="CL281" s="124">
        <v>0</v>
      </c>
      <c r="CM281" s="124">
        <v>0</v>
      </c>
      <c r="CN281" s="124">
        <v>0</v>
      </c>
      <c r="CO281" s="124">
        <v>0</v>
      </c>
      <c r="CP281" s="124">
        <v>0</v>
      </c>
      <c r="CQ281" s="124">
        <v>1</v>
      </c>
      <c r="CR281" s="124">
        <v>0</v>
      </c>
      <c r="CS281" s="124"/>
      <c r="CT281" s="124"/>
      <c r="CU281" s="124"/>
      <c r="CV281" s="51">
        <v>0</v>
      </c>
      <c r="CW281" s="51">
        <v>0</v>
      </c>
      <c r="CX281" s="124"/>
    </row>
    <row r="282" s="50" customFormat="1" customHeight="1" spans="1:101">
      <c r="A282" s="119">
        <v>5960</v>
      </c>
      <c r="B282" s="120" t="s">
        <v>464</v>
      </c>
      <c r="H282" s="50">
        <v>100000</v>
      </c>
      <c r="I282" s="50" t="s">
        <v>465</v>
      </c>
      <c r="J282" s="50">
        <v>100000</v>
      </c>
      <c r="K282" s="50" t="s">
        <v>466</v>
      </c>
      <c r="O282" s="77">
        <v>202126</v>
      </c>
      <c r="P282" s="77">
        <v>1</v>
      </c>
      <c r="Q282" s="77">
        <v>0</v>
      </c>
      <c r="R282" s="77">
        <v>0</v>
      </c>
      <c r="S282" s="64">
        <v>0</v>
      </c>
      <c r="T282" s="64">
        <v>0</v>
      </c>
      <c r="U282" s="64">
        <v>0</v>
      </c>
      <c r="V282" s="64">
        <v>0</v>
      </c>
      <c r="W282" s="63">
        <v>0</v>
      </c>
      <c r="X282" s="63">
        <v>0</v>
      </c>
      <c r="Y282" s="63">
        <v>0</v>
      </c>
      <c r="Z282" s="63">
        <v>0</v>
      </c>
      <c r="AA282" s="78">
        <v>0</v>
      </c>
      <c r="AB282" s="78">
        <v>0</v>
      </c>
      <c r="AC282" s="78">
        <v>0</v>
      </c>
      <c r="AD282" s="78">
        <v>0</v>
      </c>
      <c r="AE282" s="48">
        <v>200402</v>
      </c>
      <c r="AF282" s="49"/>
      <c r="AG282" s="49"/>
      <c r="AH282" s="44"/>
      <c r="AU282" s="62">
        <v>1</v>
      </c>
      <c r="BK282" s="62">
        <v>50</v>
      </c>
      <c r="CA282" s="50">
        <v>70</v>
      </c>
      <c r="CB282" s="50">
        <v>100</v>
      </c>
      <c r="CC282" s="50">
        <v>0</v>
      </c>
      <c r="CD282" s="50">
        <v>0</v>
      </c>
      <c r="CE282" s="50">
        <v>0</v>
      </c>
      <c r="CF282" s="122">
        <v>160448</v>
      </c>
      <c r="CG282" s="50">
        <v>0</v>
      </c>
      <c r="CH282" s="50">
        <v>1</v>
      </c>
      <c r="CI282" s="50">
        <v>1</v>
      </c>
      <c r="CJ282" s="50">
        <v>0</v>
      </c>
      <c r="CK282" s="50">
        <v>0</v>
      </c>
      <c r="CL282" s="50">
        <v>0</v>
      </c>
      <c r="CM282" s="50">
        <v>0</v>
      </c>
      <c r="CN282" s="50">
        <v>0</v>
      </c>
      <c r="CO282" s="50">
        <v>0</v>
      </c>
      <c r="CP282" s="50">
        <v>0</v>
      </c>
      <c r="CQ282" s="50">
        <v>0</v>
      </c>
      <c r="CR282" s="50">
        <v>0</v>
      </c>
      <c r="CV282" s="50">
        <v>0</v>
      </c>
      <c r="CW282" s="50">
        <v>0</v>
      </c>
    </row>
    <row r="283" s="51" customFormat="1" customHeight="1" spans="1:101">
      <c r="A283" s="124">
        <v>5961</v>
      </c>
      <c r="B283" s="123" t="s">
        <v>467</v>
      </c>
      <c r="H283" s="51" t="s">
        <v>468</v>
      </c>
      <c r="N283" s="44"/>
      <c r="O283" s="77"/>
      <c r="P283" s="77"/>
      <c r="Q283" s="77"/>
      <c r="R283" s="77"/>
      <c r="S283" s="64"/>
      <c r="T283" s="64"/>
      <c r="U283" s="64"/>
      <c r="V283" s="64"/>
      <c r="W283" s="63"/>
      <c r="X283" s="63"/>
      <c r="Y283" s="63"/>
      <c r="Z283" s="63"/>
      <c r="AA283" s="78"/>
      <c r="AB283" s="78"/>
      <c r="AC283" s="78"/>
      <c r="AD283" s="78"/>
      <c r="AE283" s="48"/>
      <c r="AU283" s="62"/>
      <c r="BK283" s="62"/>
      <c r="CA283" s="51">
        <f t="shared" ref="CA283:CA341" si="100">SUM(BK283:BZ283)</f>
        <v>0</v>
      </c>
      <c r="CB283" s="51">
        <f t="shared" si="99"/>
        <v>0</v>
      </c>
      <c r="CC283" s="51">
        <v>0</v>
      </c>
      <c r="CD283" s="51">
        <v>0</v>
      </c>
      <c r="CE283" s="51">
        <v>0</v>
      </c>
      <c r="CF283" s="128">
        <v>160448</v>
      </c>
      <c r="CG283" s="51">
        <v>0</v>
      </c>
      <c r="CH283" s="51">
        <v>1</v>
      </c>
      <c r="CI283" s="51">
        <v>1</v>
      </c>
      <c r="CJ283" s="51">
        <v>0</v>
      </c>
      <c r="CK283" s="51">
        <v>0</v>
      </c>
      <c r="CL283" s="51">
        <v>0</v>
      </c>
      <c r="CM283" s="51">
        <v>0</v>
      </c>
      <c r="CN283" s="51">
        <v>0</v>
      </c>
      <c r="CO283" s="51">
        <v>0</v>
      </c>
      <c r="CP283" s="51">
        <v>0</v>
      </c>
      <c r="CQ283" s="51">
        <v>0</v>
      </c>
      <c r="CR283" s="51">
        <v>0</v>
      </c>
      <c r="CV283" s="51">
        <v>0</v>
      </c>
      <c r="CW283" s="51">
        <v>0</v>
      </c>
    </row>
    <row r="284" s="49" customFormat="1" customHeight="1" spans="1:101">
      <c r="A284" s="116">
        <v>5970</v>
      </c>
      <c r="B284" s="117" t="s">
        <v>469</v>
      </c>
      <c r="K284" s="49" t="s">
        <v>470</v>
      </c>
      <c r="N284" s="44"/>
      <c r="O284" s="77">
        <v>200115</v>
      </c>
      <c r="P284" s="77">
        <v>100</v>
      </c>
      <c r="Q284" s="77">
        <v>0</v>
      </c>
      <c r="R284" s="77">
        <v>0</v>
      </c>
      <c r="S284" s="64"/>
      <c r="T284" s="64"/>
      <c r="U284" s="64"/>
      <c r="V284" s="64"/>
      <c r="W284" s="63"/>
      <c r="X284" s="63"/>
      <c r="Y284" s="63"/>
      <c r="Z284" s="63"/>
      <c r="AA284" s="78"/>
      <c r="AB284" s="78"/>
      <c r="AC284" s="78"/>
      <c r="AD284" s="78"/>
      <c r="AE284" s="48"/>
      <c r="AU284" s="62"/>
      <c r="BK284" s="62"/>
      <c r="CA284" s="49">
        <f t="shared" si="100"/>
        <v>0</v>
      </c>
      <c r="CB284" s="49">
        <f t="shared" si="99"/>
        <v>0</v>
      </c>
      <c r="CC284" s="49">
        <v>0</v>
      </c>
      <c r="CD284" s="49">
        <v>0</v>
      </c>
      <c r="CE284" s="49">
        <v>0</v>
      </c>
      <c r="CF284" s="49">
        <v>193040</v>
      </c>
      <c r="CG284" s="49">
        <v>0</v>
      </c>
      <c r="CH284" s="49">
        <v>0</v>
      </c>
      <c r="CI284" s="49">
        <v>1</v>
      </c>
      <c r="CJ284" s="49">
        <v>0</v>
      </c>
      <c r="CK284" s="49">
        <v>0</v>
      </c>
      <c r="CL284" s="49">
        <v>0</v>
      </c>
      <c r="CM284" s="49">
        <v>0</v>
      </c>
      <c r="CN284" s="49">
        <v>0</v>
      </c>
      <c r="CO284" s="49">
        <v>0</v>
      </c>
      <c r="CP284" s="49">
        <v>0</v>
      </c>
      <c r="CQ284" s="49">
        <v>1</v>
      </c>
      <c r="CR284" s="49">
        <v>0</v>
      </c>
      <c r="CV284" s="49">
        <v>0</v>
      </c>
      <c r="CW284" s="49">
        <v>0</v>
      </c>
    </row>
    <row r="285" s="49" customFormat="1" customHeight="1" spans="1:101">
      <c r="A285" s="116">
        <v>5980</v>
      </c>
      <c r="B285" s="117" t="s">
        <v>471</v>
      </c>
      <c r="K285" s="49" t="s">
        <v>472</v>
      </c>
      <c r="N285" s="44"/>
      <c r="O285" s="77">
        <v>200115</v>
      </c>
      <c r="P285" s="77">
        <v>50</v>
      </c>
      <c r="Q285" s="77">
        <v>0</v>
      </c>
      <c r="R285" s="77">
        <v>0</v>
      </c>
      <c r="S285" s="64"/>
      <c r="T285" s="64"/>
      <c r="U285" s="64"/>
      <c r="V285" s="64"/>
      <c r="W285" s="63"/>
      <c r="X285" s="63"/>
      <c r="Y285" s="63"/>
      <c r="Z285" s="63"/>
      <c r="AA285" s="78"/>
      <c r="AB285" s="78"/>
      <c r="AC285" s="78"/>
      <c r="AD285" s="78"/>
      <c r="AE285" s="48"/>
      <c r="AU285" s="62"/>
      <c r="BK285" s="62"/>
      <c r="CA285" s="49">
        <f t="shared" si="100"/>
        <v>0</v>
      </c>
      <c r="CB285" s="49">
        <f t="shared" si="99"/>
        <v>0</v>
      </c>
      <c r="CC285" s="49">
        <v>0</v>
      </c>
      <c r="CD285" s="49">
        <v>0</v>
      </c>
      <c r="CE285" s="49">
        <v>0</v>
      </c>
      <c r="CF285" s="49">
        <v>193041</v>
      </c>
      <c r="CG285" s="49">
        <v>0</v>
      </c>
      <c r="CH285" s="49">
        <v>0</v>
      </c>
      <c r="CI285" s="49">
        <v>1</v>
      </c>
      <c r="CJ285" s="49">
        <v>0</v>
      </c>
      <c r="CK285" s="49">
        <v>0</v>
      </c>
      <c r="CL285" s="49">
        <v>0</v>
      </c>
      <c r="CM285" s="49">
        <v>0</v>
      </c>
      <c r="CN285" s="49">
        <v>0</v>
      </c>
      <c r="CO285" s="49">
        <v>0</v>
      </c>
      <c r="CP285" s="49">
        <v>0</v>
      </c>
      <c r="CQ285" s="49">
        <v>1</v>
      </c>
      <c r="CR285" s="49">
        <v>0</v>
      </c>
      <c r="CV285" s="49">
        <v>0</v>
      </c>
      <c r="CW285" s="49">
        <v>0</v>
      </c>
    </row>
    <row r="286" s="49" customFormat="1" customHeight="1" spans="1:101">
      <c r="A286" s="116">
        <v>5990</v>
      </c>
      <c r="B286" s="117" t="s">
        <v>473</v>
      </c>
      <c r="K286" s="49" t="s">
        <v>474</v>
      </c>
      <c r="N286" s="44"/>
      <c r="O286" s="77">
        <v>200115</v>
      </c>
      <c r="P286" s="77">
        <v>25</v>
      </c>
      <c r="Q286" s="77">
        <v>0</v>
      </c>
      <c r="R286" s="77">
        <v>0</v>
      </c>
      <c r="S286" s="64"/>
      <c r="T286" s="64"/>
      <c r="U286" s="64"/>
      <c r="V286" s="64"/>
      <c r="W286" s="63"/>
      <c r="X286" s="63"/>
      <c r="Y286" s="63"/>
      <c r="Z286" s="63"/>
      <c r="AA286" s="78"/>
      <c r="AB286" s="78"/>
      <c r="AC286" s="78"/>
      <c r="AD286" s="78"/>
      <c r="AE286" s="48"/>
      <c r="AU286" s="62"/>
      <c r="BK286" s="62"/>
      <c r="CA286" s="49">
        <f t="shared" si="100"/>
        <v>0</v>
      </c>
      <c r="CB286" s="49">
        <f t="shared" si="99"/>
        <v>0</v>
      </c>
      <c r="CC286" s="49">
        <v>0</v>
      </c>
      <c r="CD286" s="49">
        <v>0</v>
      </c>
      <c r="CE286" s="49">
        <v>0</v>
      </c>
      <c r="CF286" s="49">
        <v>193042</v>
      </c>
      <c r="CG286" s="49">
        <v>0</v>
      </c>
      <c r="CH286" s="49">
        <v>0</v>
      </c>
      <c r="CI286" s="49">
        <v>1</v>
      </c>
      <c r="CJ286" s="49">
        <v>0</v>
      </c>
      <c r="CK286" s="49">
        <v>0</v>
      </c>
      <c r="CL286" s="49">
        <v>0</v>
      </c>
      <c r="CM286" s="49">
        <v>0</v>
      </c>
      <c r="CN286" s="49">
        <v>0</v>
      </c>
      <c r="CO286" s="49">
        <v>0</v>
      </c>
      <c r="CP286" s="49">
        <v>0</v>
      </c>
      <c r="CQ286" s="49">
        <v>1</v>
      </c>
      <c r="CR286" s="49">
        <v>0</v>
      </c>
      <c r="CV286" s="49">
        <v>0</v>
      </c>
      <c r="CW286" s="49">
        <v>0</v>
      </c>
    </row>
    <row r="287" s="52" customFormat="1" customHeight="1" spans="1:101">
      <c r="A287" s="126">
        <v>6000</v>
      </c>
      <c r="B287" s="127" t="s">
        <v>475</v>
      </c>
      <c r="H287" s="52">
        <v>1000000</v>
      </c>
      <c r="J287" s="52" t="s">
        <v>476</v>
      </c>
      <c r="K287" s="52">
        <v>1000</v>
      </c>
      <c r="O287" s="77">
        <v>201261</v>
      </c>
      <c r="P287" s="77">
        <v>1</v>
      </c>
      <c r="Q287" s="77">
        <v>0</v>
      </c>
      <c r="R287" s="77">
        <v>0</v>
      </c>
      <c r="S287" s="64">
        <v>200115</v>
      </c>
      <c r="T287" s="64">
        <v>1</v>
      </c>
      <c r="U287" s="64">
        <v>0</v>
      </c>
      <c r="V287" s="64">
        <v>0</v>
      </c>
      <c r="W287" s="63"/>
      <c r="X287" s="63"/>
      <c r="Y287" s="63"/>
      <c r="Z287" s="63"/>
      <c r="AA287" s="78"/>
      <c r="AB287" s="78"/>
      <c r="AC287" s="78"/>
      <c r="AD287" s="78"/>
      <c r="AE287" s="48"/>
      <c r="AU287" s="62"/>
      <c r="BK287" s="62"/>
      <c r="CA287" s="52">
        <f t="shared" si="100"/>
        <v>0</v>
      </c>
      <c r="CB287" s="52">
        <v>1000</v>
      </c>
      <c r="CC287" s="52">
        <v>0</v>
      </c>
      <c r="CD287" s="52">
        <v>0</v>
      </c>
      <c r="CE287" s="52">
        <v>0</v>
      </c>
      <c r="CF287" s="52">
        <v>193014</v>
      </c>
      <c r="CG287" s="52">
        <v>0</v>
      </c>
      <c r="CH287" s="52">
        <f t="shared" ref="CH287:CH328" si="101">IF(RIGHT(B287,1)="0",1,0)</f>
        <v>0</v>
      </c>
      <c r="CI287" s="52">
        <v>1</v>
      </c>
      <c r="CJ287" s="52">
        <v>0</v>
      </c>
      <c r="CK287" s="52">
        <v>0</v>
      </c>
      <c r="CL287" s="52">
        <v>0</v>
      </c>
      <c r="CM287" s="52">
        <v>0</v>
      </c>
      <c r="CN287" s="52">
        <v>0</v>
      </c>
      <c r="CO287" s="52">
        <v>0</v>
      </c>
      <c r="CP287" s="52">
        <v>0</v>
      </c>
      <c r="CQ287" s="52">
        <v>0</v>
      </c>
      <c r="CR287" s="52">
        <v>0</v>
      </c>
      <c r="CV287" s="52">
        <v>0</v>
      </c>
      <c r="CW287" s="52">
        <v>0</v>
      </c>
    </row>
    <row r="288" s="52" customFormat="1" customHeight="1" spans="1:101">
      <c r="A288" s="126">
        <v>6010</v>
      </c>
      <c r="B288" s="127" t="s">
        <v>475</v>
      </c>
      <c r="H288" s="52">
        <v>1000000</v>
      </c>
      <c r="J288" s="52" t="s">
        <v>476</v>
      </c>
      <c r="K288" s="52">
        <v>1000</v>
      </c>
      <c r="O288" s="77">
        <v>201261</v>
      </c>
      <c r="P288" s="77">
        <v>1</v>
      </c>
      <c r="Q288" s="77">
        <v>0</v>
      </c>
      <c r="R288" s="77">
        <v>0</v>
      </c>
      <c r="S288" s="64">
        <v>200115</v>
      </c>
      <c r="T288" s="64">
        <v>1</v>
      </c>
      <c r="U288" s="64">
        <v>0</v>
      </c>
      <c r="V288" s="64">
        <v>0</v>
      </c>
      <c r="W288" s="63"/>
      <c r="X288" s="63"/>
      <c r="Y288" s="63"/>
      <c r="Z288" s="63"/>
      <c r="AA288" s="78"/>
      <c r="AB288" s="78"/>
      <c r="AC288" s="78"/>
      <c r="AD288" s="78"/>
      <c r="AE288" s="48"/>
      <c r="AU288" s="62"/>
      <c r="BK288" s="62"/>
      <c r="CA288" s="52">
        <f t="shared" si="100"/>
        <v>0</v>
      </c>
      <c r="CB288" s="52">
        <v>1000</v>
      </c>
      <c r="CC288" s="52">
        <v>0</v>
      </c>
      <c r="CD288" s="52">
        <v>0</v>
      </c>
      <c r="CE288" s="52">
        <v>0</v>
      </c>
      <c r="CF288" s="52">
        <v>193014</v>
      </c>
      <c r="CG288" s="52">
        <v>0</v>
      </c>
      <c r="CH288" s="52">
        <f t="shared" si="101"/>
        <v>0</v>
      </c>
      <c r="CI288" s="52">
        <v>1</v>
      </c>
      <c r="CJ288" s="52">
        <v>0</v>
      </c>
      <c r="CK288" s="52">
        <v>0</v>
      </c>
      <c r="CL288" s="52">
        <v>0</v>
      </c>
      <c r="CM288" s="52">
        <v>0</v>
      </c>
      <c r="CN288" s="52">
        <v>0</v>
      </c>
      <c r="CO288" s="52">
        <v>0</v>
      </c>
      <c r="CP288" s="52">
        <v>0</v>
      </c>
      <c r="CQ288" s="52">
        <v>0</v>
      </c>
      <c r="CR288" s="52">
        <v>0</v>
      </c>
      <c r="CV288" s="52">
        <v>0</v>
      </c>
      <c r="CW288" s="52">
        <v>0</v>
      </c>
    </row>
    <row r="289" s="52" customFormat="1" customHeight="1" spans="1:101">
      <c r="A289" s="126">
        <v>6020</v>
      </c>
      <c r="B289" s="127" t="s">
        <v>477</v>
      </c>
      <c r="H289" s="52">
        <v>1000000</v>
      </c>
      <c r="J289" s="52" t="s">
        <v>476</v>
      </c>
      <c r="K289" s="52">
        <v>1000</v>
      </c>
      <c r="O289" s="77">
        <v>201261</v>
      </c>
      <c r="P289" s="77">
        <v>1</v>
      </c>
      <c r="Q289" s="77">
        <v>0</v>
      </c>
      <c r="R289" s="77">
        <v>0</v>
      </c>
      <c r="S289" s="64">
        <v>200115</v>
      </c>
      <c r="T289" s="64">
        <v>1</v>
      </c>
      <c r="U289" s="64">
        <v>0</v>
      </c>
      <c r="V289" s="64">
        <v>0</v>
      </c>
      <c r="W289" s="63"/>
      <c r="X289" s="63"/>
      <c r="Y289" s="63"/>
      <c r="Z289" s="63"/>
      <c r="AA289" s="78"/>
      <c r="AB289" s="78"/>
      <c r="AC289" s="78"/>
      <c r="AD289" s="78"/>
      <c r="AE289" s="48"/>
      <c r="AU289" s="62"/>
      <c r="BK289" s="62"/>
      <c r="CA289" s="52">
        <f t="shared" si="100"/>
        <v>0</v>
      </c>
      <c r="CB289" s="52">
        <v>1000</v>
      </c>
      <c r="CC289" s="52">
        <v>0</v>
      </c>
      <c r="CD289" s="52">
        <v>0</v>
      </c>
      <c r="CE289" s="52">
        <v>0</v>
      </c>
      <c r="CF289" s="52">
        <v>193014</v>
      </c>
      <c r="CG289" s="52">
        <v>0</v>
      </c>
      <c r="CH289" s="52">
        <f t="shared" si="101"/>
        <v>0</v>
      </c>
      <c r="CI289" s="52">
        <v>1</v>
      </c>
      <c r="CJ289" s="52">
        <v>0</v>
      </c>
      <c r="CK289" s="52">
        <v>0</v>
      </c>
      <c r="CL289" s="52">
        <v>0</v>
      </c>
      <c r="CM289" s="52">
        <v>0</v>
      </c>
      <c r="CN289" s="52">
        <v>0</v>
      </c>
      <c r="CO289" s="52">
        <v>0</v>
      </c>
      <c r="CP289" s="52">
        <v>0</v>
      </c>
      <c r="CQ289" s="52">
        <v>0</v>
      </c>
      <c r="CR289" s="52">
        <v>0</v>
      </c>
      <c r="CV289" s="52">
        <v>0</v>
      </c>
      <c r="CW289" s="52">
        <v>0</v>
      </c>
    </row>
    <row r="290" s="52" customFormat="1" customHeight="1" spans="1:101">
      <c r="A290" s="126">
        <v>6030</v>
      </c>
      <c r="B290" s="127" t="s">
        <v>478</v>
      </c>
      <c r="H290" s="52">
        <v>1000000</v>
      </c>
      <c r="J290" s="52" t="s">
        <v>476</v>
      </c>
      <c r="K290" s="52">
        <v>1000</v>
      </c>
      <c r="O290" s="77">
        <v>201261</v>
      </c>
      <c r="P290" s="77">
        <v>1</v>
      </c>
      <c r="Q290" s="77">
        <v>0</v>
      </c>
      <c r="R290" s="77">
        <v>0</v>
      </c>
      <c r="S290" s="64">
        <v>200115</v>
      </c>
      <c r="T290" s="64">
        <v>1</v>
      </c>
      <c r="U290" s="64">
        <v>0</v>
      </c>
      <c r="V290" s="64">
        <v>0</v>
      </c>
      <c r="W290" s="63"/>
      <c r="X290" s="63"/>
      <c r="Y290" s="63"/>
      <c r="Z290" s="63"/>
      <c r="AA290" s="78"/>
      <c r="AB290" s="78"/>
      <c r="AC290" s="78"/>
      <c r="AD290" s="78"/>
      <c r="AE290" s="48"/>
      <c r="AU290" s="62"/>
      <c r="BK290" s="62"/>
      <c r="CA290" s="52">
        <f t="shared" si="100"/>
        <v>0</v>
      </c>
      <c r="CB290" s="52">
        <v>1000</v>
      </c>
      <c r="CC290" s="52">
        <v>0</v>
      </c>
      <c r="CD290" s="52">
        <v>0</v>
      </c>
      <c r="CE290" s="52">
        <v>0</v>
      </c>
      <c r="CF290" s="52">
        <v>193014</v>
      </c>
      <c r="CG290" s="52">
        <v>0</v>
      </c>
      <c r="CH290" s="52">
        <f t="shared" si="101"/>
        <v>0</v>
      </c>
      <c r="CI290" s="52">
        <v>1</v>
      </c>
      <c r="CJ290" s="52">
        <v>0</v>
      </c>
      <c r="CK290" s="52">
        <v>0</v>
      </c>
      <c r="CL290" s="52">
        <v>0</v>
      </c>
      <c r="CM290" s="52">
        <v>0</v>
      </c>
      <c r="CN290" s="52">
        <v>0</v>
      </c>
      <c r="CO290" s="52">
        <v>0</v>
      </c>
      <c r="CP290" s="52">
        <v>0</v>
      </c>
      <c r="CQ290" s="52">
        <v>0</v>
      </c>
      <c r="CR290" s="52">
        <v>0</v>
      </c>
      <c r="CV290" s="52">
        <v>0</v>
      </c>
      <c r="CW290" s="52">
        <v>0</v>
      </c>
    </row>
    <row r="291" s="49" customFormat="1" customHeight="1" spans="1:101">
      <c r="A291" s="116">
        <v>6040</v>
      </c>
      <c r="B291" s="117" t="s">
        <v>479</v>
      </c>
      <c r="H291" s="50">
        <v>500000</v>
      </c>
      <c r="I291" s="49" t="s">
        <v>116</v>
      </c>
      <c r="J291" s="49" t="s">
        <v>480</v>
      </c>
      <c r="K291" s="49">
        <v>500</v>
      </c>
      <c r="O291" s="77"/>
      <c r="P291" s="77"/>
      <c r="Q291" s="77"/>
      <c r="R291" s="77"/>
      <c r="S291" s="64"/>
      <c r="T291" s="64"/>
      <c r="U291" s="64"/>
      <c r="V291" s="64"/>
      <c r="W291" s="63"/>
      <c r="X291" s="63"/>
      <c r="Y291" s="63"/>
      <c r="Z291" s="63"/>
      <c r="AA291" s="78"/>
      <c r="AB291" s="78"/>
      <c r="AC291" s="78"/>
      <c r="AD291" s="78"/>
      <c r="AE291" s="48"/>
      <c r="AU291" s="62"/>
      <c r="BK291" s="62"/>
      <c r="CA291" s="49">
        <f t="shared" si="100"/>
        <v>0</v>
      </c>
      <c r="CB291" s="49">
        <v>1000</v>
      </c>
      <c r="CC291" s="49">
        <v>0</v>
      </c>
      <c r="CD291" s="49">
        <v>0</v>
      </c>
      <c r="CE291" s="49">
        <v>0</v>
      </c>
      <c r="CF291" s="49">
        <v>0</v>
      </c>
      <c r="CG291" s="49">
        <v>0</v>
      </c>
      <c r="CH291" s="49">
        <f t="shared" si="101"/>
        <v>0</v>
      </c>
      <c r="CI291" s="49">
        <v>1</v>
      </c>
      <c r="CJ291" s="49">
        <v>0</v>
      </c>
      <c r="CK291" s="49">
        <v>0</v>
      </c>
      <c r="CL291" s="49">
        <v>0</v>
      </c>
      <c r="CM291" s="49">
        <v>0</v>
      </c>
      <c r="CN291" s="49">
        <v>0</v>
      </c>
      <c r="CO291" s="49">
        <v>0</v>
      </c>
      <c r="CP291" s="49">
        <v>0</v>
      </c>
      <c r="CQ291" s="49">
        <v>0</v>
      </c>
      <c r="CR291" s="49">
        <v>0</v>
      </c>
      <c r="CV291" s="49">
        <v>0</v>
      </c>
      <c r="CW291" s="49">
        <v>0</v>
      </c>
    </row>
    <row r="292" s="49" customFormat="1" customHeight="1" spans="1:101">
      <c r="A292" s="116">
        <v>6050</v>
      </c>
      <c r="B292" s="117" t="s">
        <v>479</v>
      </c>
      <c r="H292" s="50">
        <v>500000</v>
      </c>
      <c r="I292" s="49" t="s">
        <v>116</v>
      </c>
      <c r="J292" s="49" t="s">
        <v>480</v>
      </c>
      <c r="K292" s="49">
        <v>500</v>
      </c>
      <c r="O292" s="77"/>
      <c r="P292" s="77"/>
      <c r="Q292" s="77"/>
      <c r="R292" s="77"/>
      <c r="S292" s="64"/>
      <c r="T292" s="64"/>
      <c r="U292" s="64"/>
      <c r="V292" s="64"/>
      <c r="W292" s="63"/>
      <c r="X292" s="63"/>
      <c r="Y292" s="63"/>
      <c r="Z292" s="63"/>
      <c r="AA292" s="78"/>
      <c r="AB292" s="78"/>
      <c r="AC292" s="78"/>
      <c r="AD292" s="78"/>
      <c r="AE292" s="48"/>
      <c r="AU292" s="62"/>
      <c r="BK292" s="62"/>
      <c r="CA292" s="49">
        <f t="shared" si="100"/>
        <v>0</v>
      </c>
      <c r="CB292" s="49">
        <v>1000</v>
      </c>
      <c r="CC292" s="49">
        <v>0</v>
      </c>
      <c r="CD292" s="49">
        <v>0</v>
      </c>
      <c r="CE292" s="49">
        <v>0</v>
      </c>
      <c r="CF292" s="49">
        <v>0</v>
      </c>
      <c r="CG292" s="49">
        <v>0</v>
      </c>
      <c r="CH292" s="49">
        <f t="shared" si="101"/>
        <v>0</v>
      </c>
      <c r="CI292" s="49">
        <v>1</v>
      </c>
      <c r="CJ292" s="49">
        <v>0</v>
      </c>
      <c r="CK292" s="49">
        <v>0</v>
      </c>
      <c r="CL292" s="49">
        <v>0</v>
      </c>
      <c r="CM292" s="49">
        <v>0</v>
      </c>
      <c r="CN292" s="49">
        <v>0</v>
      </c>
      <c r="CO292" s="49">
        <v>0</v>
      </c>
      <c r="CP292" s="49">
        <v>0</v>
      </c>
      <c r="CQ292" s="49">
        <v>0</v>
      </c>
      <c r="CR292" s="49">
        <v>0</v>
      </c>
      <c r="CV292" s="49">
        <v>0</v>
      </c>
      <c r="CW292" s="49">
        <v>0</v>
      </c>
    </row>
    <row r="293" s="49" customFormat="1" customHeight="1" spans="1:101">
      <c r="A293" s="116">
        <v>6060</v>
      </c>
      <c r="B293" s="117" t="s">
        <v>481</v>
      </c>
      <c r="H293" s="50">
        <v>500000</v>
      </c>
      <c r="I293" s="49" t="s">
        <v>116</v>
      </c>
      <c r="J293" s="49" t="s">
        <v>480</v>
      </c>
      <c r="K293" s="49">
        <v>500</v>
      </c>
      <c r="O293" s="77"/>
      <c r="P293" s="77"/>
      <c r="Q293" s="77"/>
      <c r="R293" s="77"/>
      <c r="S293" s="64"/>
      <c r="T293" s="64"/>
      <c r="U293" s="64"/>
      <c r="V293" s="64"/>
      <c r="W293" s="63"/>
      <c r="X293" s="63"/>
      <c r="Y293" s="63"/>
      <c r="Z293" s="63"/>
      <c r="AA293" s="78"/>
      <c r="AB293" s="78"/>
      <c r="AC293" s="78"/>
      <c r="AD293" s="78"/>
      <c r="AE293" s="48"/>
      <c r="AU293" s="62"/>
      <c r="BK293" s="62"/>
      <c r="CA293" s="49">
        <f t="shared" si="100"/>
        <v>0</v>
      </c>
      <c r="CB293" s="49">
        <v>1000</v>
      </c>
      <c r="CC293" s="49">
        <v>0</v>
      </c>
      <c r="CD293" s="49">
        <v>0</v>
      </c>
      <c r="CE293" s="49">
        <v>0</v>
      </c>
      <c r="CF293" s="49">
        <v>0</v>
      </c>
      <c r="CG293" s="49">
        <v>0</v>
      </c>
      <c r="CH293" s="49">
        <f t="shared" si="101"/>
        <v>0</v>
      </c>
      <c r="CI293" s="49">
        <v>1</v>
      </c>
      <c r="CJ293" s="49">
        <v>0</v>
      </c>
      <c r="CK293" s="49">
        <v>0</v>
      </c>
      <c r="CL293" s="49">
        <v>0</v>
      </c>
      <c r="CM293" s="49">
        <v>0</v>
      </c>
      <c r="CN293" s="49">
        <v>0</v>
      </c>
      <c r="CO293" s="49">
        <v>0</v>
      </c>
      <c r="CP293" s="49">
        <v>0</v>
      </c>
      <c r="CQ293" s="49">
        <v>0</v>
      </c>
      <c r="CR293" s="49">
        <v>0</v>
      </c>
      <c r="CV293" s="49">
        <v>0</v>
      </c>
      <c r="CW293" s="49">
        <v>0</v>
      </c>
    </row>
    <row r="294" s="49" customFormat="1" customHeight="1" spans="1:101">
      <c r="A294" s="116">
        <v>6070</v>
      </c>
      <c r="B294" s="117" t="s">
        <v>482</v>
      </c>
      <c r="H294" s="50">
        <v>500000</v>
      </c>
      <c r="I294" s="49" t="s">
        <v>116</v>
      </c>
      <c r="J294" s="49" t="s">
        <v>480</v>
      </c>
      <c r="K294" s="49">
        <v>500</v>
      </c>
      <c r="O294" s="77"/>
      <c r="P294" s="77"/>
      <c r="Q294" s="77"/>
      <c r="R294" s="77"/>
      <c r="S294" s="64"/>
      <c r="T294" s="64"/>
      <c r="U294" s="64"/>
      <c r="V294" s="64"/>
      <c r="W294" s="63"/>
      <c r="X294" s="63"/>
      <c r="Y294" s="63"/>
      <c r="Z294" s="63"/>
      <c r="AA294" s="78"/>
      <c r="AB294" s="78"/>
      <c r="AC294" s="78"/>
      <c r="AD294" s="78"/>
      <c r="AE294" s="48"/>
      <c r="AU294" s="62"/>
      <c r="BK294" s="62"/>
      <c r="CA294" s="49">
        <f t="shared" si="100"/>
        <v>0</v>
      </c>
      <c r="CB294" s="49">
        <v>1000</v>
      </c>
      <c r="CC294" s="49">
        <v>0</v>
      </c>
      <c r="CD294" s="49">
        <v>0</v>
      </c>
      <c r="CE294" s="49">
        <v>0</v>
      </c>
      <c r="CF294" s="49">
        <v>0</v>
      </c>
      <c r="CG294" s="49">
        <v>0</v>
      </c>
      <c r="CH294" s="49">
        <f t="shared" si="101"/>
        <v>0</v>
      </c>
      <c r="CI294" s="49">
        <v>1</v>
      </c>
      <c r="CJ294" s="49">
        <v>0</v>
      </c>
      <c r="CK294" s="49">
        <v>0</v>
      </c>
      <c r="CL294" s="49">
        <v>0</v>
      </c>
      <c r="CM294" s="49">
        <v>0</v>
      </c>
      <c r="CN294" s="49">
        <v>0</v>
      </c>
      <c r="CO294" s="49">
        <v>0</v>
      </c>
      <c r="CP294" s="49">
        <v>0</v>
      </c>
      <c r="CQ294" s="49">
        <v>0</v>
      </c>
      <c r="CR294" s="49">
        <v>0</v>
      </c>
      <c r="CV294" s="49">
        <v>0</v>
      </c>
      <c r="CW294" s="49">
        <v>0</v>
      </c>
    </row>
    <row r="295" s="48" customFormat="1" customHeight="1" spans="1:101">
      <c r="A295" s="95">
        <v>6080</v>
      </c>
      <c r="B295" s="80" t="s">
        <v>483</v>
      </c>
      <c r="H295" s="48" t="s">
        <v>326</v>
      </c>
      <c r="I295" s="48" t="s">
        <v>116</v>
      </c>
      <c r="J295" s="48" t="s">
        <v>484</v>
      </c>
      <c r="O295" s="48">
        <v>201354</v>
      </c>
      <c r="P295" s="48">
        <v>1</v>
      </c>
      <c r="Q295" s="48">
        <v>0</v>
      </c>
      <c r="R295" s="48">
        <v>0</v>
      </c>
      <c r="BU295" s="48" t="str">
        <f t="shared" ref="BU295:BY296" si="102">IF(BE295="","",1)</f>
        <v/>
      </c>
      <c r="BV295" s="48" t="str">
        <f t="shared" si="102"/>
        <v/>
      </c>
      <c r="BW295" s="48" t="str">
        <f t="shared" si="102"/>
        <v/>
      </c>
      <c r="BX295" s="48" t="str">
        <f t="shared" si="102"/>
        <v/>
      </c>
      <c r="BY295" s="48" t="str">
        <f t="shared" si="102"/>
        <v/>
      </c>
      <c r="CA295" s="48">
        <f t="shared" si="100"/>
        <v>0</v>
      </c>
      <c r="CB295" s="48">
        <f>SUM(BL295:CA295)</f>
        <v>0</v>
      </c>
      <c r="CC295" s="48">
        <v>0</v>
      </c>
      <c r="CD295" s="48">
        <v>0</v>
      </c>
      <c r="CE295" s="48">
        <v>0</v>
      </c>
      <c r="CF295" s="48">
        <v>193010</v>
      </c>
      <c r="CG295" s="48">
        <v>0</v>
      </c>
      <c r="CH295" s="48">
        <f t="shared" si="101"/>
        <v>0</v>
      </c>
      <c r="CI295" s="48">
        <v>1</v>
      </c>
      <c r="CJ295" s="48">
        <v>0</v>
      </c>
      <c r="CK295" s="48">
        <v>0</v>
      </c>
      <c r="CL295" s="48">
        <v>0</v>
      </c>
      <c r="CM295" s="48">
        <v>0</v>
      </c>
      <c r="CN295" s="48">
        <v>0</v>
      </c>
      <c r="CO295" s="48">
        <v>0</v>
      </c>
      <c r="CP295" s="48">
        <v>0</v>
      </c>
      <c r="CQ295" s="48">
        <v>0</v>
      </c>
      <c r="CR295" s="48">
        <v>0</v>
      </c>
      <c r="CV295" s="48">
        <v>0</v>
      </c>
      <c r="CW295" s="48">
        <v>0</v>
      </c>
    </row>
    <row r="296" s="48" customFormat="1" customHeight="1" spans="1:101">
      <c r="A296" s="95">
        <v>6081</v>
      </c>
      <c r="B296" s="80" t="s">
        <v>485</v>
      </c>
      <c r="H296" s="48" t="s">
        <v>326</v>
      </c>
      <c r="I296" s="48" t="s">
        <v>116</v>
      </c>
      <c r="J296" s="48" t="s">
        <v>484</v>
      </c>
      <c r="O296" s="48">
        <v>201360</v>
      </c>
      <c r="P296" s="48">
        <v>1</v>
      </c>
      <c r="Q296" s="48">
        <v>0</v>
      </c>
      <c r="R296" s="48">
        <v>0</v>
      </c>
      <c r="BU296" s="48" t="str">
        <f t="shared" si="102"/>
        <v/>
      </c>
      <c r="BV296" s="48" t="str">
        <f t="shared" si="102"/>
        <v/>
      </c>
      <c r="BW296" s="48" t="str">
        <f t="shared" si="102"/>
        <v/>
      </c>
      <c r="BX296" s="48" t="str">
        <f t="shared" si="102"/>
        <v/>
      </c>
      <c r="BY296" s="48" t="str">
        <f t="shared" si="102"/>
        <v/>
      </c>
      <c r="CA296" s="48">
        <f t="shared" si="100"/>
        <v>0</v>
      </c>
      <c r="CB296" s="48">
        <f>SUM(BL296:CA296)</f>
        <v>0</v>
      </c>
      <c r="CC296" s="48">
        <v>0</v>
      </c>
      <c r="CD296" s="48">
        <v>0</v>
      </c>
      <c r="CE296" s="48">
        <v>0</v>
      </c>
      <c r="CF296" s="48">
        <v>193011</v>
      </c>
      <c r="CG296" s="48">
        <v>0</v>
      </c>
      <c r="CH296" s="48">
        <f t="shared" si="101"/>
        <v>0</v>
      </c>
      <c r="CI296" s="48">
        <v>1</v>
      </c>
      <c r="CJ296" s="48">
        <v>0</v>
      </c>
      <c r="CK296" s="48">
        <v>0</v>
      </c>
      <c r="CL296" s="48">
        <v>0</v>
      </c>
      <c r="CM296" s="48">
        <v>0</v>
      </c>
      <c r="CN296" s="48">
        <v>0</v>
      </c>
      <c r="CO296" s="48">
        <v>0</v>
      </c>
      <c r="CP296" s="48">
        <v>0</v>
      </c>
      <c r="CQ296" s="48">
        <v>0</v>
      </c>
      <c r="CR296" s="48">
        <v>0</v>
      </c>
      <c r="CV296" s="48">
        <v>0</v>
      </c>
      <c r="CW296" s="48">
        <v>0</v>
      </c>
    </row>
    <row r="297" s="48" customFormat="1" customHeight="1" spans="1:101">
      <c r="A297" s="95">
        <v>6082</v>
      </c>
      <c r="B297" s="80" t="s">
        <v>486</v>
      </c>
      <c r="H297" s="51" t="s">
        <v>487</v>
      </c>
      <c r="I297" s="48" t="s">
        <v>116</v>
      </c>
      <c r="O297" s="77"/>
      <c r="P297" s="77"/>
      <c r="Q297" s="77"/>
      <c r="R297" s="77"/>
      <c r="S297" s="64"/>
      <c r="T297" s="64"/>
      <c r="U297" s="64"/>
      <c r="V297" s="64"/>
      <c r="W297" s="63"/>
      <c r="X297" s="63"/>
      <c r="Y297" s="63"/>
      <c r="Z297" s="63"/>
      <c r="AA297" s="78"/>
      <c r="AB297" s="78"/>
      <c r="AC297" s="78"/>
      <c r="AD297" s="78"/>
      <c r="AU297" s="62"/>
      <c r="BK297" s="62"/>
      <c r="CA297" s="48">
        <f t="shared" si="100"/>
        <v>0</v>
      </c>
      <c r="CB297" s="48">
        <v>1000</v>
      </c>
      <c r="CC297" s="48">
        <v>0</v>
      </c>
      <c r="CD297" s="48">
        <v>0</v>
      </c>
      <c r="CE297" s="48">
        <v>0</v>
      </c>
      <c r="CF297" s="48">
        <v>0</v>
      </c>
      <c r="CG297" s="48">
        <v>0</v>
      </c>
      <c r="CH297" s="48">
        <f t="shared" si="101"/>
        <v>0</v>
      </c>
      <c r="CI297" s="48">
        <v>1</v>
      </c>
      <c r="CJ297" s="48">
        <v>0</v>
      </c>
      <c r="CK297" s="48">
        <v>0</v>
      </c>
      <c r="CL297" s="48">
        <v>0</v>
      </c>
      <c r="CM297" s="48">
        <v>0</v>
      </c>
      <c r="CN297" s="48">
        <v>0</v>
      </c>
      <c r="CO297" s="48">
        <v>0</v>
      </c>
      <c r="CP297" s="48">
        <v>0</v>
      </c>
      <c r="CQ297" s="48">
        <v>0</v>
      </c>
      <c r="CR297" s="48">
        <v>0</v>
      </c>
      <c r="CV297" s="48">
        <v>0</v>
      </c>
      <c r="CW297" s="48">
        <v>0</v>
      </c>
    </row>
    <row r="298" s="51" customFormat="1" customHeight="1" spans="1:101">
      <c r="A298" s="124">
        <v>6090</v>
      </c>
      <c r="B298" s="123" t="s">
        <v>488</v>
      </c>
      <c r="H298" s="52">
        <v>1000000</v>
      </c>
      <c r="I298" s="51" t="s">
        <v>116</v>
      </c>
      <c r="J298" s="51" t="s">
        <v>489</v>
      </c>
      <c r="K298" s="51">
        <v>1000</v>
      </c>
      <c r="N298" s="44"/>
      <c r="O298" s="77"/>
      <c r="P298" s="77"/>
      <c r="Q298" s="77"/>
      <c r="R298" s="77"/>
      <c r="S298" s="64"/>
      <c r="T298" s="64"/>
      <c r="U298" s="64"/>
      <c r="V298" s="64"/>
      <c r="W298" s="63"/>
      <c r="X298" s="63"/>
      <c r="Y298" s="63"/>
      <c r="Z298" s="63"/>
      <c r="AA298" s="78"/>
      <c r="AB298" s="78"/>
      <c r="AC298" s="78"/>
      <c r="AD298" s="78"/>
      <c r="AE298" s="48"/>
      <c r="AF298" s="52"/>
      <c r="AG298" s="52"/>
      <c r="AH298" s="52"/>
      <c r="AI298" s="52"/>
      <c r="AJ298" s="52"/>
      <c r="AU298" s="62"/>
      <c r="AV298" s="52"/>
      <c r="AW298" s="52"/>
      <c r="AX298" s="52"/>
      <c r="AY298" s="52"/>
      <c r="AZ298" s="52"/>
      <c r="BK298" s="62"/>
      <c r="BL298" s="52"/>
      <c r="BM298" s="52"/>
      <c r="BN298" s="52"/>
      <c r="BO298" s="52"/>
      <c r="BP298" s="52"/>
      <c r="CA298" s="51">
        <f t="shared" si="100"/>
        <v>0</v>
      </c>
      <c r="CB298" s="51">
        <v>1000</v>
      </c>
      <c r="CC298" s="51">
        <v>0</v>
      </c>
      <c r="CD298" s="51">
        <v>0</v>
      </c>
      <c r="CE298" s="51">
        <v>0</v>
      </c>
      <c r="CF298" s="49">
        <v>162020</v>
      </c>
      <c r="CG298" s="51">
        <v>0</v>
      </c>
      <c r="CH298" s="51">
        <f t="shared" si="101"/>
        <v>0</v>
      </c>
      <c r="CI298" s="51">
        <v>1</v>
      </c>
      <c r="CJ298" s="51">
        <v>0</v>
      </c>
      <c r="CK298" s="51">
        <v>0</v>
      </c>
      <c r="CL298" s="51">
        <v>0</v>
      </c>
      <c r="CM298" s="51">
        <v>0</v>
      </c>
      <c r="CN298" s="51">
        <v>0</v>
      </c>
      <c r="CO298" s="51">
        <v>0</v>
      </c>
      <c r="CP298" s="51">
        <v>0</v>
      </c>
      <c r="CQ298" s="51">
        <v>0</v>
      </c>
      <c r="CR298" s="51">
        <v>0</v>
      </c>
      <c r="CV298" s="51">
        <v>0</v>
      </c>
      <c r="CW298" s="51">
        <v>0</v>
      </c>
    </row>
    <row r="299" s="51" customFormat="1" customHeight="1" spans="1:101">
      <c r="A299" s="124">
        <v>6100</v>
      </c>
      <c r="B299" s="123" t="s">
        <v>488</v>
      </c>
      <c r="H299" s="52">
        <v>1000000</v>
      </c>
      <c r="I299" s="51" t="s">
        <v>116</v>
      </c>
      <c r="J299" s="51" t="s">
        <v>489</v>
      </c>
      <c r="K299" s="51">
        <v>1000</v>
      </c>
      <c r="N299" s="44"/>
      <c r="O299" s="77"/>
      <c r="P299" s="77"/>
      <c r="Q299" s="77"/>
      <c r="R299" s="77"/>
      <c r="S299" s="64"/>
      <c r="T299" s="64"/>
      <c r="U299" s="64"/>
      <c r="V299" s="64"/>
      <c r="W299" s="63"/>
      <c r="X299" s="63"/>
      <c r="Y299" s="63"/>
      <c r="Z299" s="63"/>
      <c r="AA299" s="78"/>
      <c r="AB299" s="78"/>
      <c r="AC299" s="78"/>
      <c r="AD299" s="78"/>
      <c r="AE299" s="48"/>
      <c r="AF299" s="52"/>
      <c r="AG299" s="52"/>
      <c r="AH299" s="52"/>
      <c r="AI299" s="52"/>
      <c r="AJ299" s="52"/>
      <c r="AU299" s="62"/>
      <c r="AV299" s="52"/>
      <c r="AW299" s="52"/>
      <c r="AX299" s="52"/>
      <c r="AY299" s="52"/>
      <c r="AZ299" s="52"/>
      <c r="BK299" s="62"/>
      <c r="BL299" s="52"/>
      <c r="BM299" s="52"/>
      <c r="BN299" s="52"/>
      <c r="BO299" s="52"/>
      <c r="BP299" s="52"/>
      <c r="CA299" s="51">
        <f t="shared" si="100"/>
        <v>0</v>
      </c>
      <c r="CB299" s="51">
        <v>1000</v>
      </c>
      <c r="CC299" s="51">
        <v>0</v>
      </c>
      <c r="CD299" s="51">
        <v>0</v>
      </c>
      <c r="CE299" s="51">
        <v>0</v>
      </c>
      <c r="CF299" s="49">
        <v>162020</v>
      </c>
      <c r="CG299" s="51">
        <v>0</v>
      </c>
      <c r="CH299" s="51">
        <f t="shared" si="101"/>
        <v>0</v>
      </c>
      <c r="CI299" s="51">
        <v>1</v>
      </c>
      <c r="CJ299" s="51">
        <v>0</v>
      </c>
      <c r="CK299" s="51">
        <v>0</v>
      </c>
      <c r="CL299" s="51">
        <v>0</v>
      </c>
      <c r="CM299" s="51">
        <v>0</v>
      </c>
      <c r="CN299" s="51">
        <v>0</v>
      </c>
      <c r="CO299" s="51">
        <v>0</v>
      </c>
      <c r="CP299" s="51">
        <v>0</v>
      </c>
      <c r="CQ299" s="51">
        <v>0</v>
      </c>
      <c r="CR299" s="51">
        <v>0</v>
      </c>
      <c r="CV299" s="51">
        <v>0</v>
      </c>
      <c r="CW299" s="51">
        <v>0</v>
      </c>
    </row>
    <row r="300" s="51" customFormat="1" customHeight="1" spans="1:101">
      <c r="A300" s="124">
        <v>6110</v>
      </c>
      <c r="B300" s="123" t="s">
        <v>490</v>
      </c>
      <c r="H300" s="52">
        <v>1000000</v>
      </c>
      <c r="I300" s="51" t="s">
        <v>116</v>
      </c>
      <c r="J300" s="51" t="s">
        <v>489</v>
      </c>
      <c r="K300" s="51">
        <v>1000</v>
      </c>
      <c r="N300" s="44"/>
      <c r="O300" s="77"/>
      <c r="P300" s="77"/>
      <c r="Q300" s="77"/>
      <c r="R300" s="77"/>
      <c r="S300" s="64"/>
      <c r="T300" s="64"/>
      <c r="U300" s="64"/>
      <c r="V300" s="64"/>
      <c r="W300" s="63"/>
      <c r="X300" s="63"/>
      <c r="Y300" s="63"/>
      <c r="Z300" s="63"/>
      <c r="AA300" s="78"/>
      <c r="AB300" s="78"/>
      <c r="AC300" s="78"/>
      <c r="AD300" s="78"/>
      <c r="AE300" s="48"/>
      <c r="AF300" s="52"/>
      <c r="AG300" s="52"/>
      <c r="AH300" s="52"/>
      <c r="AI300" s="52"/>
      <c r="AJ300" s="52"/>
      <c r="AU300" s="62"/>
      <c r="AV300" s="52"/>
      <c r="AW300" s="52"/>
      <c r="AX300" s="52"/>
      <c r="AY300" s="52"/>
      <c r="AZ300" s="52"/>
      <c r="BK300" s="62"/>
      <c r="BL300" s="52"/>
      <c r="BM300" s="52"/>
      <c r="BN300" s="52"/>
      <c r="BO300" s="52"/>
      <c r="BP300" s="52"/>
      <c r="CA300" s="51">
        <f t="shared" si="100"/>
        <v>0</v>
      </c>
      <c r="CB300" s="51">
        <v>1000</v>
      </c>
      <c r="CC300" s="51">
        <v>0</v>
      </c>
      <c r="CD300" s="51">
        <v>0</v>
      </c>
      <c r="CE300" s="51">
        <v>0</v>
      </c>
      <c r="CF300" s="49">
        <v>162020</v>
      </c>
      <c r="CG300" s="51">
        <v>0</v>
      </c>
      <c r="CH300" s="51">
        <f t="shared" si="101"/>
        <v>0</v>
      </c>
      <c r="CI300" s="51">
        <v>1</v>
      </c>
      <c r="CJ300" s="51">
        <v>0</v>
      </c>
      <c r="CK300" s="51">
        <v>0</v>
      </c>
      <c r="CL300" s="51">
        <v>0</v>
      </c>
      <c r="CM300" s="51">
        <v>0</v>
      </c>
      <c r="CN300" s="51">
        <v>0</v>
      </c>
      <c r="CO300" s="51">
        <v>0</v>
      </c>
      <c r="CP300" s="51">
        <v>0</v>
      </c>
      <c r="CQ300" s="51">
        <v>0</v>
      </c>
      <c r="CR300" s="51">
        <v>0</v>
      </c>
      <c r="CV300" s="51">
        <v>0</v>
      </c>
      <c r="CW300" s="51">
        <v>0</v>
      </c>
    </row>
    <row r="301" s="51" customFormat="1" customHeight="1" spans="1:101">
      <c r="A301" s="124">
        <v>6120</v>
      </c>
      <c r="B301" s="123" t="s">
        <v>491</v>
      </c>
      <c r="H301" s="52">
        <v>1000000</v>
      </c>
      <c r="I301" s="51" t="s">
        <v>116</v>
      </c>
      <c r="J301" s="51" t="s">
        <v>489</v>
      </c>
      <c r="K301" s="51">
        <v>1000</v>
      </c>
      <c r="N301" s="44"/>
      <c r="O301" s="77"/>
      <c r="P301" s="77"/>
      <c r="Q301" s="77"/>
      <c r="R301" s="77"/>
      <c r="S301" s="64"/>
      <c r="T301" s="64"/>
      <c r="U301" s="64"/>
      <c r="V301" s="64"/>
      <c r="W301" s="63"/>
      <c r="X301" s="63"/>
      <c r="Y301" s="63"/>
      <c r="Z301" s="63"/>
      <c r="AA301" s="78"/>
      <c r="AB301" s="78"/>
      <c r="AC301" s="78"/>
      <c r="AD301" s="78"/>
      <c r="AE301" s="48"/>
      <c r="AF301" s="52"/>
      <c r="AG301" s="52"/>
      <c r="AH301" s="52"/>
      <c r="AI301" s="52"/>
      <c r="AJ301" s="52"/>
      <c r="AU301" s="62"/>
      <c r="AV301" s="52"/>
      <c r="AW301" s="52"/>
      <c r="AX301" s="52"/>
      <c r="AY301" s="52"/>
      <c r="AZ301" s="52"/>
      <c r="BK301" s="62"/>
      <c r="BL301" s="52"/>
      <c r="BM301" s="52"/>
      <c r="BN301" s="52"/>
      <c r="BO301" s="52"/>
      <c r="BP301" s="52"/>
      <c r="CA301" s="51">
        <f t="shared" si="100"/>
        <v>0</v>
      </c>
      <c r="CB301" s="51">
        <v>1000</v>
      </c>
      <c r="CC301" s="51">
        <v>0</v>
      </c>
      <c r="CD301" s="51">
        <v>0</v>
      </c>
      <c r="CE301" s="51">
        <v>0</v>
      </c>
      <c r="CF301" s="49">
        <v>162020</v>
      </c>
      <c r="CG301" s="51">
        <v>0</v>
      </c>
      <c r="CH301" s="51">
        <f t="shared" si="101"/>
        <v>0</v>
      </c>
      <c r="CI301" s="51">
        <v>1</v>
      </c>
      <c r="CJ301" s="51">
        <v>0</v>
      </c>
      <c r="CK301" s="51">
        <v>0</v>
      </c>
      <c r="CL301" s="51">
        <v>0</v>
      </c>
      <c r="CM301" s="51">
        <v>0</v>
      </c>
      <c r="CN301" s="51">
        <v>0</v>
      </c>
      <c r="CO301" s="51">
        <v>0</v>
      </c>
      <c r="CP301" s="51">
        <v>0</v>
      </c>
      <c r="CQ301" s="51">
        <v>0</v>
      </c>
      <c r="CR301" s="51">
        <v>0</v>
      </c>
      <c r="CV301" s="51">
        <v>0</v>
      </c>
      <c r="CW301" s="51">
        <v>0</v>
      </c>
    </row>
    <row r="302" s="49" customFormat="1" customHeight="1" spans="1:101">
      <c r="A302" s="116">
        <v>6130</v>
      </c>
      <c r="B302" s="117" t="s">
        <v>492</v>
      </c>
      <c r="H302" s="50">
        <v>500000</v>
      </c>
      <c r="I302" s="49" t="s">
        <v>116</v>
      </c>
      <c r="J302" s="49" t="s">
        <v>493</v>
      </c>
      <c r="K302" s="49">
        <v>500</v>
      </c>
      <c r="O302" s="77"/>
      <c r="P302" s="77"/>
      <c r="Q302" s="77"/>
      <c r="R302" s="77"/>
      <c r="S302" s="64"/>
      <c r="T302" s="64"/>
      <c r="U302" s="64"/>
      <c r="V302" s="64"/>
      <c r="W302" s="63"/>
      <c r="X302" s="63"/>
      <c r="Y302" s="63"/>
      <c r="Z302" s="63"/>
      <c r="AA302" s="78"/>
      <c r="AB302" s="78"/>
      <c r="AC302" s="78"/>
      <c r="AD302" s="78"/>
      <c r="AE302" s="48"/>
      <c r="AU302" s="62"/>
      <c r="BK302" s="62"/>
      <c r="CA302" s="49">
        <f t="shared" si="100"/>
        <v>0</v>
      </c>
      <c r="CB302" s="49">
        <v>1000</v>
      </c>
      <c r="CC302" s="49">
        <v>0</v>
      </c>
      <c r="CD302" s="49">
        <v>0</v>
      </c>
      <c r="CE302" s="49">
        <v>0</v>
      </c>
      <c r="CF302" s="49">
        <v>0</v>
      </c>
      <c r="CG302" s="49">
        <v>0</v>
      </c>
      <c r="CH302" s="49">
        <f t="shared" si="101"/>
        <v>0</v>
      </c>
      <c r="CI302" s="49">
        <v>1</v>
      </c>
      <c r="CJ302" s="49">
        <v>0</v>
      </c>
      <c r="CK302" s="49">
        <v>0</v>
      </c>
      <c r="CL302" s="49">
        <v>0</v>
      </c>
      <c r="CM302" s="49">
        <v>0</v>
      </c>
      <c r="CN302" s="49">
        <v>0</v>
      </c>
      <c r="CO302" s="49">
        <v>0</v>
      </c>
      <c r="CP302" s="49">
        <v>0</v>
      </c>
      <c r="CQ302" s="49">
        <v>0</v>
      </c>
      <c r="CR302" s="49">
        <v>0</v>
      </c>
      <c r="CV302" s="49">
        <v>0</v>
      </c>
      <c r="CW302" s="49">
        <v>0</v>
      </c>
    </row>
    <row r="303" s="49" customFormat="1" customHeight="1" spans="1:101">
      <c r="A303" s="116">
        <v>6140</v>
      </c>
      <c r="B303" s="117" t="s">
        <v>492</v>
      </c>
      <c r="H303" s="50">
        <v>500000</v>
      </c>
      <c r="I303" s="49" t="s">
        <v>116</v>
      </c>
      <c r="J303" s="49" t="s">
        <v>493</v>
      </c>
      <c r="K303" s="49">
        <v>500</v>
      </c>
      <c r="O303" s="77"/>
      <c r="P303" s="77"/>
      <c r="Q303" s="77"/>
      <c r="R303" s="77"/>
      <c r="S303" s="64"/>
      <c r="T303" s="64"/>
      <c r="U303" s="64"/>
      <c r="V303" s="64"/>
      <c r="W303" s="63"/>
      <c r="X303" s="63"/>
      <c r="Y303" s="63"/>
      <c r="Z303" s="63"/>
      <c r="AA303" s="78"/>
      <c r="AB303" s="78"/>
      <c r="AC303" s="78"/>
      <c r="AD303" s="78"/>
      <c r="AE303" s="48"/>
      <c r="AU303" s="62"/>
      <c r="BK303" s="62"/>
      <c r="CA303" s="49">
        <f t="shared" si="100"/>
        <v>0</v>
      </c>
      <c r="CB303" s="49">
        <v>1000</v>
      </c>
      <c r="CC303" s="49">
        <v>0</v>
      </c>
      <c r="CD303" s="49">
        <v>0</v>
      </c>
      <c r="CE303" s="49">
        <v>0</v>
      </c>
      <c r="CF303" s="49">
        <v>0</v>
      </c>
      <c r="CG303" s="49">
        <v>0</v>
      </c>
      <c r="CH303" s="49">
        <f t="shared" si="101"/>
        <v>0</v>
      </c>
      <c r="CI303" s="49">
        <v>1</v>
      </c>
      <c r="CJ303" s="49">
        <v>0</v>
      </c>
      <c r="CK303" s="49">
        <v>0</v>
      </c>
      <c r="CL303" s="49">
        <v>0</v>
      </c>
      <c r="CM303" s="49">
        <v>0</v>
      </c>
      <c r="CN303" s="49">
        <v>0</v>
      </c>
      <c r="CO303" s="49">
        <v>0</v>
      </c>
      <c r="CP303" s="49">
        <v>0</v>
      </c>
      <c r="CQ303" s="49">
        <v>0</v>
      </c>
      <c r="CR303" s="49">
        <v>0</v>
      </c>
      <c r="CV303" s="49">
        <v>0</v>
      </c>
      <c r="CW303" s="49">
        <v>0</v>
      </c>
    </row>
    <row r="304" s="49" customFormat="1" customHeight="1" spans="1:101">
      <c r="A304" s="116">
        <v>6150</v>
      </c>
      <c r="B304" s="117" t="s">
        <v>494</v>
      </c>
      <c r="H304" s="50">
        <v>500000</v>
      </c>
      <c r="I304" s="49" t="s">
        <v>116</v>
      </c>
      <c r="J304" s="49" t="s">
        <v>493</v>
      </c>
      <c r="K304" s="49">
        <v>500</v>
      </c>
      <c r="O304" s="77"/>
      <c r="P304" s="77"/>
      <c r="Q304" s="77"/>
      <c r="R304" s="77"/>
      <c r="S304" s="64"/>
      <c r="T304" s="64"/>
      <c r="U304" s="64"/>
      <c r="V304" s="64"/>
      <c r="W304" s="63"/>
      <c r="X304" s="63"/>
      <c r="Y304" s="63"/>
      <c r="Z304" s="63"/>
      <c r="AA304" s="78"/>
      <c r="AB304" s="78"/>
      <c r="AC304" s="78"/>
      <c r="AD304" s="78"/>
      <c r="AE304" s="48"/>
      <c r="AU304" s="62"/>
      <c r="BK304" s="62"/>
      <c r="CA304" s="49">
        <f t="shared" si="100"/>
        <v>0</v>
      </c>
      <c r="CB304" s="49">
        <v>1000</v>
      </c>
      <c r="CC304" s="49">
        <v>0</v>
      </c>
      <c r="CD304" s="49">
        <v>0</v>
      </c>
      <c r="CE304" s="49">
        <v>0</v>
      </c>
      <c r="CF304" s="49">
        <v>0</v>
      </c>
      <c r="CG304" s="49">
        <v>0</v>
      </c>
      <c r="CH304" s="49">
        <f t="shared" si="101"/>
        <v>0</v>
      </c>
      <c r="CI304" s="49">
        <v>1</v>
      </c>
      <c r="CJ304" s="49">
        <v>0</v>
      </c>
      <c r="CK304" s="49">
        <v>0</v>
      </c>
      <c r="CL304" s="49">
        <v>0</v>
      </c>
      <c r="CM304" s="49">
        <v>0</v>
      </c>
      <c r="CN304" s="49">
        <v>0</v>
      </c>
      <c r="CO304" s="49">
        <v>0</v>
      </c>
      <c r="CP304" s="49">
        <v>0</v>
      </c>
      <c r="CQ304" s="49">
        <v>0</v>
      </c>
      <c r="CR304" s="49">
        <v>0</v>
      </c>
      <c r="CV304" s="49">
        <v>0</v>
      </c>
      <c r="CW304" s="49">
        <v>0</v>
      </c>
    </row>
    <row r="305" s="49" customFormat="1" customHeight="1" spans="1:101">
      <c r="A305" s="116">
        <v>6160</v>
      </c>
      <c r="B305" s="117" t="s">
        <v>495</v>
      </c>
      <c r="H305" s="50">
        <v>500000</v>
      </c>
      <c r="I305" s="49" t="s">
        <v>116</v>
      </c>
      <c r="J305" s="49" t="s">
        <v>493</v>
      </c>
      <c r="K305" s="49">
        <v>500</v>
      </c>
      <c r="O305" s="77"/>
      <c r="P305" s="77"/>
      <c r="Q305" s="77"/>
      <c r="R305" s="77"/>
      <c r="S305" s="64"/>
      <c r="T305" s="64"/>
      <c r="U305" s="64"/>
      <c r="V305" s="64"/>
      <c r="W305" s="63"/>
      <c r="X305" s="63"/>
      <c r="Y305" s="63"/>
      <c r="Z305" s="63"/>
      <c r="AA305" s="78"/>
      <c r="AB305" s="78"/>
      <c r="AC305" s="78"/>
      <c r="AD305" s="78"/>
      <c r="AE305" s="48"/>
      <c r="AU305" s="62"/>
      <c r="BK305" s="62"/>
      <c r="CA305" s="49">
        <f t="shared" si="100"/>
        <v>0</v>
      </c>
      <c r="CB305" s="49">
        <v>1000</v>
      </c>
      <c r="CC305" s="49">
        <v>0</v>
      </c>
      <c r="CD305" s="49">
        <v>0</v>
      </c>
      <c r="CE305" s="49">
        <v>0</v>
      </c>
      <c r="CF305" s="49">
        <v>0</v>
      </c>
      <c r="CG305" s="49">
        <v>0</v>
      </c>
      <c r="CH305" s="49">
        <f t="shared" si="101"/>
        <v>0</v>
      </c>
      <c r="CI305" s="49">
        <v>1</v>
      </c>
      <c r="CJ305" s="49">
        <v>0</v>
      </c>
      <c r="CK305" s="49">
        <v>0</v>
      </c>
      <c r="CL305" s="49">
        <v>0</v>
      </c>
      <c r="CM305" s="49">
        <v>0</v>
      </c>
      <c r="CN305" s="49">
        <v>0</v>
      </c>
      <c r="CO305" s="49">
        <v>0</v>
      </c>
      <c r="CP305" s="49">
        <v>0</v>
      </c>
      <c r="CQ305" s="49">
        <v>0</v>
      </c>
      <c r="CR305" s="49">
        <v>0</v>
      </c>
      <c r="CV305" s="49">
        <v>0</v>
      </c>
      <c r="CW305" s="49">
        <v>0</v>
      </c>
    </row>
    <row r="306" s="50" customFormat="1" customHeight="1" spans="1:101">
      <c r="A306" s="119">
        <v>6170</v>
      </c>
      <c r="B306" s="120" t="s">
        <v>496</v>
      </c>
      <c r="H306" s="50" t="s">
        <v>326</v>
      </c>
      <c r="I306" s="50" t="s">
        <v>116</v>
      </c>
      <c r="J306" s="50" t="s">
        <v>497</v>
      </c>
      <c r="K306" s="50">
        <v>10000</v>
      </c>
      <c r="O306" s="77">
        <v>201354</v>
      </c>
      <c r="P306" s="77">
        <v>1</v>
      </c>
      <c r="Q306" s="77">
        <v>0</v>
      </c>
      <c r="R306" s="77">
        <v>0</v>
      </c>
      <c r="S306" s="64"/>
      <c r="T306" s="64"/>
      <c r="U306" s="64"/>
      <c r="V306" s="64"/>
      <c r="W306" s="63"/>
      <c r="X306" s="63"/>
      <c r="Y306" s="63"/>
      <c r="Z306" s="63"/>
      <c r="AA306" s="78"/>
      <c r="AB306" s="78"/>
      <c r="AC306" s="78"/>
      <c r="AD306" s="78"/>
      <c r="AE306" s="48"/>
      <c r="AU306" s="62"/>
      <c r="BK306" s="62"/>
      <c r="CA306" s="50">
        <f t="shared" si="100"/>
        <v>0</v>
      </c>
      <c r="CB306" s="50">
        <f t="shared" ref="CB306:CB308" si="103">SUM(BL306:CA306)</f>
        <v>0</v>
      </c>
      <c r="CC306" s="50">
        <v>0</v>
      </c>
      <c r="CD306" s="50">
        <v>0</v>
      </c>
      <c r="CE306" s="50">
        <v>0</v>
      </c>
      <c r="CF306" s="50">
        <v>193007</v>
      </c>
      <c r="CG306" s="50">
        <v>0</v>
      </c>
      <c r="CH306" s="50">
        <f t="shared" si="101"/>
        <v>0</v>
      </c>
      <c r="CI306" s="50">
        <v>1</v>
      </c>
      <c r="CJ306" s="50">
        <v>0</v>
      </c>
      <c r="CK306" s="50">
        <v>0</v>
      </c>
      <c r="CL306" s="50">
        <v>0</v>
      </c>
      <c r="CM306" s="50">
        <v>0</v>
      </c>
      <c r="CN306" s="50">
        <v>0</v>
      </c>
      <c r="CO306" s="50">
        <v>0</v>
      </c>
      <c r="CP306" s="50">
        <v>0</v>
      </c>
      <c r="CQ306" s="50">
        <v>0</v>
      </c>
      <c r="CR306" s="50">
        <v>0</v>
      </c>
      <c r="CV306" s="50">
        <v>0</v>
      </c>
      <c r="CW306" s="50">
        <v>0</v>
      </c>
    </row>
    <row r="307" s="50" customFormat="1" customHeight="1" spans="1:101">
      <c r="A307" s="119">
        <v>6171</v>
      </c>
      <c r="B307" s="120" t="s">
        <v>498</v>
      </c>
      <c r="H307" s="50" t="s">
        <v>326</v>
      </c>
      <c r="I307" s="50" t="s">
        <v>116</v>
      </c>
      <c r="J307" s="50" t="s">
        <v>497</v>
      </c>
      <c r="K307" s="50" t="s">
        <v>470</v>
      </c>
      <c r="O307" s="77">
        <v>201360</v>
      </c>
      <c r="P307" s="77">
        <v>1</v>
      </c>
      <c r="Q307" s="77">
        <v>0</v>
      </c>
      <c r="R307" s="77">
        <v>0</v>
      </c>
      <c r="S307" s="64"/>
      <c r="T307" s="64"/>
      <c r="U307" s="64"/>
      <c r="V307" s="64"/>
      <c r="W307" s="63"/>
      <c r="X307" s="63"/>
      <c r="Y307" s="63"/>
      <c r="Z307" s="63"/>
      <c r="AA307" s="78"/>
      <c r="AB307" s="78"/>
      <c r="AC307" s="78"/>
      <c r="AD307" s="78"/>
      <c r="AE307" s="48"/>
      <c r="AU307" s="62"/>
      <c r="BK307" s="62"/>
      <c r="CA307" s="50">
        <f t="shared" si="100"/>
        <v>0</v>
      </c>
      <c r="CB307" s="50">
        <f t="shared" si="103"/>
        <v>0</v>
      </c>
      <c r="CC307" s="50">
        <v>0</v>
      </c>
      <c r="CD307" s="50">
        <v>0</v>
      </c>
      <c r="CE307" s="50">
        <v>0</v>
      </c>
      <c r="CF307" s="50">
        <v>193008</v>
      </c>
      <c r="CG307" s="50">
        <v>0</v>
      </c>
      <c r="CH307" s="50">
        <f t="shared" si="101"/>
        <v>0</v>
      </c>
      <c r="CI307" s="50">
        <v>1</v>
      </c>
      <c r="CJ307" s="50">
        <v>0</v>
      </c>
      <c r="CK307" s="50">
        <v>0</v>
      </c>
      <c r="CL307" s="50">
        <v>0</v>
      </c>
      <c r="CM307" s="50">
        <v>0</v>
      </c>
      <c r="CN307" s="50">
        <v>0</v>
      </c>
      <c r="CO307" s="50">
        <v>0</v>
      </c>
      <c r="CP307" s="50">
        <v>0</v>
      </c>
      <c r="CQ307" s="50">
        <v>0</v>
      </c>
      <c r="CR307" s="50">
        <v>0</v>
      </c>
      <c r="CV307" s="50">
        <v>0</v>
      </c>
      <c r="CW307" s="50">
        <v>0</v>
      </c>
    </row>
    <row r="308" s="50" customFormat="1" customHeight="1" spans="1:101">
      <c r="A308" s="119">
        <v>6172</v>
      </c>
      <c r="B308" s="120" t="s">
        <v>499</v>
      </c>
      <c r="H308" s="50" t="s">
        <v>326</v>
      </c>
      <c r="I308" s="50" t="s">
        <v>116</v>
      </c>
      <c r="J308" s="50" t="s">
        <v>497</v>
      </c>
      <c r="K308" s="50" t="s">
        <v>472</v>
      </c>
      <c r="O308" s="77">
        <v>201363</v>
      </c>
      <c r="P308" s="77">
        <v>1</v>
      </c>
      <c r="Q308" s="77">
        <v>0</v>
      </c>
      <c r="R308" s="77">
        <v>0</v>
      </c>
      <c r="S308" s="64"/>
      <c r="T308" s="64"/>
      <c r="U308" s="64"/>
      <c r="V308" s="64"/>
      <c r="W308" s="63"/>
      <c r="X308" s="63"/>
      <c r="Y308" s="63"/>
      <c r="Z308" s="63"/>
      <c r="AA308" s="78"/>
      <c r="AB308" s="78"/>
      <c r="AC308" s="78"/>
      <c r="AD308" s="78"/>
      <c r="AE308" s="48"/>
      <c r="AU308" s="62"/>
      <c r="BK308" s="62"/>
      <c r="CA308" s="50">
        <f t="shared" si="100"/>
        <v>0</v>
      </c>
      <c r="CB308" s="50">
        <f t="shared" si="103"/>
        <v>0</v>
      </c>
      <c r="CC308" s="50">
        <v>0</v>
      </c>
      <c r="CD308" s="50">
        <v>0</v>
      </c>
      <c r="CE308" s="50">
        <v>0</v>
      </c>
      <c r="CF308" s="50">
        <v>193009</v>
      </c>
      <c r="CG308" s="50">
        <v>0</v>
      </c>
      <c r="CH308" s="50">
        <f t="shared" si="101"/>
        <v>0</v>
      </c>
      <c r="CI308" s="50">
        <v>1</v>
      </c>
      <c r="CJ308" s="50">
        <v>0</v>
      </c>
      <c r="CK308" s="50">
        <v>0</v>
      </c>
      <c r="CL308" s="50">
        <v>0</v>
      </c>
      <c r="CM308" s="50">
        <v>0</v>
      </c>
      <c r="CN308" s="50">
        <v>0</v>
      </c>
      <c r="CO308" s="50">
        <v>0</v>
      </c>
      <c r="CP308" s="50">
        <v>0</v>
      </c>
      <c r="CQ308" s="50">
        <v>0</v>
      </c>
      <c r="CR308" s="50">
        <v>0</v>
      </c>
      <c r="CV308" s="50">
        <v>0</v>
      </c>
      <c r="CW308" s="50">
        <v>0</v>
      </c>
    </row>
    <row r="309" s="50" customFormat="1" customHeight="1" spans="1:101">
      <c r="A309" s="119">
        <v>6173</v>
      </c>
      <c r="B309" s="120" t="s">
        <v>500</v>
      </c>
      <c r="H309" s="50" t="s">
        <v>487</v>
      </c>
      <c r="I309" s="50" t="s">
        <v>116</v>
      </c>
      <c r="O309" s="77"/>
      <c r="P309" s="77"/>
      <c r="Q309" s="77"/>
      <c r="R309" s="77"/>
      <c r="S309" s="64"/>
      <c r="T309" s="64"/>
      <c r="U309" s="64"/>
      <c r="V309" s="64"/>
      <c r="W309" s="63"/>
      <c r="X309" s="63"/>
      <c r="Y309" s="63"/>
      <c r="Z309" s="63"/>
      <c r="AA309" s="78"/>
      <c r="AB309" s="78"/>
      <c r="AC309" s="78"/>
      <c r="AD309" s="78"/>
      <c r="AE309" s="48"/>
      <c r="AU309" s="62"/>
      <c r="BK309" s="62"/>
      <c r="CA309" s="50">
        <f t="shared" si="100"/>
        <v>0</v>
      </c>
      <c r="CB309" s="50">
        <v>1000</v>
      </c>
      <c r="CC309" s="50">
        <v>0</v>
      </c>
      <c r="CD309" s="50">
        <v>0</v>
      </c>
      <c r="CE309" s="50">
        <v>0</v>
      </c>
      <c r="CF309" s="50">
        <v>0</v>
      </c>
      <c r="CG309" s="50">
        <v>0</v>
      </c>
      <c r="CH309" s="50">
        <f t="shared" si="101"/>
        <v>0</v>
      </c>
      <c r="CI309" s="50">
        <v>1</v>
      </c>
      <c r="CJ309" s="50">
        <v>0</v>
      </c>
      <c r="CK309" s="50">
        <v>0</v>
      </c>
      <c r="CL309" s="50">
        <v>0</v>
      </c>
      <c r="CM309" s="50">
        <v>0</v>
      </c>
      <c r="CN309" s="50">
        <v>0</v>
      </c>
      <c r="CO309" s="50">
        <v>0</v>
      </c>
      <c r="CP309" s="50">
        <v>0</v>
      </c>
      <c r="CQ309" s="50">
        <v>0</v>
      </c>
      <c r="CR309" s="50">
        <v>0</v>
      </c>
      <c r="CV309" s="50">
        <v>0</v>
      </c>
      <c r="CW309" s="50">
        <v>0</v>
      </c>
    </row>
    <row r="310" s="51" customFormat="1" customHeight="1" spans="1:101">
      <c r="A310" s="124">
        <v>6180</v>
      </c>
      <c r="B310" s="123" t="s">
        <v>501</v>
      </c>
      <c r="H310" s="52">
        <v>1000000</v>
      </c>
      <c r="I310" s="51" t="s">
        <v>116</v>
      </c>
      <c r="J310" s="51" t="s">
        <v>502</v>
      </c>
      <c r="K310" s="51">
        <v>1000</v>
      </c>
      <c r="N310" s="44"/>
      <c r="O310" s="77">
        <v>201261</v>
      </c>
      <c r="P310" s="77">
        <v>1</v>
      </c>
      <c r="Q310" s="77">
        <v>0</v>
      </c>
      <c r="R310" s="77">
        <v>0</v>
      </c>
      <c r="S310" s="64">
        <v>200115</v>
      </c>
      <c r="T310" s="64">
        <v>1</v>
      </c>
      <c r="U310" s="64">
        <v>0</v>
      </c>
      <c r="V310" s="64">
        <v>0</v>
      </c>
      <c r="W310" s="63"/>
      <c r="X310" s="63"/>
      <c r="Y310" s="63"/>
      <c r="Z310" s="63"/>
      <c r="AA310" s="78"/>
      <c r="AB310" s="78"/>
      <c r="AC310" s="78"/>
      <c r="AD310" s="78"/>
      <c r="AE310" s="48"/>
      <c r="AF310" s="49"/>
      <c r="AG310" s="48"/>
      <c r="AH310" s="49"/>
      <c r="AI310" s="49"/>
      <c r="AU310" s="62"/>
      <c r="BK310" s="62"/>
      <c r="CA310" s="51">
        <f t="shared" si="100"/>
        <v>0</v>
      </c>
      <c r="CB310" s="51">
        <v>1000</v>
      </c>
      <c r="CC310" s="51">
        <v>0</v>
      </c>
      <c r="CD310" s="51">
        <v>0</v>
      </c>
      <c r="CE310" s="51">
        <v>0</v>
      </c>
      <c r="CF310" s="49">
        <v>193015</v>
      </c>
      <c r="CG310" s="51">
        <v>0</v>
      </c>
      <c r="CH310" s="51">
        <f t="shared" si="101"/>
        <v>0</v>
      </c>
      <c r="CI310" s="51">
        <v>1</v>
      </c>
      <c r="CJ310" s="51">
        <v>0</v>
      </c>
      <c r="CK310" s="51">
        <v>0</v>
      </c>
      <c r="CL310" s="51">
        <v>0</v>
      </c>
      <c r="CM310" s="51">
        <v>0</v>
      </c>
      <c r="CN310" s="51">
        <v>0</v>
      </c>
      <c r="CO310" s="51">
        <v>0</v>
      </c>
      <c r="CP310" s="51">
        <v>0</v>
      </c>
      <c r="CQ310" s="51">
        <v>0</v>
      </c>
      <c r="CR310" s="51">
        <v>0</v>
      </c>
      <c r="CV310" s="51">
        <v>0</v>
      </c>
      <c r="CW310" s="51">
        <v>0</v>
      </c>
    </row>
    <row r="311" s="51" customFormat="1" customHeight="1" spans="1:101">
      <c r="A311" s="124">
        <v>6190</v>
      </c>
      <c r="B311" s="123" t="s">
        <v>501</v>
      </c>
      <c r="H311" s="52">
        <v>1000000</v>
      </c>
      <c r="I311" s="51" t="s">
        <v>116</v>
      </c>
      <c r="J311" s="51" t="s">
        <v>502</v>
      </c>
      <c r="K311" s="51">
        <v>1000</v>
      </c>
      <c r="N311" s="44"/>
      <c r="O311" s="77">
        <v>201261</v>
      </c>
      <c r="P311" s="77">
        <v>1</v>
      </c>
      <c r="Q311" s="77">
        <v>0</v>
      </c>
      <c r="R311" s="77">
        <v>0</v>
      </c>
      <c r="S311" s="64">
        <v>200115</v>
      </c>
      <c r="T311" s="64">
        <v>1</v>
      </c>
      <c r="U311" s="64">
        <v>0</v>
      </c>
      <c r="V311" s="64">
        <v>0</v>
      </c>
      <c r="W311" s="63"/>
      <c r="X311" s="63"/>
      <c r="Y311" s="63"/>
      <c r="Z311" s="63"/>
      <c r="AA311" s="78"/>
      <c r="AB311" s="78"/>
      <c r="AC311" s="78"/>
      <c r="AD311" s="78"/>
      <c r="AE311" s="48"/>
      <c r="AF311" s="49"/>
      <c r="AG311" s="48"/>
      <c r="AH311" s="49"/>
      <c r="AI311" s="49"/>
      <c r="AU311" s="62"/>
      <c r="BK311" s="62"/>
      <c r="CA311" s="51">
        <f t="shared" si="100"/>
        <v>0</v>
      </c>
      <c r="CB311" s="51">
        <v>1000</v>
      </c>
      <c r="CC311" s="51">
        <v>0</v>
      </c>
      <c r="CD311" s="51">
        <v>0</v>
      </c>
      <c r="CE311" s="51">
        <v>0</v>
      </c>
      <c r="CF311" s="49">
        <v>193015</v>
      </c>
      <c r="CG311" s="51">
        <v>0</v>
      </c>
      <c r="CH311" s="51">
        <f t="shared" si="101"/>
        <v>0</v>
      </c>
      <c r="CI311" s="51">
        <v>1</v>
      </c>
      <c r="CJ311" s="51">
        <v>0</v>
      </c>
      <c r="CK311" s="51">
        <v>0</v>
      </c>
      <c r="CL311" s="51">
        <v>0</v>
      </c>
      <c r="CM311" s="51">
        <v>0</v>
      </c>
      <c r="CN311" s="51">
        <v>0</v>
      </c>
      <c r="CO311" s="51">
        <v>0</v>
      </c>
      <c r="CP311" s="51">
        <v>0</v>
      </c>
      <c r="CQ311" s="51">
        <v>0</v>
      </c>
      <c r="CR311" s="51">
        <v>0</v>
      </c>
      <c r="CV311" s="51">
        <v>0</v>
      </c>
      <c r="CW311" s="51">
        <v>0</v>
      </c>
    </row>
    <row r="312" s="51" customFormat="1" customHeight="1" spans="1:101">
      <c r="A312" s="124">
        <v>6200</v>
      </c>
      <c r="B312" s="123" t="s">
        <v>503</v>
      </c>
      <c r="H312" s="52">
        <v>1000000</v>
      </c>
      <c r="I312" s="51" t="s">
        <v>116</v>
      </c>
      <c r="J312" s="51" t="s">
        <v>502</v>
      </c>
      <c r="K312" s="51">
        <v>1000</v>
      </c>
      <c r="N312" s="44"/>
      <c r="O312" s="77">
        <v>201261</v>
      </c>
      <c r="P312" s="77">
        <v>1</v>
      </c>
      <c r="Q312" s="77">
        <v>0</v>
      </c>
      <c r="R312" s="77">
        <v>0</v>
      </c>
      <c r="S312" s="64">
        <v>200115</v>
      </c>
      <c r="T312" s="64">
        <v>1</v>
      </c>
      <c r="U312" s="64">
        <v>0</v>
      </c>
      <c r="V312" s="64">
        <v>0</v>
      </c>
      <c r="W312" s="63"/>
      <c r="X312" s="63"/>
      <c r="Y312" s="63"/>
      <c r="Z312" s="63"/>
      <c r="AA312" s="78"/>
      <c r="AB312" s="78"/>
      <c r="AC312" s="78"/>
      <c r="AD312" s="78"/>
      <c r="AE312" s="48"/>
      <c r="AF312" s="49"/>
      <c r="AG312" s="48"/>
      <c r="AH312" s="49"/>
      <c r="AI312" s="49"/>
      <c r="AU312" s="62"/>
      <c r="BK312" s="62"/>
      <c r="CA312" s="51">
        <f t="shared" si="100"/>
        <v>0</v>
      </c>
      <c r="CB312" s="51">
        <v>1000</v>
      </c>
      <c r="CC312" s="51">
        <v>0</v>
      </c>
      <c r="CD312" s="51">
        <v>0</v>
      </c>
      <c r="CE312" s="51">
        <v>0</v>
      </c>
      <c r="CF312" s="49">
        <v>193015</v>
      </c>
      <c r="CG312" s="51">
        <v>0</v>
      </c>
      <c r="CH312" s="51">
        <f t="shared" si="101"/>
        <v>0</v>
      </c>
      <c r="CI312" s="51">
        <v>1</v>
      </c>
      <c r="CJ312" s="51">
        <v>0</v>
      </c>
      <c r="CK312" s="51">
        <v>0</v>
      </c>
      <c r="CL312" s="51">
        <v>0</v>
      </c>
      <c r="CM312" s="51">
        <v>0</v>
      </c>
      <c r="CN312" s="51">
        <v>0</v>
      </c>
      <c r="CO312" s="51">
        <v>0</v>
      </c>
      <c r="CP312" s="51">
        <v>0</v>
      </c>
      <c r="CQ312" s="51">
        <v>0</v>
      </c>
      <c r="CR312" s="51">
        <v>0</v>
      </c>
      <c r="CV312" s="51">
        <v>0</v>
      </c>
      <c r="CW312" s="51">
        <v>0</v>
      </c>
    </row>
    <row r="313" s="51" customFormat="1" customHeight="1" spans="1:101">
      <c r="A313" s="124">
        <v>6210</v>
      </c>
      <c r="B313" s="123" t="s">
        <v>504</v>
      </c>
      <c r="H313" s="52">
        <v>1000000</v>
      </c>
      <c r="I313" s="51" t="s">
        <v>116</v>
      </c>
      <c r="J313" s="51" t="s">
        <v>502</v>
      </c>
      <c r="K313" s="51">
        <v>1000</v>
      </c>
      <c r="N313" s="44"/>
      <c r="O313" s="77">
        <v>201261</v>
      </c>
      <c r="P313" s="77">
        <v>1</v>
      </c>
      <c r="Q313" s="77">
        <v>0</v>
      </c>
      <c r="R313" s="77">
        <v>0</v>
      </c>
      <c r="S313" s="64">
        <v>200115</v>
      </c>
      <c r="T313" s="64">
        <v>1</v>
      </c>
      <c r="U313" s="64">
        <v>0</v>
      </c>
      <c r="V313" s="64">
        <v>0</v>
      </c>
      <c r="W313" s="63"/>
      <c r="X313" s="63"/>
      <c r="Y313" s="63"/>
      <c r="Z313" s="63"/>
      <c r="AA313" s="78"/>
      <c r="AB313" s="78"/>
      <c r="AC313" s="78"/>
      <c r="AD313" s="78"/>
      <c r="AE313" s="48"/>
      <c r="AF313" s="49"/>
      <c r="AG313" s="48"/>
      <c r="AH313" s="49"/>
      <c r="AI313" s="49"/>
      <c r="AU313" s="62"/>
      <c r="BK313" s="62"/>
      <c r="CA313" s="51">
        <f t="shared" si="100"/>
        <v>0</v>
      </c>
      <c r="CB313" s="51">
        <v>1000</v>
      </c>
      <c r="CC313" s="51">
        <v>0</v>
      </c>
      <c r="CD313" s="51">
        <v>0</v>
      </c>
      <c r="CE313" s="51">
        <v>0</v>
      </c>
      <c r="CF313" s="49">
        <v>193015</v>
      </c>
      <c r="CG313" s="51">
        <v>0</v>
      </c>
      <c r="CH313" s="51">
        <f t="shared" si="101"/>
        <v>0</v>
      </c>
      <c r="CI313" s="51">
        <v>1</v>
      </c>
      <c r="CJ313" s="51">
        <v>0</v>
      </c>
      <c r="CK313" s="51">
        <v>0</v>
      </c>
      <c r="CL313" s="51">
        <v>0</v>
      </c>
      <c r="CM313" s="51">
        <v>0</v>
      </c>
      <c r="CN313" s="51">
        <v>0</v>
      </c>
      <c r="CO313" s="51">
        <v>0</v>
      </c>
      <c r="CP313" s="51">
        <v>0</v>
      </c>
      <c r="CQ313" s="51">
        <v>0</v>
      </c>
      <c r="CR313" s="51">
        <v>0</v>
      </c>
      <c r="CV313" s="51">
        <v>0</v>
      </c>
      <c r="CW313" s="51">
        <v>0</v>
      </c>
    </row>
    <row r="314" s="49" customFormat="1" customHeight="1" spans="1:101">
      <c r="A314" s="116">
        <v>6220</v>
      </c>
      <c r="B314" s="117" t="s">
        <v>505</v>
      </c>
      <c r="H314" s="50">
        <v>500000</v>
      </c>
      <c r="I314" s="49" t="s">
        <v>116</v>
      </c>
      <c r="J314" s="49" t="s">
        <v>506</v>
      </c>
      <c r="K314" s="49">
        <v>500</v>
      </c>
      <c r="O314" s="77"/>
      <c r="P314" s="77"/>
      <c r="Q314" s="77"/>
      <c r="R314" s="77"/>
      <c r="S314" s="64"/>
      <c r="T314" s="64"/>
      <c r="U314" s="64"/>
      <c r="V314" s="64"/>
      <c r="W314" s="63"/>
      <c r="X314" s="63"/>
      <c r="Y314" s="63"/>
      <c r="Z314" s="63"/>
      <c r="AA314" s="78"/>
      <c r="AB314" s="78"/>
      <c r="AC314" s="78"/>
      <c r="AD314" s="78"/>
      <c r="AE314" s="48"/>
      <c r="AT314" s="49" t="s">
        <v>116</v>
      </c>
      <c r="AU314" s="62" t="str">
        <f t="shared" ref="AU314:BJ314" si="104">IF(AE314="","",1)</f>
        <v/>
      </c>
      <c r="AV314" s="49" t="str">
        <f t="shared" si="104"/>
        <v/>
      </c>
      <c r="AW314" s="49" t="str">
        <f t="shared" si="104"/>
        <v/>
      </c>
      <c r="AX314" s="49" t="str">
        <f t="shared" si="104"/>
        <v/>
      </c>
      <c r="AY314" s="49" t="str">
        <f t="shared" si="104"/>
        <v/>
      </c>
      <c r="AZ314" s="49" t="str">
        <f t="shared" si="104"/>
        <v/>
      </c>
      <c r="BA314" s="49" t="str">
        <f t="shared" si="104"/>
        <v/>
      </c>
      <c r="BB314" s="49" t="str">
        <f t="shared" si="104"/>
        <v/>
      </c>
      <c r="BC314" s="49" t="str">
        <f t="shared" si="104"/>
        <v/>
      </c>
      <c r="BD314" s="49" t="str">
        <f t="shared" si="104"/>
        <v/>
      </c>
      <c r="BE314" s="49" t="str">
        <f t="shared" si="104"/>
        <v/>
      </c>
      <c r="BF314" s="49" t="str">
        <f t="shared" si="104"/>
        <v/>
      </c>
      <c r="BG314" s="49" t="str">
        <f t="shared" si="104"/>
        <v/>
      </c>
      <c r="BH314" s="49" t="str">
        <f t="shared" si="104"/>
        <v/>
      </c>
      <c r="BI314" s="49" t="str">
        <f t="shared" si="104"/>
        <v/>
      </c>
      <c r="BJ314" s="49" t="str">
        <f t="shared" si="104"/>
        <v/>
      </c>
      <c r="BK314" s="62"/>
      <c r="CA314" s="49">
        <f t="shared" si="100"/>
        <v>0</v>
      </c>
      <c r="CB314" s="49">
        <v>1000</v>
      </c>
      <c r="CC314" s="49">
        <v>0</v>
      </c>
      <c r="CD314" s="49">
        <v>0</v>
      </c>
      <c r="CE314" s="49">
        <v>0</v>
      </c>
      <c r="CF314" s="49">
        <v>0</v>
      </c>
      <c r="CG314" s="49">
        <v>0</v>
      </c>
      <c r="CH314" s="49">
        <f t="shared" si="101"/>
        <v>0</v>
      </c>
      <c r="CI314" s="49">
        <v>1</v>
      </c>
      <c r="CJ314" s="49">
        <v>0</v>
      </c>
      <c r="CK314" s="49">
        <v>0</v>
      </c>
      <c r="CL314" s="49">
        <v>0</v>
      </c>
      <c r="CM314" s="49">
        <v>0</v>
      </c>
      <c r="CN314" s="49">
        <v>0</v>
      </c>
      <c r="CO314" s="49">
        <v>0</v>
      </c>
      <c r="CP314" s="49">
        <v>0</v>
      </c>
      <c r="CQ314" s="49">
        <v>0</v>
      </c>
      <c r="CR314" s="49">
        <v>0</v>
      </c>
      <c r="CV314" s="49">
        <v>0</v>
      </c>
      <c r="CW314" s="49">
        <v>0</v>
      </c>
    </row>
    <row r="315" s="49" customFormat="1" customHeight="1" spans="1:101">
      <c r="A315" s="116">
        <v>6230</v>
      </c>
      <c r="B315" s="117" t="s">
        <v>505</v>
      </c>
      <c r="H315" s="50">
        <v>500000</v>
      </c>
      <c r="I315" s="49" t="s">
        <v>116</v>
      </c>
      <c r="J315" s="49" t="s">
        <v>506</v>
      </c>
      <c r="K315" s="49">
        <v>500</v>
      </c>
      <c r="O315" s="77"/>
      <c r="P315" s="77"/>
      <c r="Q315" s="77"/>
      <c r="R315" s="77"/>
      <c r="S315" s="64"/>
      <c r="T315" s="64"/>
      <c r="U315" s="64"/>
      <c r="V315" s="64"/>
      <c r="W315" s="63"/>
      <c r="X315" s="63"/>
      <c r="Y315" s="63"/>
      <c r="Z315" s="63"/>
      <c r="AA315" s="78"/>
      <c r="AB315" s="78"/>
      <c r="AC315" s="78"/>
      <c r="AD315" s="78"/>
      <c r="AE315" s="48"/>
      <c r="AT315" s="49" t="s">
        <v>116</v>
      </c>
      <c r="AU315" s="62" t="str">
        <f t="shared" ref="AU315:BJ315" si="105">IF(AE315="","",1)</f>
        <v/>
      </c>
      <c r="AV315" s="49" t="str">
        <f t="shared" si="105"/>
        <v/>
      </c>
      <c r="AW315" s="49" t="str">
        <f t="shared" si="105"/>
        <v/>
      </c>
      <c r="AX315" s="49" t="str">
        <f t="shared" si="105"/>
        <v/>
      </c>
      <c r="AY315" s="49" t="str">
        <f t="shared" si="105"/>
        <v/>
      </c>
      <c r="AZ315" s="49" t="str">
        <f t="shared" si="105"/>
        <v/>
      </c>
      <c r="BA315" s="49" t="str">
        <f t="shared" si="105"/>
        <v/>
      </c>
      <c r="BB315" s="49" t="str">
        <f t="shared" si="105"/>
        <v/>
      </c>
      <c r="BC315" s="49" t="str">
        <f t="shared" si="105"/>
        <v/>
      </c>
      <c r="BD315" s="49" t="str">
        <f t="shared" si="105"/>
        <v/>
      </c>
      <c r="BE315" s="49" t="str">
        <f t="shared" si="105"/>
        <v/>
      </c>
      <c r="BF315" s="49" t="str">
        <f t="shared" si="105"/>
        <v/>
      </c>
      <c r="BG315" s="49" t="str">
        <f t="shared" si="105"/>
        <v/>
      </c>
      <c r="BH315" s="49" t="str">
        <f t="shared" si="105"/>
        <v/>
      </c>
      <c r="BI315" s="49" t="str">
        <f t="shared" si="105"/>
        <v/>
      </c>
      <c r="BJ315" s="49" t="str">
        <f t="shared" si="105"/>
        <v/>
      </c>
      <c r="BK315" s="62"/>
      <c r="CA315" s="49">
        <f t="shared" si="100"/>
        <v>0</v>
      </c>
      <c r="CB315" s="49">
        <v>1000</v>
      </c>
      <c r="CC315" s="49">
        <v>0</v>
      </c>
      <c r="CD315" s="49">
        <v>0</v>
      </c>
      <c r="CE315" s="49">
        <v>0</v>
      </c>
      <c r="CF315" s="49">
        <v>0</v>
      </c>
      <c r="CG315" s="49">
        <v>0</v>
      </c>
      <c r="CH315" s="49">
        <f t="shared" si="101"/>
        <v>0</v>
      </c>
      <c r="CI315" s="49">
        <v>1</v>
      </c>
      <c r="CJ315" s="49">
        <v>0</v>
      </c>
      <c r="CK315" s="49">
        <v>0</v>
      </c>
      <c r="CL315" s="49">
        <v>0</v>
      </c>
      <c r="CM315" s="49">
        <v>0</v>
      </c>
      <c r="CN315" s="49">
        <v>0</v>
      </c>
      <c r="CO315" s="49">
        <v>0</v>
      </c>
      <c r="CP315" s="49">
        <v>0</v>
      </c>
      <c r="CQ315" s="49">
        <v>0</v>
      </c>
      <c r="CR315" s="49">
        <v>0</v>
      </c>
      <c r="CV315" s="49">
        <v>0</v>
      </c>
      <c r="CW315" s="49">
        <v>0</v>
      </c>
    </row>
    <row r="316" s="49" customFormat="1" customHeight="1" spans="1:101">
      <c r="A316" s="116">
        <v>6240</v>
      </c>
      <c r="B316" s="117" t="s">
        <v>507</v>
      </c>
      <c r="H316" s="50">
        <v>500000</v>
      </c>
      <c r="I316" s="49" t="s">
        <v>116</v>
      </c>
      <c r="J316" s="49" t="s">
        <v>506</v>
      </c>
      <c r="K316" s="49">
        <v>500</v>
      </c>
      <c r="O316" s="77"/>
      <c r="P316" s="77"/>
      <c r="Q316" s="77"/>
      <c r="R316" s="77"/>
      <c r="S316" s="64"/>
      <c r="T316" s="64"/>
      <c r="U316" s="64"/>
      <c r="V316" s="64"/>
      <c r="W316" s="63"/>
      <c r="X316" s="63"/>
      <c r="Y316" s="63"/>
      <c r="Z316" s="63"/>
      <c r="AA316" s="78"/>
      <c r="AB316" s="78"/>
      <c r="AC316" s="78"/>
      <c r="AD316" s="78"/>
      <c r="AE316" s="48"/>
      <c r="AT316" s="49" t="s">
        <v>116</v>
      </c>
      <c r="AU316" s="62" t="str">
        <f t="shared" ref="AU316:BJ316" si="106">IF(AE316="","",1)</f>
        <v/>
      </c>
      <c r="AV316" s="49" t="str">
        <f t="shared" si="106"/>
        <v/>
      </c>
      <c r="AW316" s="49" t="str">
        <f t="shared" si="106"/>
        <v/>
      </c>
      <c r="AX316" s="49" t="str">
        <f t="shared" si="106"/>
        <v/>
      </c>
      <c r="AY316" s="49" t="str">
        <f t="shared" si="106"/>
        <v/>
      </c>
      <c r="AZ316" s="49" t="str">
        <f t="shared" si="106"/>
        <v/>
      </c>
      <c r="BA316" s="49" t="str">
        <f t="shared" si="106"/>
        <v/>
      </c>
      <c r="BB316" s="49" t="str">
        <f t="shared" si="106"/>
        <v/>
      </c>
      <c r="BC316" s="49" t="str">
        <f t="shared" si="106"/>
        <v/>
      </c>
      <c r="BD316" s="49" t="str">
        <f t="shared" si="106"/>
        <v/>
      </c>
      <c r="BE316" s="49" t="str">
        <f t="shared" si="106"/>
        <v/>
      </c>
      <c r="BF316" s="49" t="str">
        <f t="shared" si="106"/>
        <v/>
      </c>
      <c r="BG316" s="49" t="str">
        <f t="shared" si="106"/>
        <v/>
      </c>
      <c r="BH316" s="49" t="str">
        <f t="shared" si="106"/>
        <v/>
      </c>
      <c r="BI316" s="49" t="str">
        <f t="shared" si="106"/>
        <v/>
      </c>
      <c r="BJ316" s="49" t="str">
        <f t="shared" si="106"/>
        <v/>
      </c>
      <c r="BK316" s="62"/>
      <c r="CA316" s="49">
        <f t="shared" si="100"/>
        <v>0</v>
      </c>
      <c r="CB316" s="49">
        <v>1000</v>
      </c>
      <c r="CC316" s="49">
        <v>0</v>
      </c>
      <c r="CD316" s="49">
        <v>0</v>
      </c>
      <c r="CE316" s="49">
        <v>0</v>
      </c>
      <c r="CF316" s="49">
        <v>0</v>
      </c>
      <c r="CG316" s="49">
        <v>0</v>
      </c>
      <c r="CH316" s="49">
        <f t="shared" si="101"/>
        <v>0</v>
      </c>
      <c r="CI316" s="49">
        <v>1</v>
      </c>
      <c r="CJ316" s="49">
        <v>0</v>
      </c>
      <c r="CK316" s="49">
        <v>0</v>
      </c>
      <c r="CL316" s="49">
        <v>0</v>
      </c>
      <c r="CM316" s="49">
        <v>0</v>
      </c>
      <c r="CN316" s="49">
        <v>0</v>
      </c>
      <c r="CO316" s="49">
        <v>0</v>
      </c>
      <c r="CP316" s="49">
        <v>0</v>
      </c>
      <c r="CQ316" s="49">
        <v>0</v>
      </c>
      <c r="CR316" s="49">
        <v>0</v>
      </c>
      <c r="CV316" s="49">
        <v>0</v>
      </c>
      <c r="CW316" s="49">
        <v>0</v>
      </c>
    </row>
    <row r="317" s="49" customFormat="1" customHeight="1" spans="1:101">
      <c r="A317" s="116">
        <v>6250</v>
      </c>
      <c r="B317" s="117" t="s">
        <v>508</v>
      </c>
      <c r="H317" s="50">
        <v>500000</v>
      </c>
      <c r="I317" s="49" t="s">
        <v>116</v>
      </c>
      <c r="J317" s="49" t="s">
        <v>506</v>
      </c>
      <c r="K317" s="49">
        <v>500</v>
      </c>
      <c r="O317" s="77"/>
      <c r="P317" s="77"/>
      <c r="Q317" s="77"/>
      <c r="R317" s="77"/>
      <c r="S317" s="64"/>
      <c r="T317" s="64"/>
      <c r="U317" s="64"/>
      <c r="V317" s="64"/>
      <c r="W317" s="63"/>
      <c r="X317" s="63"/>
      <c r="Y317" s="63"/>
      <c r="Z317" s="63"/>
      <c r="AA317" s="78"/>
      <c r="AB317" s="78"/>
      <c r="AC317" s="78"/>
      <c r="AD317" s="78"/>
      <c r="AE317" s="48"/>
      <c r="AU317" s="62"/>
      <c r="AZ317" s="49" t="str">
        <f t="shared" ref="AZ317:BI317" si="107">IF(AJ317="","",1)</f>
        <v/>
      </c>
      <c r="BA317" s="49" t="str">
        <f t="shared" si="107"/>
        <v/>
      </c>
      <c r="BB317" s="49" t="str">
        <f t="shared" si="107"/>
        <v/>
      </c>
      <c r="BC317" s="49" t="str">
        <f t="shared" si="107"/>
        <v/>
      </c>
      <c r="BD317" s="49" t="str">
        <f t="shared" si="107"/>
        <v/>
      </c>
      <c r="BE317" s="49" t="str">
        <f t="shared" si="107"/>
        <v/>
      </c>
      <c r="BF317" s="49" t="str">
        <f t="shared" si="107"/>
        <v/>
      </c>
      <c r="BG317" s="49" t="str">
        <f t="shared" si="107"/>
        <v/>
      </c>
      <c r="BH317" s="49" t="str">
        <f t="shared" si="107"/>
        <v/>
      </c>
      <c r="BI317" s="49" t="str">
        <f t="shared" si="107"/>
        <v/>
      </c>
      <c r="BK317" s="62"/>
      <c r="CA317" s="49">
        <f t="shared" si="100"/>
        <v>0</v>
      </c>
      <c r="CB317" s="49">
        <v>1000</v>
      </c>
      <c r="CC317" s="49">
        <v>0</v>
      </c>
      <c r="CD317" s="49">
        <v>0</v>
      </c>
      <c r="CE317" s="49">
        <v>0</v>
      </c>
      <c r="CF317" s="49">
        <v>0</v>
      </c>
      <c r="CG317" s="49">
        <v>0</v>
      </c>
      <c r="CH317" s="49">
        <f t="shared" si="101"/>
        <v>0</v>
      </c>
      <c r="CI317" s="49">
        <v>1</v>
      </c>
      <c r="CJ317" s="49">
        <v>0</v>
      </c>
      <c r="CK317" s="49">
        <v>0</v>
      </c>
      <c r="CL317" s="49">
        <v>0</v>
      </c>
      <c r="CM317" s="49">
        <v>0</v>
      </c>
      <c r="CN317" s="49">
        <v>0</v>
      </c>
      <c r="CO317" s="49">
        <v>0</v>
      </c>
      <c r="CP317" s="49">
        <v>0</v>
      </c>
      <c r="CQ317" s="49">
        <v>0</v>
      </c>
      <c r="CR317" s="49">
        <v>0</v>
      </c>
      <c r="CV317" s="49">
        <v>0</v>
      </c>
      <c r="CW317" s="49">
        <v>0</v>
      </c>
    </row>
    <row r="318" s="48" customFormat="1" customHeight="1" spans="1:101">
      <c r="A318" s="95">
        <v>6251</v>
      </c>
      <c r="B318" s="80" t="s">
        <v>509</v>
      </c>
      <c r="H318" s="50" t="s">
        <v>326</v>
      </c>
      <c r="I318" s="48" t="s">
        <v>116</v>
      </c>
      <c r="J318" s="48" t="s">
        <v>510</v>
      </c>
      <c r="K318" s="48" t="s">
        <v>511</v>
      </c>
      <c r="O318" s="77">
        <v>201354</v>
      </c>
      <c r="P318" s="77">
        <v>1</v>
      </c>
      <c r="Q318" s="77">
        <v>0</v>
      </c>
      <c r="R318" s="77">
        <v>0</v>
      </c>
      <c r="S318" s="64">
        <v>0</v>
      </c>
      <c r="T318" s="64">
        <v>0</v>
      </c>
      <c r="U318" s="64">
        <v>0</v>
      </c>
      <c r="V318" s="64">
        <v>0</v>
      </c>
      <c r="W318" s="63"/>
      <c r="X318" s="63"/>
      <c r="Y318" s="63"/>
      <c r="Z318" s="63"/>
      <c r="AA318" s="78"/>
      <c r="AB318" s="78"/>
      <c r="AC318" s="78"/>
      <c r="AD318" s="78"/>
      <c r="AU318" s="62"/>
      <c r="AZ318" s="48" t="str">
        <f t="shared" ref="AZ318:BI318" si="108">IF(AJ318="","",1)</f>
        <v/>
      </c>
      <c r="BA318" s="48" t="str">
        <f t="shared" si="108"/>
        <v/>
      </c>
      <c r="BB318" s="48" t="str">
        <f t="shared" si="108"/>
        <v/>
      </c>
      <c r="BC318" s="48" t="str">
        <f t="shared" si="108"/>
        <v/>
      </c>
      <c r="BD318" s="48" t="str">
        <f t="shared" si="108"/>
        <v/>
      </c>
      <c r="BE318" s="48" t="str">
        <f t="shared" si="108"/>
        <v/>
      </c>
      <c r="BF318" s="48" t="str">
        <f t="shared" si="108"/>
        <v/>
      </c>
      <c r="BG318" s="48" t="str">
        <f t="shared" si="108"/>
        <v/>
      </c>
      <c r="BH318" s="48" t="str">
        <f t="shared" si="108"/>
        <v/>
      </c>
      <c r="BI318" s="48" t="str">
        <f t="shared" si="108"/>
        <v/>
      </c>
      <c r="BK318" s="62"/>
      <c r="CA318" s="48">
        <f t="shared" si="100"/>
        <v>0</v>
      </c>
      <c r="CB318" s="48">
        <v>200</v>
      </c>
      <c r="CC318" s="48">
        <v>0</v>
      </c>
      <c r="CD318" s="48">
        <v>0</v>
      </c>
      <c r="CE318" s="48">
        <v>0</v>
      </c>
      <c r="CF318" s="48">
        <v>193012</v>
      </c>
      <c r="CG318" s="48">
        <v>0</v>
      </c>
      <c r="CH318" s="48">
        <f t="shared" si="101"/>
        <v>0</v>
      </c>
      <c r="CI318" s="48">
        <v>1</v>
      </c>
      <c r="CJ318" s="48">
        <v>0</v>
      </c>
      <c r="CK318" s="48">
        <v>0</v>
      </c>
      <c r="CL318" s="48">
        <v>0</v>
      </c>
      <c r="CM318" s="48">
        <v>0</v>
      </c>
      <c r="CN318" s="48">
        <v>0</v>
      </c>
      <c r="CO318" s="48">
        <v>0</v>
      </c>
      <c r="CP318" s="48">
        <v>0</v>
      </c>
      <c r="CQ318" s="48">
        <v>0</v>
      </c>
      <c r="CR318" s="48">
        <v>0</v>
      </c>
      <c r="CV318" s="48">
        <v>0</v>
      </c>
      <c r="CW318" s="48">
        <v>0</v>
      </c>
    </row>
    <row r="319" s="48" customFormat="1" customHeight="1" spans="1:101">
      <c r="A319" s="95">
        <v>6252</v>
      </c>
      <c r="B319" s="80" t="s">
        <v>512</v>
      </c>
      <c r="H319" s="50" t="s">
        <v>326</v>
      </c>
      <c r="I319" s="48" t="s">
        <v>116</v>
      </c>
      <c r="J319" s="48" t="s">
        <v>510</v>
      </c>
      <c r="K319" s="48" t="s">
        <v>472</v>
      </c>
      <c r="O319" s="77">
        <v>201360</v>
      </c>
      <c r="P319" s="77">
        <v>1</v>
      </c>
      <c r="Q319" s="77">
        <v>0</v>
      </c>
      <c r="R319" s="77">
        <v>0</v>
      </c>
      <c r="S319" s="64"/>
      <c r="T319" s="64"/>
      <c r="U319" s="64"/>
      <c r="V319" s="64"/>
      <c r="W319" s="63"/>
      <c r="X319" s="63"/>
      <c r="Y319" s="63"/>
      <c r="Z319" s="63"/>
      <c r="AA319" s="78"/>
      <c r="AB319" s="78"/>
      <c r="AC319" s="78"/>
      <c r="AD319" s="78"/>
      <c r="AU319" s="62"/>
      <c r="AZ319" s="48" t="str">
        <f t="shared" ref="AZ319:BI319" si="109">IF(AJ319="","",1)</f>
        <v/>
      </c>
      <c r="BA319" s="48" t="str">
        <f t="shared" si="109"/>
        <v/>
      </c>
      <c r="BB319" s="48" t="str">
        <f t="shared" si="109"/>
        <v/>
      </c>
      <c r="BC319" s="48" t="str">
        <f t="shared" si="109"/>
        <v/>
      </c>
      <c r="BD319" s="48" t="str">
        <f t="shared" si="109"/>
        <v/>
      </c>
      <c r="BE319" s="48" t="str">
        <f t="shared" si="109"/>
        <v/>
      </c>
      <c r="BF319" s="48" t="str">
        <f t="shared" si="109"/>
        <v/>
      </c>
      <c r="BG319" s="48" t="str">
        <f t="shared" si="109"/>
        <v/>
      </c>
      <c r="BH319" s="48" t="str">
        <f t="shared" si="109"/>
        <v/>
      </c>
      <c r="BI319" s="48" t="str">
        <f t="shared" si="109"/>
        <v/>
      </c>
      <c r="BK319" s="62"/>
      <c r="CA319" s="48">
        <f t="shared" si="100"/>
        <v>0</v>
      </c>
      <c r="CB319" s="48">
        <v>200</v>
      </c>
      <c r="CC319" s="48">
        <v>0</v>
      </c>
      <c r="CD319" s="48">
        <v>0</v>
      </c>
      <c r="CE319" s="48">
        <v>0</v>
      </c>
      <c r="CF319" s="48">
        <v>193013</v>
      </c>
      <c r="CG319" s="48">
        <v>0</v>
      </c>
      <c r="CH319" s="48">
        <f t="shared" si="101"/>
        <v>0</v>
      </c>
      <c r="CI319" s="48">
        <v>1</v>
      </c>
      <c r="CJ319" s="48">
        <v>0</v>
      </c>
      <c r="CK319" s="48">
        <v>0</v>
      </c>
      <c r="CL319" s="48">
        <v>0</v>
      </c>
      <c r="CM319" s="48">
        <v>0</v>
      </c>
      <c r="CN319" s="48">
        <v>0</v>
      </c>
      <c r="CO319" s="48">
        <v>0</v>
      </c>
      <c r="CP319" s="48">
        <v>0</v>
      </c>
      <c r="CQ319" s="48">
        <v>0</v>
      </c>
      <c r="CR319" s="48">
        <v>0</v>
      </c>
      <c r="CV319" s="48">
        <v>0</v>
      </c>
      <c r="CW319" s="48">
        <v>0</v>
      </c>
    </row>
    <row r="320" s="48" customFormat="1" customHeight="1" spans="1:101">
      <c r="A320" s="95">
        <v>6253</v>
      </c>
      <c r="B320" s="80" t="s">
        <v>513</v>
      </c>
      <c r="H320" s="50" t="s">
        <v>326</v>
      </c>
      <c r="K320" s="48" t="s">
        <v>470</v>
      </c>
      <c r="N320" s="44"/>
      <c r="O320" s="77">
        <v>201363</v>
      </c>
      <c r="P320" s="77">
        <v>2</v>
      </c>
      <c r="Q320" s="77">
        <v>0</v>
      </c>
      <c r="R320" s="77">
        <v>0</v>
      </c>
      <c r="S320" s="64"/>
      <c r="T320" s="64"/>
      <c r="U320" s="64"/>
      <c r="V320" s="64"/>
      <c r="W320" s="63"/>
      <c r="X320" s="63"/>
      <c r="Y320" s="63"/>
      <c r="Z320" s="63"/>
      <c r="AA320" s="78"/>
      <c r="AB320" s="78"/>
      <c r="AC320" s="78"/>
      <c r="AD320" s="78"/>
      <c r="AU320" s="62"/>
      <c r="BK320" s="62"/>
      <c r="CC320" s="48">
        <v>0</v>
      </c>
      <c r="CD320" s="48">
        <v>0</v>
      </c>
      <c r="CE320" s="48">
        <v>0</v>
      </c>
      <c r="CF320" s="48">
        <v>172033</v>
      </c>
      <c r="CG320" s="48">
        <v>0</v>
      </c>
      <c r="CH320" s="48">
        <f t="shared" si="101"/>
        <v>0</v>
      </c>
      <c r="CI320" s="48">
        <v>1</v>
      </c>
      <c r="CJ320" s="48">
        <v>1</v>
      </c>
      <c r="CK320" s="48">
        <v>0</v>
      </c>
      <c r="CL320" s="48">
        <v>0</v>
      </c>
      <c r="CM320" s="48">
        <v>0</v>
      </c>
      <c r="CN320" s="48">
        <v>0</v>
      </c>
      <c r="CO320" s="48">
        <v>0</v>
      </c>
      <c r="CP320" s="48">
        <v>0</v>
      </c>
      <c r="CQ320" s="48">
        <v>0</v>
      </c>
      <c r="CR320" s="48">
        <v>0</v>
      </c>
      <c r="CS320" s="48">
        <v>1000</v>
      </c>
      <c r="CV320" s="48">
        <v>0</v>
      </c>
      <c r="CW320" s="48">
        <v>0</v>
      </c>
    </row>
    <row r="321" s="48" customFormat="1" customHeight="1" spans="1:101">
      <c r="A321" s="95">
        <v>6254</v>
      </c>
      <c r="B321" s="80" t="s">
        <v>514</v>
      </c>
      <c r="H321" s="50" t="s">
        <v>326</v>
      </c>
      <c r="K321" s="48" t="s">
        <v>318</v>
      </c>
      <c r="N321" s="44"/>
      <c r="O321" s="77">
        <v>201363</v>
      </c>
      <c r="P321" s="77">
        <v>1</v>
      </c>
      <c r="Q321" s="77">
        <v>0</v>
      </c>
      <c r="R321" s="77">
        <v>0</v>
      </c>
      <c r="S321" s="64"/>
      <c r="T321" s="64"/>
      <c r="U321" s="64"/>
      <c r="V321" s="64"/>
      <c r="W321" s="63"/>
      <c r="X321" s="63"/>
      <c r="Y321" s="63"/>
      <c r="Z321" s="63"/>
      <c r="AA321" s="78"/>
      <c r="AB321" s="78"/>
      <c r="AC321" s="78"/>
      <c r="AD321" s="78"/>
      <c r="AU321" s="62" t="str">
        <f t="shared" ref="AU321:BC321" si="110">IF(AE321="","",1)</f>
        <v/>
      </c>
      <c r="AV321" s="48" t="str">
        <f t="shared" si="110"/>
        <v/>
      </c>
      <c r="AW321" s="48" t="str">
        <f t="shared" si="110"/>
        <v/>
      </c>
      <c r="AX321" s="48" t="str">
        <f t="shared" si="110"/>
        <v/>
      </c>
      <c r="AY321" s="48" t="str">
        <f t="shared" si="110"/>
        <v/>
      </c>
      <c r="AZ321" s="48" t="str">
        <f t="shared" si="110"/>
        <v/>
      </c>
      <c r="BA321" s="48" t="str">
        <f t="shared" si="110"/>
        <v/>
      </c>
      <c r="BB321" s="48" t="str">
        <f t="shared" si="110"/>
        <v/>
      </c>
      <c r="BC321" s="48" t="str">
        <f t="shared" si="110"/>
        <v/>
      </c>
      <c r="BK321" s="62"/>
      <c r="CA321" s="48">
        <f t="shared" si="100"/>
        <v>0</v>
      </c>
      <c r="CB321" s="48">
        <v>1000</v>
      </c>
      <c r="CC321" s="48">
        <v>0</v>
      </c>
      <c r="CD321" s="48">
        <v>0</v>
      </c>
      <c r="CE321" s="48">
        <v>0</v>
      </c>
      <c r="CF321" s="48">
        <v>172033</v>
      </c>
      <c r="CG321" s="48">
        <v>0</v>
      </c>
      <c r="CH321" s="48">
        <f t="shared" si="101"/>
        <v>0</v>
      </c>
      <c r="CI321" s="48">
        <v>1</v>
      </c>
      <c r="CJ321" s="48">
        <v>0</v>
      </c>
      <c r="CK321" s="48">
        <v>0</v>
      </c>
      <c r="CL321" s="48">
        <v>0</v>
      </c>
      <c r="CM321" s="48">
        <v>0</v>
      </c>
      <c r="CN321" s="48">
        <v>0</v>
      </c>
      <c r="CO321" s="48">
        <v>0</v>
      </c>
      <c r="CP321" s="48">
        <v>0</v>
      </c>
      <c r="CQ321" s="48">
        <v>0</v>
      </c>
      <c r="CR321" s="48">
        <v>0</v>
      </c>
      <c r="CV321" s="48">
        <v>0</v>
      </c>
      <c r="CW321" s="48">
        <v>0</v>
      </c>
    </row>
    <row r="322" s="48" customFormat="1" customHeight="1" spans="1:101">
      <c r="A322" s="95">
        <v>6255</v>
      </c>
      <c r="B322" s="80" t="s">
        <v>515</v>
      </c>
      <c r="H322" s="50" t="s">
        <v>326</v>
      </c>
      <c r="K322" s="48" t="s">
        <v>516</v>
      </c>
      <c r="N322" s="44"/>
      <c r="O322" s="77">
        <v>201360</v>
      </c>
      <c r="P322" s="77">
        <v>1</v>
      </c>
      <c r="Q322" s="77">
        <v>0</v>
      </c>
      <c r="R322" s="77">
        <v>0</v>
      </c>
      <c r="S322" s="64"/>
      <c r="T322" s="64"/>
      <c r="U322" s="64"/>
      <c r="V322" s="64"/>
      <c r="W322" s="63"/>
      <c r="X322" s="63"/>
      <c r="Y322" s="63"/>
      <c r="Z322" s="63"/>
      <c r="AA322" s="78"/>
      <c r="AB322" s="78"/>
      <c r="AC322" s="78"/>
      <c r="AD322" s="78"/>
      <c r="AU322" s="62" t="str">
        <f t="shared" ref="AU322:BC322" si="111">IF(AE322="","",1)</f>
        <v/>
      </c>
      <c r="AV322" s="48" t="str">
        <f t="shared" si="111"/>
        <v/>
      </c>
      <c r="AW322" s="48" t="str">
        <f t="shared" si="111"/>
        <v/>
      </c>
      <c r="AX322" s="48" t="str">
        <f t="shared" si="111"/>
        <v/>
      </c>
      <c r="AY322" s="48" t="str">
        <f t="shared" si="111"/>
        <v/>
      </c>
      <c r="AZ322" s="48" t="str">
        <f t="shared" si="111"/>
        <v/>
      </c>
      <c r="BA322" s="48" t="str">
        <f t="shared" si="111"/>
        <v/>
      </c>
      <c r="BB322" s="48" t="str">
        <f t="shared" si="111"/>
        <v/>
      </c>
      <c r="BC322" s="48" t="str">
        <f t="shared" si="111"/>
        <v/>
      </c>
      <c r="BK322" s="62"/>
      <c r="CA322" s="48">
        <f t="shared" si="100"/>
        <v>0</v>
      </c>
      <c r="CB322" s="48">
        <v>1000</v>
      </c>
      <c r="CC322" s="48">
        <v>0</v>
      </c>
      <c r="CD322" s="48">
        <v>0</v>
      </c>
      <c r="CE322" s="48">
        <v>0</v>
      </c>
      <c r="CF322" s="48">
        <v>172033</v>
      </c>
      <c r="CG322" s="48">
        <v>0</v>
      </c>
      <c r="CH322" s="48">
        <f t="shared" si="101"/>
        <v>0</v>
      </c>
      <c r="CI322" s="48">
        <v>1</v>
      </c>
      <c r="CJ322" s="48">
        <v>0</v>
      </c>
      <c r="CK322" s="48">
        <v>0</v>
      </c>
      <c r="CL322" s="48">
        <v>0</v>
      </c>
      <c r="CM322" s="48">
        <v>0</v>
      </c>
      <c r="CN322" s="48">
        <v>0</v>
      </c>
      <c r="CO322" s="48">
        <v>0</v>
      </c>
      <c r="CP322" s="48">
        <v>0</v>
      </c>
      <c r="CQ322" s="48">
        <v>0</v>
      </c>
      <c r="CR322" s="48">
        <v>0</v>
      </c>
      <c r="CV322" s="48">
        <v>0</v>
      </c>
      <c r="CW322" s="48">
        <v>0</v>
      </c>
    </row>
    <row r="323" s="48" customFormat="1" customHeight="1" spans="1:101">
      <c r="A323" s="95">
        <v>6256</v>
      </c>
      <c r="B323" s="80" t="s">
        <v>517</v>
      </c>
      <c r="H323" s="50" t="s">
        <v>326</v>
      </c>
      <c r="N323" s="44"/>
      <c r="O323" s="77"/>
      <c r="P323" s="77"/>
      <c r="Q323" s="77"/>
      <c r="R323" s="77"/>
      <c r="S323" s="64"/>
      <c r="T323" s="64"/>
      <c r="U323" s="64"/>
      <c r="V323" s="64"/>
      <c r="W323" s="63"/>
      <c r="X323" s="63"/>
      <c r="Y323" s="63"/>
      <c r="Z323" s="63"/>
      <c r="AA323" s="78"/>
      <c r="AB323" s="78"/>
      <c r="AC323" s="78"/>
      <c r="AD323" s="78"/>
      <c r="AU323" s="62" t="str">
        <f t="shared" ref="AU323:BC323" si="112">IF(AE323="","",1)</f>
        <v/>
      </c>
      <c r="AV323" s="48" t="str">
        <f t="shared" si="112"/>
        <v/>
      </c>
      <c r="AW323" s="48" t="str">
        <f t="shared" si="112"/>
        <v/>
      </c>
      <c r="AX323" s="48" t="str">
        <f t="shared" si="112"/>
        <v/>
      </c>
      <c r="AY323" s="48" t="str">
        <f t="shared" si="112"/>
        <v/>
      </c>
      <c r="AZ323" s="48" t="str">
        <f t="shared" si="112"/>
        <v/>
      </c>
      <c r="BA323" s="48" t="str">
        <f t="shared" si="112"/>
        <v/>
      </c>
      <c r="BB323" s="48" t="str">
        <f t="shared" si="112"/>
        <v/>
      </c>
      <c r="BC323" s="48" t="str">
        <f t="shared" si="112"/>
        <v/>
      </c>
      <c r="BK323" s="62"/>
      <c r="CA323" s="48">
        <f t="shared" si="100"/>
        <v>0</v>
      </c>
      <c r="CB323" s="48">
        <v>1000</v>
      </c>
      <c r="CC323" s="48">
        <v>0</v>
      </c>
      <c r="CD323" s="48">
        <v>0</v>
      </c>
      <c r="CE323" s="48">
        <v>0</v>
      </c>
      <c r="CF323" s="48">
        <v>172033</v>
      </c>
      <c r="CG323" s="48">
        <v>0</v>
      </c>
      <c r="CH323" s="48">
        <f t="shared" si="101"/>
        <v>0</v>
      </c>
      <c r="CI323" s="48">
        <v>1</v>
      </c>
      <c r="CJ323" s="48">
        <v>0</v>
      </c>
      <c r="CK323" s="48">
        <v>0</v>
      </c>
      <c r="CL323" s="48">
        <v>0</v>
      </c>
      <c r="CM323" s="48">
        <v>0</v>
      </c>
      <c r="CN323" s="48">
        <v>0</v>
      </c>
      <c r="CO323" s="48">
        <v>0</v>
      </c>
      <c r="CP323" s="48">
        <v>0</v>
      </c>
      <c r="CQ323" s="48">
        <v>0</v>
      </c>
      <c r="CR323" s="48">
        <v>0</v>
      </c>
      <c r="CV323" s="48">
        <v>0</v>
      </c>
      <c r="CW323" s="48">
        <v>0</v>
      </c>
    </row>
    <row r="324" s="48" customFormat="1" customHeight="1" spans="1:101">
      <c r="A324" s="95">
        <v>6257</v>
      </c>
      <c r="B324" s="80" t="s">
        <v>518</v>
      </c>
      <c r="H324" s="51" t="s">
        <v>487</v>
      </c>
      <c r="I324" s="48" t="s">
        <v>116</v>
      </c>
      <c r="N324" s="44"/>
      <c r="O324" s="77"/>
      <c r="P324" s="77"/>
      <c r="Q324" s="77"/>
      <c r="R324" s="77"/>
      <c r="S324" s="64"/>
      <c r="T324" s="64"/>
      <c r="U324" s="64"/>
      <c r="V324" s="64"/>
      <c r="W324" s="63"/>
      <c r="X324" s="63"/>
      <c r="Y324" s="63"/>
      <c r="Z324" s="63"/>
      <c r="AA324" s="78"/>
      <c r="AB324" s="78"/>
      <c r="AC324" s="78"/>
      <c r="AD324" s="78"/>
      <c r="AE324" s="48" t="s">
        <v>116</v>
      </c>
      <c r="AF324" s="48" t="s">
        <v>116</v>
      </c>
      <c r="AG324" s="48" t="s">
        <v>116</v>
      </c>
      <c r="AH324" s="48" t="s">
        <v>116</v>
      </c>
      <c r="AI324" s="48" t="s">
        <v>116</v>
      </c>
      <c r="AJ324" s="48" t="s">
        <v>116</v>
      </c>
      <c r="AK324" s="48" t="s">
        <v>116</v>
      </c>
      <c r="AL324" s="48" t="s">
        <v>116</v>
      </c>
      <c r="AM324" s="48" t="s">
        <v>116</v>
      </c>
      <c r="AN324" s="48" t="s">
        <v>116</v>
      </c>
      <c r="AO324" s="48" t="s">
        <v>116</v>
      </c>
      <c r="AP324" s="48" t="s">
        <v>116</v>
      </c>
      <c r="AQ324" s="48" t="s">
        <v>116</v>
      </c>
      <c r="AR324" s="48" t="s">
        <v>116</v>
      </c>
      <c r="AS324" s="48" t="s">
        <v>116</v>
      </c>
      <c r="AT324" s="48" t="s">
        <v>116</v>
      </c>
      <c r="AU324" s="62" t="str">
        <f t="shared" ref="AU324:BJ324" si="113">IF(AE324="","",1)</f>
        <v/>
      </c>
      <c r="AV324" s="48" t="str">
        <f t="shared" si="113"/>
        <v/>
      </c>
      <c r="AW324" s="48" t="str">
        <f t="shared" si="113"/>
        <v/>
      </c>
      <c r="AX324" s="48" t="str">
        <f t="shared" si="113"/>
        <v/>
      </c>
      <c r="AY324" s="48" t="str">
        <f t="shared" si="113"/>
        <v/>
      </c>
      <c r="AZ324" s="48" t="str">
        <f t="shared" si="113"/>
        <v/>
      </c>
      <c r="BA324" s="48" t="str">
        <f t="shared" si="113"/>
        <v/>
      </c>
      <c r="BB324" s="48" t="str">
        <f t="shared" si="113"/>
        <v/>
      </c>
      <c r="BC324" s="48" t="str">
        <f t="shared" si="113"/>
        <v/>
      </c>
      <c r="BD324" s="48" t="str">
        <f t="shared" si="113"/>
        <v/>
      </c>
      <c r="BE324" s="48" t="str">
        <f t="shared" si="113"/>
        <v/>
      </c>
      <c r="BF324" s="48" t="str">
        <f t="shared" si="113"/>
        <v/>
      </c>
      <c r="BG324" s="48" t="str">
        <f t="shared" si="113"/>
        <v/>
      </c>
      <c r="BH324" s="48" t="str">
        <f t="shared" si="113"/>
        <v/>
      </c>
      <c r="BI324" s="48" t="str">
        <f t="shared" si="113"/>
        <v/>
      </c>
      <c r="BJ324" s="48" t="str">
        <f t="shared" si="113"/>
        <v/>
      </c>
      <c r="BK324" s="62"/>
      <c r="CA324" s="48">
        <f t="shared" si="100"/>
        <v>0</v>
      </c>
      <c r="CB324" s="48">
        <v>1000</v>
      </c>
      <c r="CC324" s="48">
        <v>0</v>
      </c>
      <c r="CD324" s="48">
        <v>0</v>
      </c>
      <c r="CE324" s="48">
        <v>0</v>
      </c>
      <c r="CF324" s="48">
        <v>0</v>
      </c>
      <c r="CG324" s="48">
        <v>0</v>
      </c>
      <c r="CH324" s="48">
        <f t="shared" si="101"/>
        <v>0</v>
      </c>
      <c r="CI324" s="48">
        <v>1</v>
      </c>
      <c r="CJ324" s="48">
        <v>0</v>
      </c>
      <c r="CK324" s="48">
        <v>0</v>
      </c>
      <c r="CL324" s="48">
        <v>0</v>
      </c>
      <c r="CM324" s="48">
        <v>0</v>
      </c>
      <c r="CN324" s="48">
        <v>0</v>
      </c>
      <c r="CO324" s="48">
        <v>0</v>
      </c>
      <c r="CP324" s="48">
        <v>0</v>
      </c>
      <c r="CQ324" s="48">
        <v>0</v>
      </c>
      <c r="CR324" s="48">
        <v>0</v>
      </c>
      <c r="CV324" s="48">
        <v>0</v>
      </c>
      <c r="CW324" s="48">
        <v>0</v>
      </c>
    </row>
    <row r="325" s="44" customFormat="1" customHeight="1" spans="1:101">
      <c r="A325" s="45">
        <v>6260</v>
      </c>
      <c r="B325" s="79" t="s">
        <v>519</v>
      </c>
      <c r="E325" s="44">
        <v>5</v>
      </c>
      <c r="F325" s="44" t="s">
        <v>520</v>
      </c>
      <c r="H325" s="50" t="s">
        <v>326</v>
      </c>
      <c r="I325" s="44" t="s">
        <v>521</v>
      </c>
      <c r="K325" s="44">
        <v>10000</v>
      </c>
      <c r="O325" s="77"/>
      <c r="P325" s="77"/>
      <c r="Q325" s="77"/>
      <c r="R325" s="77"/>
      <c r="S325" s="64"/>
      <c r="T325" s="64"/>
      <c r="U325" s="64"/>
      <c r="V325" s="64"/>
      <c r="W325" s="63"/>
      <c r="X325" s="63"/>
      <c r="Y325" s="63"/>
      <c r="Z325" s="63"/>
      <c r="AA325" s="78"/>
      <c r="AB325" s="78"/>
      <c r="AC325" s="78"/>
      <c r="AD325" s="78"/>
      <c r="AE325" s="48" t="s">
        <v>116</v>
      </c>
      <c r="AF325" s="44" t="s">
        <v>116</v>
      </c>
      <c r="AG325" s="44" t="s">
        <v>116</v>
      </c>
      <c r="AH325" s="44" t="s">
        <v>116</v>
      </c>
      <c r="AI325" s="44" t="s">
        <v>116</v>
      </c>
      <c r="AJ325" s="44" t="s">
        <v>116</v>
      </c>
      <c r="AK325" s="44" t="s">
        <v>116</v>
      </c>
      <c r="AL325" s="44" t="s">
        <v>116</v>
      </c>
      <c r="AM325" s="44" t="s">
        <v>116</v>
      </c>
      <c r="AN325" s="44" t="s">
        <v>116</v>
      </c>
      <c r="AO325" s="44" t="s">
        <v>116</v>
      </c>
      <c r="AP325" s="44" t="s">
        <v>116</v>
      </c>
      <c r="AQ325" s="44" t="s">
        <v>116</v>
      </c>
      <c r="AR325" s="44" t="s">
        <v>116</v>
      </c>
      <c r="AS325" s="44" t="s">
        <v>116</v>
      </c>
      <c r="AT325" s="44" t="s">
        <v>116</v>
      </c>
      <c r="AU325" s="62" t="str">
        <f t="shared" ref="AU325:BJ325" si="114">IF(AE325="","",1)</f>
        <v/>
      </c>
      <c r="AV325" s="44" t="str">
        <f t="shared" si="114"/>
        <v/>
      </c>
      <c r="AW325" s="44" t="str">
        <f t="shared" si="114"/>
        <v/>
      </c>
      <c r="AX325" s="44" t="str">
        <f t="shared" si="114"/>
        <v/>
      </c>
      <c r="AY325" s="44" t="str">
        <f t="shared" si="114"/>
        <v/>
      </c>
      <c r="AZ325" s="44" t="str">
        <f t="shared" si="114"/>
        <v/>
      </c>
      <c r="BA325" s="44" t="str">
        <f t="shared" si="114"/>
        <v/>
      </c>
      <c r="BB325" s="44" t="str">
        <f t="shared" si="114"/>
        <v/>
      </c>
      <c r="BC325" s="44" t="str">
        <f t="shared" si="114"/>
        <v/>
      </c>
      <c r="BD325" s="44" t="str">
        <f t="shared" si="114"/>
        <v/>
      </c>
      <c r="BE325" s="44" t="str">
        <f t="shared" si="114"/>
        <v/>
      </c>
      <c r="BF325" s="44" t="str">
        <f t="shared" si="114"/>
        <v/>
      </c>
      <c r="BG325" s="44" t="str">
        <f t="shared" si="114"/>
        <v/>
      </c>
      <c r="BH325" s="44" t="str">
        <f t="shared" si="114"/>
        <v/>
      </c>
      <c r="BI325" s="44" t="str">
        <f t="shared" si="114"/>
        <v/>
      </c>
      <c r="BJ325" s="44" t="str">
        <f t="shared" si="114"/>
        <v/>
      </c>
      <c r="BK325" s="62"/>
      <c r="CA325" s="44">
        <f t="shared" si="100"/>
        <v>0</v>
      </c>
      <c r="CB325" s="44">
        <v>1000</v>
      </c>
      <c r="CC325" s="44">
        <v>0</v>
      </c>
      <c r="CD325" s="44">
        <v>0</v>
      </c>
      <c r="CE325" s="44">
        <v>0</v>
      </c>
      <c r="CF325" s="44">
        <v>0</v>
      </c>
      <c r="CG325" s="44">
        <v>0</v>
      </c>
      <c r="CH325" s="44">
        <f t="shared" si="101"/>
        <v>1</v>
      </c>
      <c r="CI325" s="44">
        <v>1</v>
      </c>
      <c r="CJ325" s="44">
        <v>0</v>
      </c>
      <c r="CK325" s="44">
        <v>0</v>
      </c>
      <c r="CL325" s="44">
        <v>0</v>
      </c>
      <c r="CM325" s="44">
        <v>0</v>
      </c>
      <c r="CN325" s="44">
        <v>0</v>
      </c>
      <c r="CO325" s="44">
        <v>0</v>
      </c>
      <c r="CP325" s="44">
        <v>0</v>
      </c>
      <c r="CQ325" s="44">
        <v>0</v>
      </c>
      <c r="CR325" s="44">
        <v>0</v>
      </c>
      <c r="CV325" s="44">
        <v>0</v>
      </c>
      <c r="CW325" s="44">
        <v>0</v>
      </c>
    </row>
    <row r="326" s="44" customFormat="1" customHeight="1" spans="1:101">
      <c r="A326" s="45">
        <v>6300</v>
      </c>
      <c r="B326" s="79" t="s">
        <v>522</v>
      </c>
      <c r="E326" s="44">
        <v>5</v>
      </c>
      <c r="F326" s="44" t="s">
        <v>520</v>
      </c>
      <c r="H326" s="50" t="s">
        <v>326</v>
      </c>
      <c r="I326" s="44" t="s">
        <v>523</v>
      </c>
      <c r="K326" s="44">
        <v>10000</v>
      </c>
      <c r="O326" s="77"/>
      <c r="P326" s="77"/>
      <c r="Q326" s="77"/>
      <c r="R326" s="77"/>
      <c r="S326" s="64"/>
      <c r="T326" s="64"/>
      <c r="U326" s="64"/>
      <c r="V326" s="64"/>
      <c r="W326" s="63"/>
      <c r="X326" s="63"/>
      <c r="Y326" s="63"/>
      <c r="Z326" s="63"/>
      <c r="AA326" s="78"/>
      <c r="AB326" s="78"/>
      <c r="AC326" s="78"/>
      <c r="AD326" s="78"/>
      <c r="AE326" s="48" t="s">
        <v>116</v>
      </c>
      <c r="AF326" s="44" t="s">
        <v>116</v>
      </c>
      <c r="AG326" s="44" t="s">
        <v>116</v>
      </c>
      <c r="AI326" s="44" t="s">
        <v>116</v>
      </c>
      <c r="AJ326" s="44" t="s">
        <v>116</v>
      </c>
      <c r="AK326" s="44" t="s">
        <v>116</v>
      </c>
      <c r="AL326" s="44" t="s">
        <v>116</v>
      </c>
      <c r="AM326" s="44" t="s">
        <v>116</v>
      </c>
      <c r="AN326" s="44" t="s">
        <v>116</v>
      </c>
      <c r="AO326" s="44" t="s">
        <v>116</v>
      </c>
      <c r="AP326" s="44" t="s">
        <v>116</v>
      </c>
      <c r="AQ326" s="44" t="s">
        <v>116</v>
      </c>
      <c r="AR326" s="44" t="s">
        <v>116</v>
      </c>
      <c r="AS326" s="44" t="s">
        <v>116</v>
      </c>
      <c r="AT326" s="44" t="s">
        <v>116</v>
      </c>
      <c r="AU326" s="62" t="str">
        <f>IF(AE326="","",1)</f>
        <v/>
      </c>
      <c r="AV326" s="44" t="str">
        <f t="shared" ref="AV326:BJ326" si="115">IF(AF326="","",1)</f>
        <v/>
      </c>
      <c r="AW326" s="44" t="str">
        <f t="shared" si="115"/>
        <v/>
      </c>
      <c r="AX326" s="44" t="str">
        <f t="shared" si="115"/>
        <v/>
      </c>
      <c r="AY326" s="44" t="str">
        <f t="shared" si="115"/>
        <v/>
      </c>
      <c r="AZ326" s="44" t="str">
        <f t="shared" si="115"/>
        <v/>
      </c>
      <c r="BA326" s="44" t="str">
        <f t="shared" si="115"/>
        <v/>
      </c>
      <c r="BB326" s="44" t="str">
        <f t="shared" si="115"/>
        <v/>
      </c>
      <c r="BC326" s="44" t="str">
        <f t="shared" si="115"/>
        <v/>
      </c>
      <c r="BD326" s="44" t="str">
        <f t="shared" si="115"/>
        <v/>
      </c>
      <c r="BE326" s="44" t="str">
        <f t="shared" si="115"/>
        <v/>
      </c>
      <c r="BF326" s="44" t="str">
        <f t="shared" si="115"/>
        <v/>
      </c>
      <c r="BG326" s="44" t="str">
        <f t="shared" si="115"/>
        <v/>
      </c>
      <c r="BH326" s="44" t="str">
        <f t="shared" si="115"/>
        <v/>
      </c>
      <c r="BI326" s="44" t="str">
        <f t="shared" si="115"/>
        <v/>
      </c>
      <c r="BJ326" s="44" t="str">
        <f t="shared" si="115"/>
        <v/>
      </c>
      <c r="BK326" s="62"/>
      <c r="CA326" s="44">
        <f t="shared" si="100"/>
        <v>0</v>
      </c>
      <c r="CB326" s="44">
        <v>1000</v>
      </c>
      <c r="CC326" s="44">
        <v>0</v>
      </c>
      <c r="CD326" s="44">
        <v>0</v>
      </c>
      <c r="CE326" s="44">
        <v>0</v>
      </c>
      <c r="CF326" s="44">
        <v>0</v>
      </c>
      <c r="CG326" s="44">
        <v>0</v>
      </c>
      <c r="CH326" s="44">
        <f t="shared" si="101"/>
        <v>1</v>
      </c>
      <c r="CI326" s="44">
        <v>1</v>
      </c>
      <c r="CJ326" s="44">
        <v>0</v>
      </c>
      <c r="CK326" s="44">
        <v>0</v>
      </c>
      <c r="CL326" s="44">
        <v>0</v>
      </c>
      <c r="CM326" s="44">
        <v>0</v>
      </c>
      <c r="CN326" s="44">
        <v>0</v>
      </c>
      <c r="CO326" s="44">
        <v>0</v>
      </c>
      <c r="CP326" s="44">
        <v>0</v>
      </c>
      <c r="CQ326" s="44">
        <v>0</v>
      </c>
      <c r="CR326" s="44">
        <v>0</v>
      </c>
      <c r="CV326" s="44">
        <v>0</v>
      </c>
      <c r="CW326" s="44">
        <v>0</v>
      </c>
    </row>
    <row r="327" s="44" customFormat="1" customHeight="1" spans="1:101">
      <c r="A327" s="45">
        <v>6270</v>
      </c>
      <c r="B327" s="79" t="s">
        <v>524</v>
      </c>
      <c r="H327" s="50" t="s">
        <v>326</v>
      </c>
      <c r="I327" s="44" t="s">
        <v>116</v>
      </c>
      <c r="K327" s="44" t="s">
        <v>116</v>
      </c>
      <c r="O327" s="77"/>
      <c r="P327" s="77"/>
      <c r="Q327" s="77"/>
      <c r="R327" s="77"/>
      <c r="S327" s="64"/>
      <c r="T327" s="64"/>
      <c r="U327" s="64"/>
      <c r="V327" s="64"/>
      <c r="W327" s="63"/>
      <c r="X327" s="63"/>
      <c r="Y327" s="63"/>
      <c r="Z327" s="63"/>
      <c r="AA327" s="78"/>
      <c r="AB327" s="78"/>
      <c r="AC327" s="78"/>
      <c r="AD327" s="78"/>
      <c r="AE327" s="48" t="s">
        <v>116</v>
      </c>
      <c r="AF327" s="44" t="s">
        <v>116</v>
      </c>
      <c r="AG327" s="44" t="s">
        <v>116</v>
      </c>
      <c r="AH327" s="44" t="s">
        <v>116</v>
      </c>
      <c r="AI327" s="44" t="s">
        <v>116</v>
      </c>
      <c r="AJ327" s="44" t="s">
        <v>116</v>
      </c>
      <c r="AK327" s="44" t="s">
        <v>116</v>
      </c>
      <c r="AL327" s="44" t="s">
        <v>116</v>
      </c>
      <c r="AM327" s="44" t="s">
        <v>116</v>
      </c>
      <c r="AN327" s="44" t="s">
        <v>116</v>
      </c>
      <c r="AO327" s="44" t="s">
        <v>116</v>
      </c>
      <c r="AP327" s="44" t="s">
        <v>116</v>
      </c>
      <c r="AQ327" s="44" t="s">
        <v>116</v>
      </c>
      <c r="AR327" s="44" t="s">
        <v>116</v>
      </c>
      <c r="AS327" s="44" t="s">
        <v>116</v>
      </c>
      <c r="AT327" s="44" t="s">
        <v>116</v>
      </c>
      <c r="AU327" s="62" t="str">
        <f t="shared" ref="AU327:BJ327" si="116">IF(AE327="","",1)</f>
        <v/>
      </c>
      <c r="AV327" s="44" t="str">
        <f t="shared" si="116"/>
        <v/>
      </c>
      <c r="AW327" s="44" t="str">
        <f t="shared" si="116"/>
        <v/>
      </c>
      <c r="AX327" s="44" t="str">
        <f t="shared" si="116"/>
        <v/>
      </c>
      <c r="AY327" s="44" t="str">
        <f t="shared" si="116"/>
        <v/>
      </c>
      <c r="AZ327" s="44" t="str">
        <f t="shared" si="116"/>
        <v/>
      </c>
      <c r="BA327" s="44" t="str">
        <f t="shared" si="116"/>
        <v/>
      </c>
      <c r="BB327" s="44" t="str">
        <f t="shared" si="116"/>
        <v/>
      </c>
      <c r="BC327" s="44" t="str">
        <f t="shared" si="116"/>
        <v/>
      </c>
      <c r="BD327" s="44" t="str">
        <f t="shared" si="116"/>
        <v/>
      </c>
      <c r="BE327" s="44" t="str">
        <f t="shared" si="116"/>
        <v/>
      </c>
      <c r="BF327" s="44" t="str">
        <f t="shared" si="116"/>
        <v/>
      </c>
      <c r="BG327" s="44" t="str">
        <f t="shared" si="116"/>
        <v/>
      </c>
      <c r="BH327" s="44" t="str">
        <f t="shared" si="116"/>
        <v/>
      </c>
      <c r="BI327" s="44" t="str">
        <f t="shared" si="116"/>
        <v/>
      </c>
      <c r="BJ327" s="44" t="str">
        <f t="shared" si="116"/>
        <v/>
      </c>
      <c r="BK327" s="62"/>
      <c r="CA327" s="44">
        <f t="shared" si="100"/>
        <v>0</v>
      </c>
      <c r="CB327" s="44">
        <v>1000</v>
      </c>
      <c r="CC327" s="44">
        <v>0</v>
      </c>
      <c r="CD327" s="44">
        <v>0</v>
      </c>
      <c r="CE327" s="44">
        <v>0</v>
      </c>
      <c r="CF327" s="44">
        <v>0</v>
      </c>
      <c r="CG327" s="44">
        <v>0</v>
      </c>
      <c r="CH327" s="44">
        <f t="shared" si="101"/>
        <v>1</v>
      </c>
      <c r="CI327" s="44">
        <v>1</v>
      </c>
      <c r="CJ327" s="44">
        <v>0</v>
      </c>
      <c r="CK327" s="44">
        <v>0</v>
      </c>
      <c r="CL327" s="44">
        <v>0</v>
      </c>
      <c r="CM327" s="44">
        <v>0</v>
      </c>
      <c r="CN327" s="44">
        <v>0</v>
      </c>
      <c r="CO327" s="44">
        <v>0</v>
      </c>
      <c r="CP327" s="44">
        <v>0</v>
      </c>
      <c r="CQ327" s="44">
        <v>0</v>
      </c>
      <c r="CR327" s="44">
        <v>0</v>
      </c>
      <c r="CV327" s="44">
        <v>0</v>
      </c>
      <c r="CW327" s="44">
        <v>0</v>
      </c>
    </row>
    <row r="328" s="44" customFormat="1" customHeight="1" spans="1:101">
      <c r="A328" s="45">
        <v>6280</v>
      </c>
      <c r="B328" s="79" t="s">
        <v>525</v>
      </c>
      <c r="E328" s="44">
        <v>50</v>
      </c>
      <c r="F328" s="44" t="s">
        <v>526</v>
      </c>
      <c r="H328" s="50" t="s">
        <v>326</v>
      </c>
      <c r="K328" s="44" t="s">
        <v>116</v>
      </c>
      <c r="O328" s="77"/>
      <c r="P328" s="77"/>
      <c r="Q328" s="77"/>
      <c r="R328" s="77"/>
      <c r="S328" s="64"/>
      <c r="T328" s="64"/>
      <c r="U328" s="64"/>
      <c r="V328" s="64"/>
      <c r="W328" s="63"/>
      <c r="X328" s="63"/>
      <c r="Y328" s="63"/>
      <c r="Z328" s="63"/>
      <c r="AA328" s="78"/>
      <c r="AB328" s="78"/>
      <c r="AC328" s="78"/>
      <c r="AD328" s="78"/>
      <c r="AE328" s="48">
        <v>200074</v>
      </c>
      <c r="AF328" s="44">
        <v>200176</v>
      </c>
      <c r="AG328" s="44" t="s">
        <v>116</v>
      </c>
      <c r="AH328" s="44" t="s">
        <v>116</v>
      </c>
      <c r="AI328" s="44" t="s">
        <v>116</v>
      </c>
      <c r="AJ328" s="44" t="s">
        <v>116</v>
      </c>
      <c r="AK328" s="44" t="s">
        <v>116</v>
      </c>
      <c r="AL328" s="44" t="s">
        <v>116</v>
      </c>
      <c r="AM328" s="44" t="s">
        <v>116</v>
      </c>
      <c r="AN328" s="44" t="s">
        <v>116</v>
      </c>
      <c r="AO328" s="44" t="s">
        <v>116</v>
      </c>
      <c r="AP328" s="44" t="s">
        <v>116</v>
      </c>
      <c r="AQ328" s="44" t="s">
        <v>116</v>
      </c>
      <c r="AR328" s="44" t="s">
        <v>116</v>
      </c>
      <c r="AS328" s="44" t="s">
        <v>116</v>
      </c>
      <c r="AT328" s="44" t="s">
        <v>116</v>
      </c>
      <c r="AU328" s="62">
        <f t="shared" ref="AU328:BJ328" si="117">IF(AE328="","",1)</f>
        <v>1</v>
      </c>
      <c r="AV328" s="44">
        <f t="shared" si="117"/>
        <v>1</v>
      </c>
      <c r="AW328" s="44" t="str">
        <f t="shared" si="117"/>
        <v/>
      </c>
      <c r="AX328" s="44" t="str">
        <f t="shared" si="117"/>
        <v/>
      </c>
      <c r="AY328" s="44" t="str">
        <f t="shared" si="117"/>
        <v/>
      </c>
      <c r="AZ328" s="44" t="str">
        <f t="shared" si="117"/>
        <v/>
      </c>
      <c r="BA328" s="44" t="str">
        <f t="shared" si="117"/>
        <v/>
      </c>
      <c r="BB328" s="44" t="str">
        <f t="shared" si="117"/>
        <v/>
      </c>
      <c r="BC328" s="44" t="str">
        <f t="shared" si="117"/>
        <v/>
      </c>
      <c r="BD328" s="44" t="str">
        <f t="shared" si="117"/>
        <v/>
      </c>
      <c r="BE328" s="44" t="str">
        <f t="shared" si="117"/>
        <v/>
      </c>
      <c r="BF328" s="44" t="str">
        <f t="shared" si="117"/>
        <v/>
      </c>
      <c r="BG328" s="44" t="str">
        <f t="shared" si="117"/>
        <v/>
      </c>
      <c r="BH328" s="44" t="str">
        <f t="shared" si="117"/>
        <v/>
      </c>
      <c r="BI328" s="44" t="str">
        <f t="shared" si="117"/>
        <v/>
      </c>
      <c r="BJ328" s="44" t="str">
        <f t="shared" si="117"/>
        <v/>
      </c>
      <c r="BK328" s="62">
        <v>500</v>
      </c>
      <c r="BL328" s="44">
        <v>83</v>
      </c>
      <c r="CA328" s="44">
        <f t="shared" si="100"/>
        <v>583</v>
      </c>
      <c r="CB328" s="44">
        <v>1000</v>
      </c>
      <c r="CC328" s="44">
        <v>0</v>
      </c>
      <c r="CD328" s="44">
        <v>0</v>
      </c>
      <c r="CE328" s="44">
        <v>0</v>
      </c>
      <c r="CF328" s="114">
        <v>162021</v>
      </c>
      <c r="CG328" s="44">
        <v>0</v>
      </c>
      <c r="CH328" s="44">
        <f t="shared" si="101"/>
        <v>0</v>
      </c>
      <c r="CI328" s="44">
        <v>1</v>
      </c>
      <c r="CJ328" s="44">
        <v>0</v>
      </c>
      <c r="CK328" s="44">
        <v>0</v>
      </c>
      <c r="CL328" s="44">
        <v>0</v>
      </c>
      <c r="CM328" s="44">
        <v>0</v>
      </c>
      <c r="CN328" s="44">
        <v>0</v>
      </c>
      <c r="CO328" s="44">
        <v>0</v>
      </c>
      <c r="CP328" s="44">
        <v>0</v>
      </c>
      <c r="CQ328" s="44">
        <v>0</v>
      </c>
      <c r="CR328" s="44">
        <v>0</v>
      </c>
      <c r="CV328" s="44">
        <v>0</v>
      </c>
      <c r="CW328" s="44">
        <v>0</v>
      </c>
    </row>
    <row r="329" s="44" customFormat="1" customHeight="1" spans="1:101">
      <c r="A329" s="45">
        <v>6281</v>
      </c>
      <c r="B329" s="79" t="s">
        <v>527</v>
      </c>
      <c r="E329" s="44">
        <v>50</v>
      </c>
      <c r="F329" s="44" t="s">
        <v>528</v>
      </c>
      <c r="H329" s="50" t="s">
        <v>326</v>
      </c>
      <c r="K329" s="44" t="s">
        <v>116</v>
      </c>
      <c r="O329" s="77">
        <v>0</v>
      </c>
      <c r="P329" s="77">
        <v>0</v>
      </c>
      <c r="Q329" s="77">
        <v>0</v>
      </c>
      <c r="R329" s="77">
        <v>0</v>
      </c>
      <c r="S329" s="64">
        <v>0</v>
      </c>
      <c r="T329" s="64">
        <v>0</v>
      </c>
      <c r="U329" s="64">
        <v>0</v>
      </c>
      <c r="V329" s="64">
        <v>0</v>
      </c>
      <c r="W329" s="63">
        <v>0</v>
      </c>
      <c r="X329" s="63">
        <v>0</v>
      </c>
      <c r="Y329" s="63">
        <v>0</v>
      </c>
      <c r="Z329" s="63">
        <v>0</v>
      </c>
      <c r="AA329" s="78">
        <v>0</v>
      </c>
      <c r="AB329" s="78">
        <v>0</v>
      </c>
      <c r="AC329" s="78">
        <v>0</v>
      </c>
      <c r="AD329" s="78">
        <v>0</v>
      </c>
      <c r="AE329" s="48">
        <v>200069</v>
      </c>
      <c r="AF329" s="44">
        <v>200073</v>
      </c>
      <c r="AG329" s="44">
        <v>200205</v>
      </c>
      <c r="AH329" s="44">
        <v>200071</v>
      </c>
      <c r="AI329" s="44">
        <v>200066</v>
      </c>
      <c r="AJ329" s="44">
        <v>200177</v>
      </c>
      <c r="AK329" s="44">
        <v>200210</v>
      </c>
      <c r="AU329" s="62">
        <f t="shared" ref="AU329:AU343" si="118">IF(AE329="","",1)</f>
        <v>1</v>
      </c>
      <c r="AV329" s="44">
        <v>1</v>
      </c>
      <c r="AW329" s="44">
        <v>1</v>
      </c>
      <c r="AX329" s="44">
        <v>1</v>
      </c>
      <c r="AY329" s="44">
        <v>1</v>
      </c>
      <c r="AZ329" s="44">
        <v>1</v>
      </c>
      <c r="BA329" s="44">
        <v>1</v>
      </c>
      <c r="BK329" s="62">
        <v>220</v>
      </c>
      <c r="BL329" s="44">
        <v>200</v>
      </c>
      <c r="BM329" s="44">
        <v>100</v>
      </c>
      <c r="BN329" s="44">
        <v>100</v>
      </c>
      <c r="BO329" s="44">
        <v>200</v>
      </c>
      <c r="BP329" s="44">
        <v>170</v>
      </c>
      <c r="BQ329" s="44">
        <v>10</v>
      </c>
      <c r="CA329" s="44">
        <f t="shared" si="100"/>
        <v>1000</v>
      </c>
      <c r="CB329" s="44">
        <v>1000</v>
      </c>
      <c r="CC329" s="44">
        <v>0</v>
      </c>
      <c r="CD329" s="44">
        <v>0</v>
      </c>
      <c r="CE329" s="44">
        <v>0</v>
      </c>
      <c r="CF329" s="44">
        <v>0</v>
      </c>
      <c r="CG329" s="44">
        <v>0</v>
      </c>
      <c r="CH329" s="44">
        <v>1</v>
      </c>
      <c r="CI329" s="44">
        <v>1</v>
      </c>
      <c r="CJ329" s="44">
        <v>0</v>
      </c>
      <c r="CK329" s="44">
        <v>0</v>
      </c>
      <c r="CL329" s="44">
        <v>0</v>
      </c>
      <c r="CM329" s="44">
        <v>0</v>
      </c>
      <c r="CN329" s="44">
        <v>0</v>
      </c>
      <c r="CO329" s="44">
        <v>0</v>
      </c>
      <c r="CP329" s="44">
        <v>0</v>
      </c>
      <c r="CQ329" s="44">
        <v>1</v>
      </c>
      <c r="CR329" s="44">
        <v>0</v>
      </c>
      <c r="CV329" s="44">
        <v>0</v>
      </c>
      <c r="CW329" s="44">
        <v>0</v>
      </c>
    </row>
    <row r="330" s="44" customFormat="1" customHeight="1" spans="1:101">
      <c r="A330" s="45">
        <v>6282</v>
      </c>
      <c r="B330" s="79" t="s">
        <v>529</v>
      </c>
      <c r="E330" s="44">
        <v>50</v>
      </c>
      <c r="F330" s="44" t="s">
        <v>530</v>
      </c>
      <c r="H330" s="50" t="s">
        <v>326</v>
      </c>
      <c r="K330" s="44" t="s">
        <v>116</v>
      </c>
      <c r="O330" s="77">
        <v>0</v>
      </c>
      <c r="P330" s="77">
        <v>0</v>
      </c>
      <c r="Q330" s="77">
        <v>0</v>
      </c>
      <c r="R330" s="77">
        <v>0</v>
      </c>
      <c r="S330" s="64">
        <v>0</v>
      </c>
      <c r="T330" s="64">
        <v>0</v>
      </c>
      <c r="U330" s="64">
        <v>0</v>
      </c>
      <c r="V330" s="64">
        <v>0</v>
      </c>
      <c r="W330" s="63">
        <v>0</v>
      </c>
      <c r="X330" s="63">
        <v>0</v>
      </c>
      <c r="Y330" s="63">
        <v>0</v>
      </c>
      <c r="Z330" s="63">
        <v>0</v>
      </c>
      <c r="AA330" s="78">
        <v>0</v>
      </c>
      <c r="AB330" s="78">
        <v>0</v>
      </c>
      <c r="AC330" s="78">
        <v>0</v>
      </c>
      <c r="AD330" s="78">
        <v>0</v>
      </c>
      <c r="AE330" s="48">
        <v>200069</v>
      </c>
      <c r="AF330" s="44">
        <v>200073</v>
      </c>
      <c r="AG330" s="44">
        <v>200205</v>
      </c>
      <c r="AH330" s="44">
        <v>200071</v>
      </c>
      <c r="AI330" s="44">
        <v>200066</v>
      </c>
      <c r="AJ330" s="44">
        <v>200177</v>
      </c>
      <c r="AK330" s="44">
        <v>200210</v>
      </c>
      <c r="AU330" s="62">
        <f t="shared" si="118"/>
        <v>1</v>
      </c>
      <c r="AV330" s="44">
        <v>1</v>
      </c>
      <c r="AW330" s="44">
        <v>1</v>
      </c>
      <c r="AX330" s="44">
        <v>1</v>
      </c>
      <c r="AY330" s="44">
        <v>1</v>
      </c>
      <c r="AZ330" s="44">
        <v>1</v>
      </c>
      <c r="BA330" s="44">
        <v>1</v>
      </c>
      <c r="BK330" s="62">
        <v>220</v>
      </c>
      <c r="BL330" s="44">
        <v>200</v>
      </c>
      <c r="BM330" s="44">
        <v>100</v>
      </c>
      <c r="BN330" s="44">
        <v>100</v>
      </c>
      <c r="BO330" s="44">
        <v>200</v>
      </c>
      <c r="BP330" s="44">
        <v>170</v>
      </c>
      <c r="BQ330" s="44">
        <v>10</v>
      </c>
      <c r="CA330" s="44">
        <f t="shared" si="100"/>
        <v>1000</v>
      </c>
      <c r="CB330" s="44">
        <v>1000</v>
      </c>
      <c r="CC330" s="44">
        <v>0</v>
      </c>
      <c r="CD330" s="44">
        <v>0</v>
      </c>
      <c r="CE330" s="44">
        <v>0</v>
      </c>
      <c r="CF330" s="44">
        <v>0</v>
      </c>
      <c r="CG330" s="44">
        <v>0</v>
      </c>
      <c r="CH330" s="44">
        <v>1</v>
      </c>
      <c r="CI330" s="44">
        <v>1</v>
      </c>
      <c r="CJ330" s="44">
        <v>0</v>
      </c>
      <c r="CK330" s="44">
        <v>0</v>
      </c>
      <c r="CL330" s="44">
        <v>0</v>
      </c>
      <c r="CM330" s="44">
        <v>0</v>
      </c>
      <c r="CN330" s="44">
        <v>0</v>
      </c>
      <c r="CO330" s="44">
        <v>0</v>
      </c>
      <c r="CP330" s="44">
        <v>0</v>
      </c>
      <c r="CQ330" s="44">
        <v>1</v>
      </c>
      <c r="CR330" s="44">
        <v>0</v>
      </c>
      <c r="CV330" s="44">
        <v>0</v>
      </c>
      <c r="CW330" s="44">
        <v>0</v>
      </c>
    </row>
    <row r="331" s="44" customFormat="1" customHeight="1" spans="1:101">
      <c r="A331" s="45">
        <v>6283</v>
      </c>
      <c r="B331" s="79" t="s">
        <v>531</v>
      </c>
      <c r="E331" s="44">
        <v>50</v>
      </c>
      <c r="F331" s="44" t="s">
        <v>532</v>
      </c>
      <c r="H331" s="50" t="s">
        <v>326</v>
      </c>
      <c r="K331" s="44" t="s">
        <v>116</v>
      </c>
      <c r="O331" s="77">
        <v>0</v>
      </c>
      <c r="P331" s="77">
        <v>0</v>
      </c>
      <c r="Q331" s="77">
        <v>0</v>
      </c>
      <c r="R331" s="77">
        <v>0</v>
      </c>
      <c r="S331" s="64">
        <v>0</v>
      </c>
      <c r="T331" s="64">
        <v>0</v>
      </c>
      <c r="U331" s="64">
        <v>0</v>
      </c>
      <c r="V331" s="64">
        <v>0</v>
      </c>
      <c r="W331" s="63">
        <v>0</v>
      </c>
      <c r="X331" s="63">
        <v>0</v>
      </c>
      <c r="Y331" s="63">
        <v>0</v>
      </c>
      <c r="Z331" s="63">
        <v>0</v>
      </c>
      <c r="AA331" s="78">
        <v>0</v>
      </c>
      <c r="AB331" s="78">
        <v>0</v>
      </c>
      <c r="AC331" s="78">
        <v>0</v>
      </c>
      <c r="AD331" s="78">
        <v>0</v>
      </c>
      <c r="AE331" s="48">
        <v>200069</v>
      </c>
      <c r="AF331" s="44">
        <v>200073</v>
      </c>
      <c r="AG331" s="44">
        <v>200205</v>
      </c>
      <c r="AH331" s="44">
        <v>200071</v>
      </c>
      <c r="AI331" s="44">
        <v>200066</v>
      </c>
      <c r="AJ331" s="44">
        <v>200177</v>
      </c>
      <c r="AK331" s="44">
        <v>200210</v>
      </c>
      <c r="AU331" s="62">
        <f t="shared" si="118"/>
        <v>1</v>
      </c>
      <c r="AV331" s="44">
        <v>1</v>
      </c>
      <c r="AW331" s="44">
        <v>1</v>
      </c>
      <c r="AX331" s="44">
        <v>1</v>
      </c>
      <c r="AY331" s="44">
        <v>1</v>
      </c>
      <c r="AZ331" s="44">
        <v>1</v>
      </c>
      <c r="BA331" s="44">
        <v>1</v>
      </c>
      <c r="BK331" s="62">
        <v>220</v>
      </c>
      <c r="BL331" s="44">
        <v>200</v>
      </c>
      <c r="BM331" s="44">
        <v>100</v>
      </c>
      <c r="BN331" s="44">
        <v>100</v>
      </c>
      <c r="BO331" s="44">
        <v>200</v>
      </c>
      <c r="BP331" s="44">
        <v>170</v>
      </c>
      <c r="BQ331" s="44">
        <v>10</v>
      </c>
      <c r="CA331" s="44">
        <f t="shared" si="100"/>
        <v>1000</v>
      </c>
      <c r="CB331" s="44">
        <v>1000</v>
      </c>
      <c r="CC331" s="44">
        <v>0</v>
      </c>
      <c r="CD331" s="44">
        <v>0</v>
      </c>
      <c r="CE331" s="44">
        <v>0</v>
      </c>
      <c r="CF331" s="44">
        <v>0</v>
      </c>
      <c r="CG331" s="44">
        <v>0</v>
      </c>
      <c r="CH331" s="44">
        <v>1</v>
      </c>
      <c r="CI331" s="44">
        <v>1</v>
      </c>
      <c r="CJ331" s="44">
        <v>0</v>
      </c>
      <c r="CK331" s="44">
        <v>0</v>
      </c>
      <c r="CL331" s="44">
        <v>0</v>
      </c>
      <c r="CM331" s="44">
        <v>0</v>
      </c>
      <c r="CN331" s="44">
        <v>0</v>
      </c>
      <c r="CO331" s="44">
        <v>0</v>
      </c>
      <c r="CP331" s="44">
        <v>0</v>
      </c>
      <c r="CQ331" s="44">
        <v>1</v>
      </c>
      <c r="CR331" s="44">
        <v>0</v>
      </c>
      <c r="CV331" s="44">
        <v>0</v>
      </c>
      <c r="CW331" s="44">
        <v>0</v>
      </c>
    </row>
    <row r="332" s="44" customFormat="1" customHeight="1" spans="1:101">
      <c r="A332" s="45">
        <v>6284</v>
      </c>
      <c r="B332" s="79" t="s">
        <v>533</v>
      </c>
      <c r="E332" s="44">
        <v>50</v>
      </c>
      <c r="F332" s="44" t="s">
        <v>534</v>
      </c>
      <c r="H332" s="50" t="s">
        <v>326</v>
      </c>
      <c r="K332" s="44" t="s">
        <v>116</v>
      </c>
      <c r="O332" s="77">
        <v>0</v>
      </c>
      <c r="P332" s="77">
        <v>0</v>
      </c>
      <c r="Q332" s="77">
        <v>0</v>
      </c>
      <c r="R332" s="77">
        <v>0</v>
      </c>
      <c r="S332" s="64">
        <v>0</v>
      </c>
      <c r="T332" s="64">
        <v>0</v>
      </c>
      <c r="U332" s="64">
        <v>0</v>
      </c>
      <c r="V332" s="64">
        <v>0</v>
      </c>
      <c r="W332" s="63">
        <v>0</v>
      </c>
      <c r="X332" s="63">
        <v>0</v>
      </c>
      <c r="Y332" s="63">
        <v>0</v>
      </c>
      <c r="Z332" s="63">
        <v>0</v>
      </c>
      <c r="AA332" s="78">
        <v>0</v>
      </c>
      <c r="AB332" s="78">
        <v>0</v>
      </c>
      <c r="AC332" s="78">
        <v>0</v>
      </c>
      <c r="AD332" s="78">
        <v>0</v>
      </c>
      <c r="AE332" s="48">
        <v>200069</v>
      </c>
      <c r="AF332" s="44">
        <v>200073</v>
      </c>
      <c r="AG332" s="44">
        <v>200205</v>
      </c>
      <c r="AH332" s="44">
        <v>200071</v>
      </c>
      <c r="AI332" s="44">
        <v>200066</v>
      </c>
      <c r="AJ332" s="44">
        <v>200177</v>
      </c>
      <c r="AK332" s="44">
        <v>200210</v>
      </c>
      <c r="AU332" s="62">
        <f t="shared" si="118"/>
        <v>1</v>
      </c>
      <c r="AV332" s="44">
        <v>1</v>
      </c>
      <c r="AW332" s="44">
        <v>1</v>
      </c>
      <c r="AX332" s="44">
        <v>1</v>
      </c>
      <c r="AY332" s="44">
        <v>1</v>
      </c>
      <c r="AZ332" s="44">
        <v>1</v>
      </c>
      <c r="BA332" s="44">
        <v>1</v>
      </c>
      <c r="BK332" s="62">
        <v>220</v>
      </c>
      <c r="BL332" s="44">
        <v>200</v>
      </c>
      <c r="BM332" s="44">
        <v>100</v>
      </c>
      <c r="BN332" s="44">
        <v>100</v>
      </c>
      <c r="BO332" s="44">
        <v>200</v>
      </c>
      <c r="BP332" s="44">
        <v>170</v>
      </c>
      <c r="BQ332" s="44">
        <v>10</v>
      </c>
      <c r="CA332" s="44">
        <f t="shared" si="100"/>
        <v>1000</v>
      </c>
      <c r="CB332" s="44">
        <v>1000</v>
      </c>
      <c r="CC332" s="44">
        <v>0</v>
      </c>
      <c r="CD332" s="44">
        <v>0</v>
      </c>
      <c r="CE332" s="44">
        <v>0</v>
      </c>
      <c r="CF332" s="44">
        <v>0</v>
      </c>
      <c r="CG332" s="44">
        <v>0</v>
      </c>
      <c r="CH332" s="44">
        <v>1</v>
      </c>
      <c r="CI332" s="44">
        <v>1</v>
      </c>
      <c r="CJ332" s="44">
        <v>0</v>
      </c>
      <c r="CK332" s="44">
        <v>0</v>
      </c>
      <c r="CL332" s="44">
        <v>0</v>
      </c>
      <c r="CM332" s="44">
        <v>0</v>
      </c>
      <c r="CN332" s="44">
        <v>0</v>
      </c>
      <c r="CO332" s="44">
        <v>0</v>
      </c>
      <c r="CP332" s="44">
        <v>0</v>
      </c>
      <c r="CQ332" s="44">
        <v>1</v>
      </c>
      <c r="CR332" s="44">
        <v>0</v>
      </c>
      <c r="CV332" s="44">
        <v>0</v>
      </c>
      <c r="CW332" s="44">
        <v>0</v>
      </c>
    </row>
    <row r="333" s="44" customFormat="1" customHeight="1" spans="1:101">
      <c r="A333" s="45">
        <v>6285</v>
      </c>
      <c r="B333" s="79" t="s">
        <v>535</v>
      </c>
      <c r="E333" s="44">
        <v>50</v>
      </c>
      <c r="F333" s="44" t="s">
        <v>536</v>
      </c>
      <c r="H333" s="50" t="s">
        <v>326</v>
      </c>
      <c r="K333" s="44" t="s">
        <v>116</v>
      </c>
      <c r="O333" s="77">
        <v>0</v>
      </c>
      <c r="P333" s="77">
        <v>0</v>
      </c>
      <c r="Q333" s="77">
        <v>0</v>
      </c>
      <c r="R333" s="77">
        <v>0</v>
      </c>
      <c r="S333" s="64">
        <v>0</v>
      </c>
      <c r="T333" s="64">
        <v>0</v>
      </c>
      <c r="U333" s="64">
        <v>0</v>
      </c>
      <c r="V333" s="64">
        <v>0</v>
      </c>
      <c r="W333" s="63">
        <v>0</v>
      </c>
      <c r="X333" s="63">
        <v>0</v>
      </c>
      <c r="Y333" s="63">
        <v>0</v>
      </c>
      <c r="Z333" s="63">
        <v>0</v>
      </c>
      <c r="AA333" s="78">
        <v>0</v>
      </c>
      <c r="AB333" s="78">
        <v>0</v>
      </c>
      <c r="AC333" s="78">
        <v>0</v>
      </c>
      <c r="AD333" s="78">
        <v>0</v>
      </c>
      <c r="AE333" s="48">
        <v>200069</v>
      </c>
      <c r="AF333" s="44">
        <v>200073</v>
      </c>
      <c r="AG333" s="44">
        <v>200205</v>
      </c>
      <c r="AH333" s="44">
        <v>200071</v>
      </c>
      <c r="AI333" s="44">
        <v>200066</v>
      </c>
      <c r="AJ333" s="44">
        <v>200177</v>
      </c>
      <c r="AK333" s="44">
        <v>200210</v>
      </c>
      <c r="AU333" s="62">
        <f t="shared" si="118"/>
        <v>1</v>
      </c>
      <c r="AV333" s="44">
        <v>1</v>
      </c>
      <c r="AW333" s="44">
        <v>1</v>
      </c>
      <c r="AX333" s="44">
        <v>1</v>
      </c>
      <c r="AY333" s="44">
        <v>1</v>
      </c>
      <c r="AZ333" s="44">
        <v>1</v>
      </c>
      <c r="BA333" s="44">
        <v>1</v>
      </c>
      <c r="BK333" s="62">
        <v>220</v>
      </c>
      <c r="BL333" s="44">
        <v>200</v>
      </c>
      <c r="BM333" s="44">
        <v>100</v>
      </c>
      <c r="BN333" s="44">
        <v>100</v>
      </c>
      <c r="BO333" s="44">
        <v>200</v>
      </c>
      <c r="BP333" s="44">
        <v>170</v>
      </c>
      <c r="BQ333" s="44">
        <v>10</v>
      </c>
      <c r="CA333" s="44">
        <f t="shared" si="100"/>
        <v>1000</v>
      </c>
      <c r="CB333" s="44">
        <v>1000</v>
      </c>
      <c r="CC333" s="44">
        <v>0</v>
      </c>
      <c r="CD333" s="44">
        <v>0</v>
      </c>
      <c r="CE333" s="44">
        <v>0</v>
      </c>
      <c r="CF333" s="44">
        <v>0</v>
      </c>
      <c r="CG333" s="44">
        <v>0</v>
      </c>
      <c r="CH333" s="44">
        <v>1</v>
      </c>
      <c r="CI333" s="44">
        <v>1</v>
      </c>
      <c r="CJ333" s="44">
        <v>0</v>
      </c>
      <c r="CK333" s="44">
        <v>0</v>
      </c>
      <c r="CL333" s="44">
        <v>0</v>
      </c>
      <c r="CM333" s="44">
        <v>0</v>
      </c>
      <c r="CN333" s="44">
        <v>0</v>
      </c>
      <c r="CO333" s="44">
        <v>0</v>
      </c>
      <c r="CP333" s="44">
        <v>0</v>
      </c>
      <c r="CQ333" s="44">
        <v>1</v>
      </c>
      <c r="CR333" s="44">
        <v>0</v>
      </c>
      <c r="CV333" s="44">
        <v>0</v>
      </c>
      <c r="CW333" s="44">
        <v>0</v>
      </c>
    </row>
    <row r="334" s="44" customFormat="1" customHeight="1" spans="1:101">
      <c r="A334" s="45">
        <v>6286</v>
      </c>
      <c r="B334" s="79" t="s">
        <v>537</v>
      </c>
      <c r="E334" s="44">
        <v>50</v>
      </c>
      <c r="F334" s="44" t="s">
        <v>538</v>
      </c>
      <c r="H334" s="50" t="s">
        <v>326</v>
      </c>
      <c r="K334" s="44" t="s">
        <v>116</v>
      </c>
      <c r="O334" s="77">
        <v>0</v>
      </c>
      <c r="P334" s="77">
        <v>0</v>
      </c>
      <c r="Q334" s="77">
        <v>0</v>
      </c>
      <c r="R334" s="77">
        <v>0</v>
      </c>
      <c r="S334" s="64">
        <v>0</v>
      </c>
      <c r="T334" s="64">
        <v>0</v>
      </c>
      <c r="U334" s="64">
        <v>0</v>
      </c>
      <c r="V334" s="64">
        <v>0</v>
      </c>
      <c r="W334" s="63">
        <v>0</v>
      </c>
      <c r="X334" s="63">
        <v>0</v>
      </c>
      <c r="Y334" s="63">
        <v>0</v>
      </c>
      <c r="Z334" s="63">
        <v>0</v>
      </c>
      <c r="AA334" s="78">
        <v>0</v>
      </c>
      <c r="AB334" s="78">
        <v>0</v>
      </c>
      <c r="AC334" s="78">
        <v>0</v>
      </c>
      <c r="AD334" s="78">
        <v>0</v>
      </c>
      <c r="AE334" s="48">
        <v>200069</v>
      </c>
      <c r="AF334" s="44">
        <v>200073</v>
      </c>
      <c r="AG334" s="44">
        <v>200205</v>
      </c>
      <c r="AH334" s="44">
        <v>200071</v>
      </c>
      <c r="AI334" s="44">
        <v>200066</v>
      </c>
      <c r="AJ334" s="44">
        <v>200177</v>
      </c>
      <c r="AK334" s="44">
        <v>200210</v>
      </c>
      <c r="AU334" s="62">
        <f t="shared" si="118"/>
        <v>1</v>
      </c>
      <c r="AV334" s="44">
        <v>1</v>
      </c>
      <c r="AW334" s="44">
        <v>1</v>
      </c>
      <c r="AX334" s="44">
        <v>1</v>
      </c>
      <c r="AY334" s="44">
        <v>1</v>
      </c>
      <c r="AZ334" s="44">
        <v>1</v>
      </c>
      <c r="BA334" s="44">
        <v>1</v>
      </c>
      <c r="BK334" s="62">
        <v>220</v>
      </c>
      <c r="BL334" s="44">
        <v>200</v>
      </c>
      <c r="BM334" s="44">
        <v>100</v>
      </c>
      <c r="BN334" s="44">
        <v>100</v>
      </c>
      <c r="BO334" s="44">
        <v>200</v>
      </c>
      <c r="BP334" s="44">
        <v>170</v>
      </c>
      <c r="BQ334" s="44">
        <v>10</v>
      </c>
      <c r="CA334" s="44">
        <f t="shared" si="100"/>
        <v>1000</v>
      </c>
      <c r="CB334" s="44">
        <v>1000</v>
      </c>
      <c r="CC334" s="44">
        <v>0</v>
      </c>
      <c r="CD334" s="44">
        <v>0</v>
      </c>
      <c r="CE334" s="44">
        <v>0</v>
      </c>
      <c r="CF334" s="44">
        <v>0</v>
      </c>
      <c r="CG334" s="44">
        <v>0</v>
      </c>
      <c r="CH334" s="44">
        <v>1</v>
      </c>
      <c r="CI334" s="44">
        <v>1</v>
      </c>
      <c r="CJ334" s="44">
        <v>0</v>
      </c>
      <c r="CK334" s="44">
        <v>0</v>
      </c>
      <c r="CL334" s="44">
        <v>0</v>
      </c>
      <c r="CM334" s="44">
        <v>0</v>
      </c>
      <c r="CN334" s="44">
        <v>0</v>
      </c>
      <c r="CO334" s="44">
        <v>0</v>
      </c>
      <c r="CP334" s="44">
        <v>0</v>
      </c>
      <c r="CQ334" s="44">
        <v>1</v>
      </c>
      <c r="CR334" s="44">
        <v>0</v>
      </c>
      <c r="CV334" s="44">
        <v>0</v>
      </c>
      <c r="CW334" s="44">
        <v>0</v>
      </c>
    </row>
    <row r="335" s="44" customFormat="1" customHeight="1" spans="1:101">
      <c r="A335" s="45">
        <v>6287</v>
      </c>
      <c r="B335" s="79" t="s">
        <v>539</v>
      </c>
      <c r="E335" s="44">
        <v>50</v>
      </c>
      <c r="F335" s="44" t="s">
        <v>540</v>
      </c>
      <c r="H335" s="50" t="s">
        <v>326</v>
      </c>
      <c r="K335" s="44" t="s">
        <v>116</v>
      </c>
      <c r="O335" s="77">
        <v>0</v>
      </c>
      <c r="P335" s="77">
        <v>0</v>
      </c>
      <c r="Q335" s="77">
        <v>0</v>
      </c>
      <c r="R335" s="77">
        <v>0</v>
      </c>
      <c r="S335" s="64">
        <v>0</v>
      </c>
      <c r="T335" s="64">
        <v>0</v>
      </c>
      <c r="U335" s="64">
        <v>0</v>
      </c>
      <c r="V335" s="64">
        <v>0</v>
      </c>
      <c r="W335" s="63">
        <v>0</v>
      </c>
      <c r="X335" s="63">
        <v>0</v>
      </c>
      <c r="Y335" s="63">
        <v>0</v>
      </c>
      <c r="Z335" s="63">
        <v>0</v>
      </c>
      <c r="AA335" s="78">
        <v>0</v>
      </c>
      <c r="AB335" s="78">
        <v>0</v>
      </c>
      <c r="AC335" s="78">
        <v>0</v>
      </c>
      <c r="AD335" s="78">
        <v>0</v>
      </c>
      <c r="AE335" s="48">
        <v>200069</v>
      </c>
      <c r="AF335" s="44">
        <v>200073</v>
      </c>
      <c r="AG335" s="44">
        <v>200205</v>
      </c>
      <c r="AH335" s="44">
        <v>200071</v>
      </c>
      <c r="AI335" s="44">
        <v>200066</v>
      </c>
      <c r="AJ335" s="44">
        <v>200177</v>
      </c>
      <c r="AK335" s="44">
        <v>200210</v>
      </c>
      <c r="AU335" s="62">
        <f t="shared" si="118"/>
        <v>1</v>
      </c>
      <c r="AV335" s="44">
        <v>1</v>
      </c>
      <c r="AW335" s="44">
        <v>1</v>
      </c>
      <c r="AX335" s="44">
        <v>1</v>
      </c>
      <c r="AY335" s="44">
        <v>1</v>
      </c>
      <c r="AZ335" s="44">
        <v>1</v>
      </c>
      <c r="BA335" s="44">
        <v>1</v>
      </c>
      <c r="BK335" s="62">
        <v>220</v>
      </c>
      <c r="BL335" s="44">
        <v>200</v>
      </c>
      <c r="BM335" s="44">
        <v>100</v>
      </c>
      <c r="BN335" s="44">
        <v>100</v>
      </c>
      <c r="BO335" s="44">
        <v>200</v>
      </c>
      <c r="BP335" s="44">
        <v>170</v>
      </c>
      <c r="BQ335" s="44">
        <v>10</v>
      </c>
      <c r="CA335" s="44">
        <f t="shared" si="100"/>
        <v>1000</v>
      </c>
      <c r="CB335" s="44">
        <v>1000</v>
      </c>
      <c r="CC335" s="44">
        <v>0</v>
      </c>
      <c r="CD335" s="44">
        <v>0</v>
      </c>
      <c r="CE335" s="44">
        <v>0</v>
      </c>
      <c r="CF335" s="44">
        <v>0</v>
      </c>
      <c r="CG335" s="44">
        <v>0</v>
      </c>
      <c r="CH335" s="44">
        <v>1</v>
      </c>
      <c r="CI335" s="44">
        <v>1</v>
      </c>
      <c r="CJ335" s="44">
        <v>0</v>
      </c>
      <c r="CK335" s="44">
        <v>0</v>
      </c>
      <c r="CL335" s="44">
        <v>0</v>
      </c>
      <c r="CM335" s="44">
        <v>0</v>
      </c>
      <c r="CN335" s="44">
        <v>0</v>
      </c>
      <c r="CO335" s="44">
        <v>0</v>
      </c>
      <c r="CP335" s="44">
        <v>0</v>
      </c>
      <c r="CQ335" s="44">
        <v>1</v>
      </c>
      <c r="CR335" s="44">
        <v>0</v>
      </c>
      <c r="CV335" s="44">
        <v>0</v>
      </c>
      <c r="CW335" s="44">
        <v>0</v>
      </c>
    </row>
    <row r="336" s="44" customFormat="1" customHeight="1" spans="1:101">
      <c r="A336" s="45">
        <v>6288</v>
      </c>
      <c r="B336" s="79" t="s">
        <v>541</v>
      </c>
      <c r="E336" s="44">
        <v>50</v>
      </c>
      <c r="F336" s="44" t="s">
        <v>542</v>
      </c>
      <c r="H336" s="50" t="s">
        <v>326</v>
      </c>
      <c r="K336" s="44" t="s">
        <v>116</v>
      </c>
      <c r="O336" s="77">
        <v>0</v>
      </c>
      <c r="P336" s="77">
        <v>0</v>
      </c>
      <c r="Q336" s="77">
        <v>0</v>
      </c>
      <c r="R336" s="77">
        <v>0</v>
      </c>
      <c r="S336" s="64">
        <v>0</v>
      </c>
      <c r="T336" s="64">
        <v>0</v>
      </c>
      <c r="U336" s="64">
        <v>0</v>
      </c>
      <c r="V336" s="64">
        <v>0</v>
      </c>
      <c r="W336" s="63">
        <v>0</v>
      </c>
      <c r="X336" s="63">
        <v>0</v>
      </c>
      <c r="Y336" s="63">
        <v>0</v>
      </c>
      <c r="Z336" s="63">
        <v>0</v>
      </c>
      <c r="AA336" s="78">
        <v>0</v>
      </c>
      <c r="AB336" s="78">
        <v>0</v>
      </c>
      <c r="AC336" s="78">
        <v>0</v>
      </c>
      <c r="AD336" s="78">
        <v>0</v>
      </c>
      <c r="AE336" s="48">
        <v>200069</v>
      </c>
      <c r="AF336" s="44">
        <v>200073</v>
      </c>
      <c r="AG336" s="44">
        <v>200205</v>
      </c>
      <c r="AH336" s="44">
        <v>200071</v>
      </c>
      <c r="AI336" s="44">
        <v>200066</v>
      </c>
      <c r="AJ336" s="44">
        <v>200177</v>
      </c>
      <c r="AK336" s="44">
        <v>200210</v>
      </c>
      <c r="AU336" s="62">
        <f t="shared" si="118"/>
        <v>1</v>
      </c>
      <c r="AV336" s="44">
        <v>1</v>
      </c>
      <c r="AW336" s="44">
        <v>1</v>
      </c>
      <c r="AX336" s="44">
        <v>1</v>
      </c>
      <c r="AY336" s="44">
        <v>1</v>
      </c>
      <c r="AZ336" s="44">
        <v>1</v>
      </c>
      <c r="BA336" s="44">
        <v>1</v>
      </c>
      <c r="BK336" s="62">
        <v>220</v>
      </c>
      <c r="BL336" s="44">
        <v>200</v>
      </c>
      <c r="BM336" s="44">
        <v>100</v>
      </c>
      <c r="BN336" s="44">
        <v>100</v>
      </c>
      <c r="BO336" s="44">
        <v>200</v>
      </c>
      <c r="BP336" s="44">
        <v>170</v>
      </c>
      <c r="BQ336" s="44">
        <v>10</v>
      </c>
      <c r="CA336" s="44">
        <f t="shared" si="100"/>
        <v>1000</v>
      </c>
      <c r="CB336" s="44">
        <v>1000</v>
      </c>
      <c r="CC336" s="44">
        <v>0</v>
      </c>
      <c r="CD336" s="44">
        <v>0</v>
      </c>
      <c r="CE336" s="44">
        <v>0</v>
      </c>
      <c r="CF336" s="44">
        <v>0</v>
      </c>
      <c r="CG336" s="44">
        <v>0</v>
      </c>
      <c r="CH336" s="44">
        <v>1</v>
      </c>
      <c r="CI336" s="44">
        <v>1</v>
      </c>
      <c r="CJ336" s="44">
        <v>0</v>
      </c>
      <c r="CK336" s="44">
        <v>0</v>
      </c>
      <c r="CL336" s="44">
        <v>0</v>
      </c>
      <c r="CM336" s="44">
        <v>0</v>
      </c>
      <c r="CN336" s="44">
        <v>0</v>
      </c>
      <c r="CO336" s="44">
        <v>0</v>
      </c>
      <c r="CP336" s="44">
        <v>0</v>
      </c>
      <c r="CQ336" s="44">
        <v>1</v>
      </c>
      <c r="CR336" s="44">
        <v>0</v>
      </c>
      <c r="CV336" s="44">
        <v>0</v>
      </c>
      <c r="CW336" s="44">
        <v>0</v>
      </c>
    </row>
    <row r="337" s="44" customFormat="1" customHeight="1" spans="1:101">
      <c r="A337" s="45">
        <v>6289</v>
      </c>
      <c r="B337" s="79" t="s">
        <v>543</v>
      </c>
      <c r="E337" s="44">
        <v>50</v>
      </c>
      <c r="F337" s="44" t="s">
        <v>544</v>
      </c>
      <c r="H337" s="50"/>
      <c r="K337" s="44" t="s">
        <v>116</v>
      </c>
      <c r="O337" s="77">
        <v>0</v>
      </c>
      <c r="P337" s="77">
        <v>0</v>
      </c>
      <c r="Q337" s="77">
        <v>0</v>
      </c>
      <c r="R337" s="77">
        <v>0</v>
      </c>
      <c r="S337" s="64">
        <v>0</v>
      </c>
      <c r="T337" s="64">
        <v>0</v>
      </c>
      <c r="U337" s="64">
        <v>0</v>
      </c>
      <c r="V337" s="64">
        <v>0</v>
      </c>
      <c r="W337" s="63">
        <v>0</v>
      </c>
      <c r="X337" s="63">
        <v>0</v>
      </c>
      <c r="Y337" s="63">
        <v>0</v>
      </c>
      <c r="Z337" s="63">
        <v>0</v>
      </c>
      <c r="AA337" s="78">
        <v>0</v>
      </c>
      <c r="AB337" s="78">
        <v>0</v>
      </c>
      <c r="AC337" s="78">
        <v>0</v>
      </c>
      <c r="AD337" s="78">
        <v>0</v>
      </c>
      <c r="AE337" s="48"/>
      <c r="AF337" s="44"/>
      <c r="AG337" s="44"/>
      <c r="AH337" s="44"/>
      <c r="AI337" s="44"/>
      <c r="AJ337" s="44"/>
      <c r="AK337" s="44"/>
      <c r="AU337" s="62" t="str">
        <f t="shared" si="118"/>
        <v/>
      </c>
      <c r="BK337" s="62"/>
      <c r="BL337" s="44"/>
      <c r="BM337" s="44"/>
      <c r="BN337" s="44"/>
      <c r="BO337" s="44"/>
      <c r="BP337" s="44"/>
      <c r="BQ337" s="44"/>
      <c r="CA337" s="44">
        <f t="shared" si="100"/>
        <v>0</v>
      </c>
      <c r="CB337" s="44" t="s">
        <v>329</v>
      </c>
      <c r="CC337" s="44">
        <v>0</v>
      </c>
      <c r="CD337" s="44">
        <v>0</v>
      </c>
      <c r="CE337" s="44">
        <v>0</v>
      </c>
      <c r="CF337" s="44">
        <v>0</v>
      </c>
      <c r="CG337" s="44">
        <v>0</v>
      </c>
      <c r="CH337" s="44">
        <v>1</v>
      </c>
      <c r="CI337" s="44">
        <v>1</v>
      </c>
      <c r="CJ337" s="44">
        <v>0</v>
      </c>
      <c r="CK337" s="44">
        <v>0</v>
      </c>
      <c r="CL337" s="44">
        <v>0</v>
      </c>
      <c r="CM337" s="44">
        <v>0</v>
      </c>
      <c r="CN337" s="44">
        <v>0</v>
      </c>
      <c r="CO337" s="44">
        <v>0</v>
      </c>
      <c r="CP337" s="44">
        <v>0</v>
      </c>
      <c r="CQ337" s="44">
        <v>1</v>
      </c>
      <c r="CR337" s="44">
        <v>0</v>
      </c>
      <c r="CV337" s="44">
        <v>0</v>
      </c>
      <c r="CW337" s="44">
        <v>0</v>
      </c>
    </row>
    <row r="338" s="44" customFormat="1" customHeight="1" spans="1:101">
      <c r="A338" s="45">
        <v>6290</v>
      </c>
      <c r="B338" s="79" t="s">
        <v>545</v>
      </c>
      <c r="I338" s="44" t="s">
        <v>116</v>
      </c>
      <c r="K338" s="44" t="s">
        <v>116</v>
      </c>
      <c r="O338" s="77"/>
      <c r="P338" s="77"/>
      <c r="Q338" s="77"/>
      <c r="R338" s="77"/>
      <c r="S338" s="64"/>
      <c r="T338" s="64"/>
      <c r="U338" s="64"/>
      <c r="V338" s="64"/>
      <c r="W338" s="63"/>
      <c r="X338" s="63"/>
      <c r="Y338" s="63"/>
      <c r="Z338" s="63"/>
      <c r="AA338" s="78"/>
      <c r="AB338" s="78"/>
      <c r="AC338" s="78"/>
      <c r="AD338" s="78"/>
      <c r="AE338" s="48">
        <v>200071</v>
      </c>
      <c r="AF338" s="44">
        <v>200177</v>
      </c>
      <c r="AG338" s="44">
        <v>200172</v>
      </c>
      <c r="AH338" s="44">
        <v>200073</v>
      </c>
      <c r="AI338" s="44">
        <v>200174</v>
      </c>
      <c r="AJ338" s="44">
        <v>200175</v>
      </c>
      <c r="AK338" s="44">
        <v>200176</v>
      </c>
      <c r="AL338" s="44">
        <v>200074</v>
      </c>
      <c r="AM338" s="44">
        <v>200182</v>
      </c>
      <c r="AN338" s="44">
        <v>200183</v>
      </c>
      <c r="AU338" s="62">
        <f t="shared" si="118"/>
        <v>1</v>
      </c>
      <c r="AV338" s="44">
        <f t="shared" ref="AV338:BD338" si="119">IF(AF338="","",1)</f>
        <v>1</v>
      </c>
      <c r="AW338" s="44">
        <f t="shared" si="119"/>
        <v>1</v>
      </c>
      <c r="AX338" s="44">
        <f t="shared" si="119"/>
        <v>1</v>
      </c>
      <c r="AY338" s="44">
        <f t="shared" si="119"/>
        <v>1</v>
      </c>
      <c r="AZ338" s="44">
        <f t="shared" si="119"/>
        <v>1</v>
      </c>
      <c r="BA338" s="44">
        <f t="shared" si="119"/>
        <v>1</v>
      </c>
      <c r="BB338" s="44">
        <f t="shared" si="119"/>
        <v>1</v>
      </c>
      <c r="BC338" s="44">
        <f t="shared" si="119"/>
        <v>1</v>
      </c>
      <c r="BD338" s="44">
        <f t="shared" si="119"/>
        <v>1</v>
      </c>
      <c r="BF338" s="44" t="str">
        <f>IF(AP338="","",1)</f>
        <v/>
      </c>
      <c r="BG338" s="44" t="str">
        <f>IF(AQ338="","",1)</f>
        <v/>
      </c>
      <c r="BH338" s="44" t="str">
        <f>IF(AR338="","",1)</f>
        <v/>
      </c>
      <c r="BI338" s="44" t="str">
        <f>IF(AS338="","",1)</f>
        <v/>
      </c>
      <c r="BJ338" s="44" t="str">
        <f>IF(AT338="","",1)</f>
        <v/>
      </c>
      <c r="BK338" s="62">
        <v>300</v>
      </c>
      <c r="BL338" s="44">
        <v>75</v>
      </c>
      <c r="BM338" s="44">
        <v>75</v>
      </c>
      <c r="BN338" s="44">
        <v>100</v>
      </c>
      <c r="BO338" s="44">
        <v>75</v>
      </c>
      <c r="BP338" s="44">
        <v>75</v>
      </c>
      <c r="BQ338" s="44">
        <v>75</v>
      </c>
      <c r="BR338" s="44">
        <v>75</v>
      </c>
      <c r="BS338" s="44">
        <v>75</v>
      </c>
      <c r="BT338" s="44">
        <v>75</v>
      </c>
      <c r="CA338" s="44">
        <f t="shared" si="100"/>
        <v>1000</v>
      </c>
      <c r="CB338" s="44">
        <f>CA338</f>
        <v>1000</v>
      </c>
      <c r="CC338" s="44">
        <v>0</v>
      </c>
      <c r="CD338" s="44">
        <v>0</v>
      </c>
      <c r="CE338" s="44">
        <v>0</v>
      </c>
      <c r="CF338" s="114">
        <v>162022</v>
      </c>
      <c r="CG338" s="44">
        <v>0</v>
      </c>
      <c r="CH338" s="44">
        <f>IF(RIGHT(B338,1)="0",1,0)</f>
        <v>0</v>
      </c>
      <c r="CI338" s="44">
        <v>1</v>
      </c>
      <c r="CJ338" s="44">
        <v>0</v>
      </c>
      <c r="CK338" s="44">
        <v>0</v>
      </c>
      <c r="CL338" s="44">
        <v>0</v>
      </c>
      <c r="CM338" s="44">
        <v>0</v>
      </c>
      <c r="CN338" s="44">
        <v>0</v>
      </c>
      <c r="CO338" s="44">
        <v>0</v>
      </c>
      <c r="CP338" s="44">
        <v>0</v>
      </c>
      <c r="CQ338" s="44">
        <v>0</v>
      </c>
      <c r="CR338" s="44">
        <v>0</v>
      </c>
      <c r="CV338" s="44">
        <v>0</v>
      </c>
      <c r="CW338" s="44">
        <v>0</v>
      </c>
    </row>
    <row r="339" s="44" customFormat="1" customHeight="1" spans="1:101">
      <c r="A339" s="45">
        <v>6291</v>
      </c>
      <c r="B339" s="79" t="s">
        <v>546</v>
      </c>
      <c r="E339" s="44">
        <v>50</v>
      </c>
      <c r="F339" s="44" t="s">
        <v>526</v>
      </c>
      <c r="H339" s="50" t="s">
        <v>326</v>
      </c>
      <c r="K339" s="44" t="s">
        <v>116</v>
      </c>
      <c r="O339" s="77">
        <v>0</v>
      </c>
      <c r="P339" s="77">
        <v>0</v>
      </c>
      <c r="Q339" s="77">
        <v>0</v>
      </c>
      <c r="R339" s="77">
        <v>0</v>
      </c>
      <c r="S339" s="64">
        <v>0</v>
      </c>
      <c r="T339" s="64">
        <v>0</v>
      </c>
      <c r="U339" s="64">
        <v>0</v>
      </c>
      <c r="V339" s="64">
        <v>0</v>
      </c>
      <c r="W339" s="63">
        <v>0</v>
      </c>
      <c r="X339" s="63">
        <v>0</v>
      </c>
      <c r="Y339" s="63">
        <v>0</v>
      </c>
      <c r="Z339" s="63">
        <v>0</v>
      </c>
      <c r="AA339" s="78">
        <v>0</v>
      </c>
      <c r="AB339" s="78">
        <v>0</v>
      </c>
      <c r="AC339" s="78">
        <v>0</v>
      </c>
      <c r="AD339" s="78">
        <v>0</v>
      </c>
      <c r="AE339" s="48">
        <v>200069</v>
      </c>
      <c r="AF339" s="44">
        <v>200073</v>
      </c>
      <c r="AG339" s="44">
        <v>200205</v>
      </c>
      <c r="AH339" s="44">
        <v>200071</v>
      </c>
      <c r="AI339" s="44">
        <v>200066</v>
      </c>
      <c r="AJ339" s="44">
        <v>200177</v>
      </c>
      <c r="AK339" s="44">
        <v>200210</v>
      </c>
      <c r="AU339" s="62">
        <f t="shared" si="118"/>
        <v>1</v>
      </c>
      <c r="AV339" s="44">
        <v>1</v>
      </c>
      <c r="AW339" s="44">
        <v>1</v>
      </c>
      <c r="AX339" s="44">
        <v>1</v>
      </c>
      <c r="AY339" s="44">
        <v>1</v>
      </c>
      <c r="AZ339" s="44">
        <v>1</v>
      </c>
      <c r="BA339" s="44">
        <v>1</v>
      </c>
      <c r="BK339" s="62">
        <v>220</v>
      </c>
      <c r="BL339" s="44">
        <v>200</v>
      </c>
      <c r="BM339" s="44">
        <v>100</v>
      </c>
      <c r="BN339" s="44">
        <v>100</v>
      </c>
      <c r="BO339" s="44">
        <v>200</v>
      </c>
      <c r="BP339" s="44">
        <v>170</v>
      </c>
      <c r="BQ339" s="44">
        <v>10</v>
      </c>
      <c r="CA339" s="44">
        <f t="shared" si="100"/>
        <v>1000</v>
      </c>
      <c r="CB339" s="44">
        <v>1000</v>
      </c>
      <c r="CC339" s="44">
        <v>0</v>
      </c>
      <c r="CD339" s="44">
        <v>0</v>
      </c>
      <c r="CE339" s="44">
        <v>0</v>
      </c>
      <c r="CF339" s="44">
        <v>0</v>
      </c>
      <c r="CG339" s="44">
        <v>0</v>
      </c>
      <c r="CH339" s="44">
        <v>1</v>
      </c>
      <c r="CI339" s="44">
        <v>1</v>
      </c>
      <c r="CJ339" s="44">
        <v>0</v>
      </c>
      <c r="CK339" s="44">
        <v>0</v>
      </c>
      <c r="CL339" s="44">
        <v>0</v>
      </c>
      <c r="CM339" s="44">
        <v>0</v>
      </c>
      <c r="CN339" s="44">
        <v>0</v>
      </c>
      <c r="CO339" s="44">
        <v>0</v>
      </c>
      <c r="CP339" s="44">
        <v>0</v>
      </c>
      <c r="CQ339" s="44">
        <v>1</v>
      </c>
      <c r="CR339" s="44">
        <v>0</v>
      </c>
      <c r="CV339" s="44">
        <v>0</v>
      </c>
      <c r="CW339" s="44">
        <v>0</v>
      </c>
    </row>
    <row r="340" s="44" customFormat="1" customHeight="1" spans="1:101">
      <c r="A340" s="45">
        <v>6292</v>
      </c>
      <c r="B340" s="79" t="s">
        <v>547</v>
      </c>
      <c r="O340" s="77">
        <v>0</v>
      </c>
      <c r="P340" s="77">
        <v>0</v>
      </c>
      <c r="Q340" s="77">
        <v>0</v>
      </c>
      <c r="R340" s="77">
        <v>0</v>
      </c>
      <c r="S340" s="64">
        <v>0</v>
      </c>
      <c r="T340" s="64">
        <v>0</v>
      </c>
      <c r="U340" s="64">
        <v>0</v>
      </c>
      <c r="V340" s="64">
        <v>0</v>
      </c>
      <c r="W340" s="63">
        <v>0</v>
      </c>
      <c r="X340" s="63">
        <v>0</v>
      </c>
      <c r="Y340" s="63">
        <v>0</v>
      </c>
      <c r="Z340" s="63">
        <v>0</v>
      </c>
      <c r="AA340" s="78">
        <v>0</v>
      </c>
      <c r="AB340" s="78">
        <v>0</v>
      </c>
      <c r="AC340" s="78">
        <v>0</v>
      </c>
      <c r="AD340" s="78">
        <v>0</v>
      </c>
      <c r="AE340" s="48">
        <v>200071</v>
      </c>
      <c r="AF340" s="44">
        <v>200074</v>
      </c>
      <c r="AG340" s="44">
        <v>200183</v>
      </c>
      <c r="AH340" s="44">
        <v>200210</v>
      </c>
      <c r="AU340" s="62">
        <f t="shared" si="118"/>
        <v>1</v>
      </c>
      <c r="AV340" s="44">
        <v>1</v>
      </c>
      <c r="AW340" s="44">
        <v>1</v>
      </c>
      <c r="AX340" s="44">
        <v>1</v>
      </c>
      <c r="BK340" s="62">
        <v>410</v>
      </c>
      <c r="BL340" s="44">
        <v>210</v>
      </c>
      <c r="BM340" s="44">
        <v>360</v>
      </c>
      <c r="BN340" s="44">
        <v>20</v>
      </c>
      <c r="CA340" s="44">
        <f t="shared" si="100"/>
        <v>1000</v>
      </c>
      <c r="CB340" s="44">
        <v>1000</v>
      </c>
      <c r="CC340" s="44">
        <v>0</v>
      </c>
      <c r="CD340" s="44">
        <v>0</v>
      </c>
      <c r="CE340" s="44">
        <v>0</v>
      </c>
      <c r="CF340" s="44">
        <v>0</v>
      </c>
      <c r="CG340" s="44">
        <v>0</v>
      </c>
      <c r="CH340" s="44">
        <v>1</v>
      </c>
      <c r="CI340" s="44">
        <v>1</v>
      </c>
      <c r="CJ340" s="44">
        <v>0</v>
      </c>
      <c r="CK340" s="44">
        <v>0</v>
      </c>
      <c r="CL340" s="44">
        <v>0</v>
      </c>
      <c r="CM340" s="44">
        <v>0</v>
      </c>
      <c r="CN340" s="44">
        <v>0</v>
      </c>
      <c r="CO340" s="44">
        <v>0</v>
      </c>
      <c r="CP340" s="44">
        <v>0</v>
      </c>
      <c r="CQ340" s="44">
        <v>1</v>
      </c>
      <c r="CR340" s="44">
        <v>0</v>
      </c>
      <c r="CV340" s="44">
        <v>0</v>
      </c>
      <c r="CW340" s="44">
        <v>0</v>
      </c>
    </row>
    <row r="341" s="44" customFormat="1" customHeight="1" spans="1:101">
      <c r="A341" s="45">
        <v>6293</v>
      </c>
      <c r="B341" s="79" t="s">
        <v>548</v>
      </c>
      <c r="O341" s="77">
        <v>0</v>
      </c>
      <c r="P341" s="77">
        <v>0</v>
      </c>
      <c r="Q341" s="77">
        <v>0</v>
      </c>
      <c r="R341" s="77">
        <v>0</v>
      </c>
      <c r="S341" s="64">
        <v>0</v>
      </c>
      <c r="T341" s="64">
        <v>0</v>
      </c>
      <c r="U341" s="64">
        <v>0</v>
      </c>
      <c r="V341" s="64">
        <v>0</v>
      </c>
      <c r="W341" s="63">
        <v>0</v>
      </c>
      <c r="X341" s="63">
        <v>0</v>
      </c>
      <c r="Y341" s="63">
        <v>0</v>
      </c>
      <c r="Z341" s="63">
        <v>0</v>
      </c>
      <c r="AA341" s="78">
        <v>0</v>
      </c>
      <c r="AB341" s="78">
        <v>0</v>
      </c>
      <c r="AC341" s="78">
        <v>0</v>
      </c>
      <c r="AD341" s="78">
        <v>0</v>
      </c>
      <c r="AE341" s="48">
        <v>200068</v>
      </c>
      <c r="AF341" s="44">
        <v>200069</v>
      </c>
      <c r="AG341" s="44">
        <v>200061</v>
      </c>
      <c r="AH341" s="44">
        <v>200071</v>
      </c>
      <c r="AI341" s="44">
        <v>200177</v>
      </c>
      <c r="AJ341" s="44">
        <v>200072</v>
      </c>
      <c r="AK341" s="44">
        <v>200180</v>
      </c>
      <c r="AL341" s="44">
        <v>200178</v>
      </c>
      <c r="AU341" s="62">
        <f t="shared" si="118"/>
        <v>1</v>
      </c>
      <c r="AV341" s="44">
        <v>1</v>
      </c>
      <c r="AW341" s="44">
        <v>1</v>
      </c>
      <c r="AX341" s="44">
        <v>1</v>
      </c>
      <c r="AY341" s="44">
        <v>1</v>
      </c>
      <c r="AZ341" s="44">
        <v>1</v>
      </c>
      <c r="BA341" s="44">
        <v>1</v>
      </c>
      <c r="BB341" s="44">
        <v>1</v>
      </c>
      <c r="BK341" s="62">
        <v>200</v>
      </c>
      <c r="BL341" s="44">
        <v>200</v>
      </c>
      <c r="BM341" s="44">
        <v>200</v>
      </c>
      <c r="BN341" s="44">
        <v>50</v>
      </c>
      <c r="BO341" s="44">
        <v>100</v>
      </c>
      <c r="BP341" s="44">
        <v>5</v>
      </c>
      <c r="BQ341" s="44">
        <v>150</v>
      </c>
      <c r="BR341" s="44">
        <v>95</v>
      </c>
      <c r="CA341" s="44">
        <f t="shared" si="100"/>
        <v>1000</v>
      </c>
      <c r="CB341" s="44">
        <v>1000</v>
      </c>
      <c r="CC341" s="44">
        <v>0</v>
      </c>
      <c r="CD341" s="44">
        <v>0</v>
      </c>
      <c r="CE341" s="44">
        <v>0</v>
      </c>
      <c r="CF341" s="114">
        <v>162022</v>
      </c>
      <c r="CG341" s="44">
        <v>0</v>
      </c>
      <c r="CH341" s="44">
        <v>1</v>
      </c>
      <c r="CI341" s="44">
        <v>1</v>
      </c>
      <c r="CJ341" s="44">
        <v>0</v>
      </c>
      <c r="CK341" s="44">
        <v>0</v>
      </c>
      <c r="CL341" s="44">
        <v>0</v>
      </c>
      <c r="CM341" s="44">
        <v>0</v>
      </c>
      <c r="CN341" s="44">
        <v>0</v>
      </c>
      <c r="CO341" s="44">
        <v>0</v>
      </c>
      <c r="CP341" s="44">
        <v>0</v>
      </c>
      <c r="CQ341" s="44">
        <v>1</v>
      </c>
      <c r="CR341" s="44">
        <v>0</v>
      </c>
      <c r="CV341" s="44">
        <v>0</v>
      </c>
      <c r="CW341" s="44">
        <v>0</v>
      </c>
    </row>
    <row r="342" s="44" customFormat="1" customHeight="1" spans="1:101">
      <c r="A342" s="45">
        <v>6304</v>
      </c>
      <c r="B342" s="79" t="s">
        <v>549</v>
      </c>
      <c r="O342" s="77">
        <v>200206</v>
      </c>
      <c r="P342" s="77">
        <v>1</v>
      </c>
      <c r="Q342" s="77">
        <v>0</v>
      </c>
      <c r="R342" s="77">
        <v>0</v>
      </c>
      <c r="S342" s="64">
        <v>0</v>
      </c>
      <c r="T342" s="64">
        <v>0</v>
      </c>
      <c r="U342" s="64">
        <v>0</v>
      </c>
      <c r="V342" s="64">
        <v>0</v>
      </c>
      <c r="W342" s="63">
        <v>0</v>
      </c>
      <c r="X342" s="63">
        <v>0</v>
      </c>
      <c r="Y342" s="63">
        <v>0</v>
      </c>
      <c r="Z342" s="63">
        <v>0</v>
      </c>
      <c r="AA342" s="78">
        <v>0</v>
      </c>
      <c r="AB342" s="78">
        <v>0</v>
      </c>
      <c r="AC342" s="78">
        <v>0</v>
      </c>
      <c r="AD342" s="78">
        <v>0</v>
      </c>
      <c r="AE342" s="48"/>
      <c r="AU342" s="62" t="str">
        <f t="shared" si="118"/>
        <v/>
      </c>
      <c r="AV342" s="44" t="str">
        <f t="shared" ref="AV342:BJ342" si="120">IF(AF342="","",1)</f>
        <v/>
      </c>
      <c r="AW342" s="44" t="str">
        <f t="shared" si="120"/>
        <v/>
      </c>
      <c r="AX342" s="44" t="str">
        <f t="shared" si="120"/>
        <v/>
      </c>
      <c r="AY342" s="44" t="str">
        <f t="shared" si="120"/>
        <v/>
      </c>
      <c r="AZ342" s="44" t="str">
        <f t="shared" si="120"/>
        <v/>
      </c>
      <c r="BA342" s="44" t="str">
        <f t="shared" si="120"/>
        <v/>
      </c>
      <c r="BB342" s="44" t="str">
        <f t="shared" si="120"/>
        <v/>
      </c>
      <c r="BC342" s="44" t="str">
        <f t="shared" si="120"/>
        <v/>
      </c>
      <c r="BD342" s="44" t="str">
        <f t="shared" si="120"/>
        <v/>
      </c>
      <c r="BE342" s="44" t="str">
        <f t="shared" si="120"/>
        <v/>
      </c>
      <c r="BF342" s="44" t="str">
        <f t="shared" si="120"/>
        <v/>
      </c>
      <c r="BG342" s="44" t="str">
        <f t="shared" si="120"/>
        <v/>
      </c>
      <c r="BH342" s="44" t="str">
        <f t="shared" si="120"/>
        <v/>
      </c>
      <c r="BI342" s="44" t="str">
        <f t="shared" si="120"/>
        <v/>
      </c>
      <c r="BJ342" s="44" t="str">
        <f t="shared" si="120"/>
        <v/>
      </c>
      <c r="BK342" s="62"/>
      <c r="CA342" s="44">
        <v>1000</v>
      </c>
      <c r="CB342" s="44">
        <v>1000</v>
      </c>
      <c r="CC342" s="44">
        <v>0</v>
      </c>
      <c r="CD342" s="44">
        <v>0</v>
      </c>
      <c r="CE342" s="44">
        <v>0</v>
      </c>
      <c r="CF342" s="44">
        <v>0</v>
      </c>
      <c r="CG342" s="44">
        <v>0</v>
      </c>
      <c r="CH342" s="44">
        <v>0</v>
      </c>
      <c r="CI342" s="44">
        <v>1</v>
      </c>
      <c r="CJ342" s="44">
        <v>0</v>
      </c>
      <c r="CK342" s="44">
        <v>0</v>
      </c>
      <c r="CL342" s="44">
        <v>0</v>
      </c>
      <c r="CM342" s="44">
        <v>0</v>
      </c>
      <c r="CN342" s="44">
        <v>0</v>
      </c>
      <c r="CO342" s="44">
        <v>0</v>
      </c>
      <c r="CP342" s="44">
        <v>0</v>
      </c>
      <c r="CQ342" s="44">
        <v>1</v>
      </c>
      <c r="CR342" s="44">
        <v>0</v>
      </c>
      <c r="CV342" s="44">
        <v>0</v>
      </c>
      <c r="CW342" s="44">
        <v>0</v>
      </c>
    </row>
    <row r="343" s="44" customFormat="1" customHeight="1" spans="1:101">
      <c r="A343" s="45">
        <v>6305</v>
      </c>
      <c r="B343" s="79" t="s">
        <v>550</v>
      </c>
      <c r="O343" s="77">
        <v>200212</v>
      </c>
      <c r="P343" s="77">
        <v>1</v>
      </c>
      <c r="Q343" s="77">
        <v>0</v>
      </c>
      <c r="R343" s="77">
        <v>0</v>
      </c>
      <c r="S343" s="64">
        <v>0</v>
      </c>
      <c r="T343" s="64">
        <v>0</v>
      </c>
      <c r="U343" s="64">
        <v>0</v>
      </c>
      <c r="V343" s="64">
        <v>0</v>
      </c>
      <c r="W343" s="63">
        <v>0</v>
      </c>
      <c r="X343" s="63">
        <v>0</v>
      </c>
      <c r="Y343" s="63">
        <v>0</v>
      </c>
      <c r="Z343" s="63">
        <v>0</v>
      </c>
      <c r="AA343" s="78">
        <v>0</v>
      </c>
      <c r="AB343" s="78">
        <v>0</v>
      </c>
      <c r="AC343" s="78">
        <v>0</v>
      </c>
      <c r="AD343" s="78">
        <v>0</v>
      </c>
      <c r="AE343" s="48"/>
      <c r="AU343" s="62" t="str">
        <f t="shared" si="118"/>
        <v/>
      </c>
      <c r="AV343" s="44" t="str">
        <f t="shared" ref="AV343:BJ343" si="121">IF(AF343="","",1)</f>
        <v/>
      </c>
      <c r="AW343" s="44" t="str">
        <f t="shared" si="121"/>
        <v/>
      </c>
      <c r="AX343" s="44" t="str">
        <f t="shared" si="121"/>
        <v/>
      </c>
      <c r="AY343" s="44" t="str">
        <f t="shared" si="121"/>
        <v/>
      </c>
      <c r="AZ343" s="44" t="str">
        <f t="shared" si="121"/>
        <v/>
      </c>
      <c r="BA343" s="44" t="str">
        <f t="shared" si="121"/>
        <v/>
      </c>
      <c r="BB343" s="44" t="str">
        <f t="shared" si="121"/>
        <v/>
      </c>
      <c r="BC343" s="44" t="str">
        <f t="shared" si="121"/>
        <v/>
      </c>
      <c r="BD343" s="44" t="str">
        <f t="shared" si="121"/>
        <v/>
      </c>
      <c r="BE343" s="44" t="str">
        <f t="shared" si="121"/>
        <v/>
      </c>
      <c r="BF343" s="44" t="str">
        <f t="shared" si="121"/>
        <v/>
      </c>
      <c r="BG343" s="44" t="str">
        <f t="shared" si="121"/>
        <v/>
      </c>
      <c r="BH343" s="44" t="str">
        <f t="shared" si="121"/>
        <v/>
      </c>
      <c r="BI343" s="44" t="str">
        <f t="shared" si="121"/>
        <v/>
      </c>
      <c r="BJ343" s="44" t="str">
        <f t="shared" si="121"/>
        <v/>
      </c>
      <c r="BK343" s="62"/>
      <c r="CA343" s="44">
        <v>1000</v>
      </c>
      <c r="CB343" s="44">
        <v>1000</v>
      </c>
      <c r="CC343" s="44">
        <v>0</v>
      </c>
      <c r="CD343" s="44">
        <v>0</v>
      </c>
      <c r="CE343" s="44">
        <v>0</v>
      </c>
      <c r="CF343" s="44">
        <v>0</v>
      </c>
      <c r="CG343" s="44">
        <v>0</v>
      </c>
      <c r="CH343" s="44">
        <v>0</v>
      </c>
      <c r="CI343" s="44">
        <v>1</v>
      </c>
      <c r="CJ343" s="44">
        <v>0</v>
      </c>
      <c r="CK343" s="44">
        <v>0</v>
      </c>
      <c r="CL343" s="44">
        <v>0</v>
      </c>
      <c r="CM343" s="44">
        <v>0</v>
      </c>
      <c r="CN343" s="44">
        <v>0</v>
      </c>
      <c r="CO343" s="44">
        <v>0</v>
      </c>
      <c r="CP343" s="44">
        <v>0</v>
      </c>
      <c r="CQ343" s="44">
        <v>1</v>
      </c>
      <c r="CR343" s="44">
        <v>0</v>
      </c>
      <c r="CV343" s="44">
        <v>0</v>
      </c>
      <c r="CW343" s="44">
        <v>0</v>
      </c>
    </row>
    <row r="344" s="44" customFormat="1" customHeight="1" spans="1:101">
      <c r="A344" s="44">
        <v>6500</v>
      </c>
      <c r="B344" s="44" t="s">
        <v>551</v>
      </c>
      <c r="O344" s="77">
        <v>200068</v>
      </c>
      <c r="P344" s="77">
        <v>1</v>
      </c>
      <c r="Q344" s="77">
        <v>0</v>
      </c>
      <c r="R344" s="77">
        <v>0</v>
      </c>
      <c r="S344" s="64">
        <v>0</v>
      </c>
      <c r="T344" s="64">
        <v>0</v>
      </c>
      <c r="U344" s="64">
        <v>0</v>
      </c>
      <c r="V344" s="64">
        <v>0</v>
      </c>
      <c r="W344" s="63">
        <v>0</v>
      </c>
      <c r="X344" s="63">
        <v>0</v>
      </c>
      <c r="Y344" s="63">
        <v>0</v>
      </c>
      <c r="Z344" s="63">
        <v>0</v>
      </c>
      <c r="AA344" s="78">
        <v>0</v>
      </c>
      <c r="AB344" s="78">
        <v>0</v>
      </c>
      <c r="AC344" s="78">
        <v>0</v>
      </c>
      <c r="AD344" s="78">
        <v>0</v>
      </c>
      <c r="AE344" s="48"/>
      <c r="AU344" s="62"/>
      <c r="BK344" s="62"/>
      <c r="CA344" s="44">
        <v>1000</v>
      </c>
      <c r="CB344" s="44">
        <v>1000</v>
      </c>
      <c r="CC344" s="44">
        <v>0</v>
      </c>
      <c r="CD344" s="44">
        <v>0</v>
      </c>
      <c r="CE344" s="44">
        <v>0</v>
      </c>
      <c r="CF344" s="44">
        <v>0</v>
      </c>
      <c r="CG344" s="44">
        <v>0</v>
      </c>
      <c r="CH344" s="44">
        <v>0</v>
      </c>
      <c r="CI344" s="44">
        <v>1</v>
      </c>
      <c r="CJ344" s="44">
        <v>0</v>
      </c>
      <c r="CK344" s="44">
        <v>0</v>
      </c>
      <c r="CL344" s="44">
        <v>0</v>
      </c>
      <c r="CM344" s="44">
        <v>0</v>
      </c>
      <c r="CN344" s="44">
        <v>0</v>
      </c>
      <c r="CO344" s="44">
        <v>0</v>
      </c>
      <c r="CP344" s="44">
        <v>0</v>
      </c>
      <c r="CQ344" s="44">
        <v>1</v>
      </c>
      <c r="CR344" s="44">
        <v>0</v>
      </c>
      <c r="CV344" s="44">
        <v>0</v>
      </c>
      <c r="CW344" s="44">
        <v>0</v>
      </c>
    </row>
    <row r="345" s="44" customFormat="1" customHeight="1" spans="1:101">
      <c r="A345" s="44">
        <v>6510</v>
      </c>
      <c r="B345" s="79" t="s">
        <v>552</v>
      </c>
      <c r="O345" s="77">
        <v>200071</v>
      </c>
      <c r="P345" s="77">
        <v>1</v>
      </c>
      <c r="Q345" s="77">
        <v>0</v>
      </c>
      <c r="R345" s="77">
        <v>0</v>
      </c>
      <c r="S345" s="64">
        <v>0</v>
      </c>
      <c r="T345" s="64">
        <v>0</v>
      </c>
      <c r="U345" s="64">
        <v>0</v>
      </c>
      <c r="V345" s="64">
        <v>0</v>
      </c>
      <c r="W345" s="63">
        <v>0</v>
      </c>
      <c r="X345" s="63">
        <v>0</v>
      </c>
      <c r="Y345" s="63">
        <v>0</v>
      </c>
      <c r="Z345" s="63">
        <v>0</v>
      </c>
      <c r="AA345" s="78">
        <v>0</v>
      </c>
      <c r="AB345" s="78">
        <v>0</v>
      </c>
      <c r="AC345" s="78">
        <v>0</v>
      </c>
      <c r="AD345" s="78">
        <v>0</v>
      </c>
      <c r="AE345" s="48"/>
      <c r="AU345" s="62" t="str">
        <f t="shared" ref="AU345:BJ345" si="122">IF(AE345="","",1)</f>
        <v/>
      </c>
      <c r="AV345" s="44" t="str">
        <f t="shared" si="122"/>
        <v/>
      </c>
      <c r="AW345" s="44" t="str">
        <f t="shared" si="122"/>
        <v/>
      </c>
      <c r="AX345" s="44" t="str">
        <f t="shared" si="122"/>
        <v/>
      </c>
      <c r="AY345" s="44" t="str">
        <f t="shared" si="122"/>
        <v/>
      </c>
      <c r="AZ345" s="44" t="str">
        <f t="shared" si="122"/>
        <v/>
      </c>
      <c r="BA345" s="44" t="str">
        <f t="shared" si="122"/>
        <v/>
      </c>
      <c r="BB345" s="44" t="str">
        <f t="shared" si="122"/>
        <v/>
      </c>
      <c r="BC345" s="44" t="str">
        <f t="shared" si="122"/>
        <v/>
      </c>
      <c r="BD345" s="44" t="str">
        <f t="shared" si="122"/>
        <v/>
      </c>
      <c r="BE345" s="44" t="str">
        <f t="shared" si="122"/>
        <v/>
      </c>
      <c r="BF345" s="44" t="str">
        <f t="shared" si="122"/>
        <v/>
      </c>
      <c r="BG345" s="44" t="str">
        <f t="shared" si="122"/>
        <v/>
      </c>
      <c r="BH345" s="44" t="str">
        <f t="shared" si="122"/>
        <v/>
      </c>
      <c r="BI345" s="44" t="str">
        <f t="shared" si="122"/>
        <v/>
      </c>
      <c r="BJ345" s="44" t="str">
        <f t="shared" si="122"/>
        <v/>
      </c>
      <c r="BK345" s="62"/>
      <c r="CA345" s="44">
        <v>1000</v>
      </c>
      <c r="CB345" s="44">
        <v>1000</v>
      </c>
      <c r="CC345" s="44">
        <v>0</v>
      </c>
      <c r="CD345" s="44">
        <v>0</v>
      </c>
      <c r="CE345" s="44">
        <v>0</v>
      </c>
      <c r="CF345" s="44">
        <v>0</v>
      </c>
      <c r="CG345" s="44">
        <v>0</v>
      </c>
      <c r="CH345" s="44">
        <v>0</v>
      </c>
      <c r="CI345" s="44">
        <v>1</v>
      </c>
      <c r="CJ345" s="44">
        <v>0</v>
      </c>
      <c r="CK345" s="44">
        <v>0</v>
      </c>
      <c r="CL345" s="44">
        <v>0</v>
      </c>
      <c r="CM345" s="44">
        <v>0</v>
      </c>
      <c r="CN345" s="44">
        <v>0</v>
      </c>
      <c r="CO345" s="44">
        <v>0</v>
      </c>
      <c r="CP345" s="44">
        <v>0</v>
      </c>
      <c r="CQ345" s="44">
        <v>1</v>
      </c>
      <c r="CR345" s="44">
        <v>0</v>
      </c>
      <c r="CV345" s="44">
        <v>0</v>
      </c>
      <c r="CW345" s="44">
        <v>0</v>
      </c>
    </row>
    <row r="346" s="44" customFormat="1" customHeight="1" spans="1:101">
      <c r="A346" s="44">
        <v>6520</v>
      </c>
      <c r="B346" s="79" t="s">
        <v>553</v>
      </c>
      <c r="O346" s="77">
        <v>200072</v>
      </c>
      <c r="P346" s="77">
        <v>1</v>
      </c>
      <c r="Q346" s="77">
        <v>0</v>
      </c>
      <c r="R346" s="77">
        <v>0</v>
      </c>
      <c r="S346" s="64">
        <v>0</v>
      </c>
      <c r="T346" s="64">
        <v>0</v>
      </c>
      <c r="U346" s="64">
        <v>0</v>
      </c>
      <c r="V346" s="64">
        <v>0</v>
      </c>
      <c r="W346" s="63">
        <v>0</v>
      </c>
      <c r="X346" s="63">
        <v>0</v>
      </c>
      <c r="Y346" s="63">
        <v>0</v>
      </c>
      <c r="Z346" s="63">
        <v>0</v>
      </c>
      <c r="AA346" s="78">
        <v>0</v>
      </c>
      <c r="AB346" s="78">
        <v>0</v>
      </c>
      <c r="AC346" s="78">
        <v>0</v>
      </c>
      <c r="AD346" s="78">
        <v>0</v>
      </c>
      <c r="AE346" s="48"/>
      <c r="AU346" s="62" t="str">
        <f t="shared" ref="AU346:BJ346" si="123">IF(AE346="","",1)</f>
        <v/>
      </c>
      <c r="AV346" s="44" t="str">
        <f t="shared" si="123"/>
        <v/>
      </c>
      <c r="AW346" s="44" t="str">
        <f t="shared" si="123"/>
        <v/>
      </c>
      <c r="AX346" s="44" t="str">
        <f t="shared" si="123"/>
        <v/>
      </c>
      <c r="AY346" s="44" t="str">
        <f t="shared" si="123"/>
        <v/>
      </c>
      <c r="AZ346" s="44" t="str">
        <f t="shared" si="123"/>
        <v/>
      </c>
      <c r="BA346" s="44" t="str">
        <f t="shared" si="123"/>
        <v/>
      </c>
      <c r="BB346" s="44" t="str">
        <f t="shared" si="123"/>
        <v/>
      </c>
      <c r="BC346" s="44" t="str">
        <f t="shared" si="123"/>
        <v/>
      </c>
      <c r="BD346" s="44" t="str">
        <f t="shared" si="123"/>
        <v/>
      </c>
      <c r="BE346" s="44" t="str">
        <f t="shared" si="123"/>
        <v/>
      </c>
      <c r="BF346" s="44" t="str">
        <f t="shared" si="123"/>
        <v/>
      </c>
      <c r="BG346" s="44" t="str">
        <f t="shared" si="123"/>
        <v/>
      </c>
      <c r="BH346" s="44" t="str">
        <f t="shared" si="123"/>
        <v/>
      </c>
      <c r="BI346" s="44" t="str">
        <f t="shared" si="123"/>
        <v/>
      </c>
      <c r="BJ346" s="44" t="str">
        <f t="shared" si="123"/>
        <v/>
      </c>
      <c r="BK346" s="62"/>
      <c r="CA346" s="44">
        <v>1000</v>
      </c>
      <c r="CB346" s="44">
        <v>1000</v>
      </c>
      <c r="CC346" s="44">
        <v>0</v>
      </c>
      <c r="CD346" s="44">
        <v>0</v>
      </c>
      <c r="CE346" s="44">
        <v>0</v>
      </c>
      <c r="CF346" s="44">
        <v>0</v>
      </c>
      <c r="CG346" s="44">
        <v>0</v>
      </c>
      <c r="CH346" s="44">
        <v>0</v>
      </c>
      <c r="CI346" s="44">
        <v>1</v>
      </c>
      <c r="CJ346" s="44">
        <v>0</v>
      </c>
      <c r="CK346" s="44">
        <v>0</v>
      </c>
      <c r="CL346" s="44">
        <v>0</v>
      </c>
      <c r="CM346" s="44">
        <v>0</v>
      </c>
      <c r="CN346" s="44">
        <v>0</v>
      </c>
      <c r="CO346" s="44">
        <v>0</v>
      </c>
      <c r="CP346" s="44">
        <v>0</v>
      </c>
      <c r="CQ346" s="44">
        <v>1</v>
      </c>
      <c r="CR346" s="44">
        <v>0</v>
      </c>
      <c r="CV346" s="44">
        <v>0</v>
      </c>
      <c r="CW346" s="44">
        <v>0</v>
      </c>
    </row>
    <row r="347" s="48" customFormat="1" customHeight="1" spans="1:101">
      <c r="A347" s="48">
        <v>6530</v>
      </c>
      <c r="B347" s="80" t="s">
        <v>554</v>
      </c>
      <c r="O347" s="77">
        <v>200049</v>
      </c>
      <c r="P347" s="77">
        <v>1</v>
      </c>
      <c r="Q347" s="77">
        <v>0</v>
      </c>
      <c r="R347" s="77">
        <v>0</v>
      </c>
      <c r="S347" s="64">
        <v>0</v>
      </c>
      <c r="T347" s="64">
        <v>0</v>
      </c>
      <c r="U347" s="64">
        <v>0</v>
      </c>
      <c r="V347" s="64">
        <v>0</v>
      </c>
      <c r="W347" s="63">
        <v>0</v>
      </c>
      <c r="X347" s="63">
        <v>0</v>
      </c>
      <c r="Y347" s="63">
        <v>0</v>
      </c>
      <c r="Z347" s="63">
        <v>0</v>
      </c>
      <c r="AA347" s="78">
        <v>0</v>
      </c>
      <c r="AB347" s="78">
        <v>0</v>
      </c>
      <c r="AC347" s="78">
        <v>0</v>
      </c>
      <c r="AD347" s="78">
        <v>0</v>
      </c>
      <c r="AU347" s="62"/>
      <c r="BK347" s="62"/>
      <c r="CA347" s="48">
        <v>1000</v>
      </c>
      <c r="CB347" s="48">
        <v>1000</v>
      </c>
      <c r="CC347" s="48">
        <v>0</v>
      </c>
      <c r="CD347" s="48">
        <v>0</v>
      </c>
      <c r="CE347" s="48">
        <v>0</v>
      </c>
      <c r="CF347" s="48">
        <v>0</v>
      </c>
      <c r="CG347" s="48">
        <v>0</v>
      </c>
      <c r="CH347" s="48">
        <v>0</v>
      </c>
      <c r="CI347" s="48">
        <v>1</v>
      </c>
      <c r="CK347" s="48">
        <v>0</v>
      </c>
      <c r="CL347" s="48">
        <v>0</v>
      </c>
      <c r="CM347" s="48">
        <v>0</v>
      </c>
      <c r="CN347" s="48">
        <v>0</v>
      </c>
      <c r="CO347" s="48">
        <v>0</v>
      </c>
      <c r="CP347" s="48">
        <v>0</v>
      </c>
      <c r="CQ347" s="48">
        <v>1</v>
      </c>
      <c r="CR347" s="48">
        <v>0</v>
      </c>
      <c r="CV347" s="48">
        <v>0</v>
      </c>
      <c r="CW347" s="48">
        <v>0</v>
      </c>
    </row>
    <row r="348" s="44" customFormat="1" customHeight="1" spans="1:101">
      <c r="A348" s="44">
        <v>6540</v>
      </c>
      <c r="B348" s="79" t="s">
        <v>555</v>
      </c>
      <c r="O348" s="77">
        <v>200071</v>
      </c>
      <c r="P348" s="77">
        <v>1</v>
      </c>
      <c r="Q348" s="77">
        <v>0</v>
      </c>
      <c r="R348" s="77">
        <v>0</v>
      </c>
      <c r="S348" s="64">
        <v>0</v>
      </c>
      <c r="T348" s="64">
        <v>0</v>
      </c>
      <c r="U348" s="64">
        <v>0</v>
      </c>
      <c r="V348" s="64">
        <v>0</v>
      </c>
      <c r="W348" s="63">
        <v>0</v>
      </c>
      <c r="X348" s="63">
        <v>0</v>
      </c>
      <c r="Y348" s="63">
        <v>0</v>
      </c>
      <c r="Z348" s="63">
        <v>0</v>
      </c>
      <c r="AA348" s="78">
        <v>0</v>
      </c>
      <c r="AB348" s="78">
        <v>0</v>
      </c>
      <c r="AC348" s="78">
        <v>0</v>
      </c>
      <c r="AD348" s="78">
        <v>0</v>
      </c>
      <c r="AE348" s="48"/>
      <c r="AU348" s="62" t="str">
        <f t="shared" ref="AU348:BJ348" si="124">IF(AE348="","",1)</f>
        <v/>
      </c>
      <c r="AV348" s="44" t="str">
        <f t="shared" si="124"/>
        <v/>
      </c>
      <c r="AW348" s="44" t="str">
        <f t="shared" si="124"/>
        <v/>
      </c>
      <c r="AX348" s="44" t="str">
        <f t="shared" si="124"/>
        <v/>
      </c>
      <c r="AY348" s="44" t="str">
        <f t="shared" si="124"/>
        <v/>
      </c>
      <c r="AZ348" s="44" t="str">
        <f t="shared" si="124"/>
        <v/>
      </c>
      <c r="BA348" s="44" t="str">
        <f t="shared" si="124"/>
        <v/>
      </c>
      <c r="BB348" s="44" t="str">
        <f t="shared" si="124"/>
        <v/>
      </c>
      <c r="BC348" s="44" t="str">
        <f t="shared" si="124"/>
        <v/>
      </c>
      <c r="BD348" s="44" t="str">
        <f t="shared" si="124"/>
        <v/>
      </c>
      <c r="BE348" s="44" t="str">
        <f t="shared" si="124"/>
        <v/>
      </c>
      <c r="BF348" s="44" t="str">
        <f t="shared" si="124"/>
        <v/>
      </c>
      <c r="BG348" s="44" t="str">
        <f t="shared" si="124"/>
        <v/>
      </c>
      <c r="BH348" s="44" t="str">
        <f t="shared" si="124"/>
        <v/>
      </c>
      <c r="BI348" s="44" t="str">
        <f t="shared" si="124"/>
        <v/>
      </c>
      <c r="BJ348" s="44" t="str">
        <f t="shared" si="124"/>
        <v/>
      </c>
      <c r="BK348" s="62"/>
      <c r="CA348" s="44">
        <v>1000</v>
      </c>
      <c r="CB348" s="44">
        <v>1000</v>
      </c>
      <c r="CC348" s="44">
        <v>0</v>
      </c>
      <c r="CD348" s="44">
        <v>1</v>
      </c>
      <c r="CE348" s="44">
        <v>0</v>
      </c>
      <c r="CF348" s="44">
        <v>0</v>
      </c>
      <c r="CG348" s="44">
        <v>0</v>
      </c>
      <c r="CH348" s="44">
        <v>0</v>
      </c>
      <c r="CI348" s="44">
        <v>1</v>
      </c>
      <c r="CJ348" s="44">
        <v>0</v>
      </c>
      <c r="CK348" s="44">
        <v>0</v>
      </c>
      <c r="CL348" s="44">
        <v>0</v>
      </c>
      <c r="CM348" s="44">
        <v>0</v>
      </c>
      <c r="CN348" s="44">
        <v>0</v>
      </c>
      <c r="CO348" s="44">
        <v>0</v>
      </c>
      <c r="CP348" s="44">
        <v>0</v>
      </c>
      <c r="CQ348" s="44">
        <v>1</v>
      </c>
      <c r="CR348" s="44">
        <v>0</v>
      </c>
      <c r="CV348" s="44">
        <v>0</v>
      </c>
      <c r="CW348" s="44">
        <v>0</v>
      </c>
    </row>
    <row r="349" s="44" customFormat="1" customHeight="1" spans="1:101">
      <c r="A349" s="44">
        <v>6541</v>
      </c>
      <c r="B349" s="79" t="s">
        <v>556</v>
      </c>
      <c r="O349" s="77"/>
      <c r="P349" s="77"/>
      <c r="Q349" s="77"/>
      <c r="R349" s="77"/>
      <c r="S349" s="64"/>
      <c r="T349" s="64"/>
      <c r="U349" s="64"/>
      <c r="V349" s="64"/>
      <c r="W349" s="63"/>
      <c r="X349" s="63"/>
      <c r="Y349" s="63"/>
      <c r="Z349" s="63"/>
      <c r="AA349" s="78"/>
      <c r="AB349" s="78"/>
      <c r="AC349" s="78"/>
      <c r="AD349" s="78"/>
      <c r="AE349" s="48"/>
      <c r="AU349" s="62" t="str">
        <f t="shared" ref="AU349:BJ349" si="125">IF(AE349="","",1)</f>
        <v/>
      </c>
      <c r="AV349" s="44" t="str">
        <f t="shared" si="125"/>
        <v/>
      </c>
      <c r="AW349" s="44" t="str">
        <f t="shared" si="125"/>
        <v/>
      </c>
      <c r="AX349" s="44" t="str">
        <f t="shared" si="125"/>
        <v/>
      </c>
      <c r="AY349" s="44" t="str">
        <f t="shared" si="125"/>
        <v/>
      </c>
      <c r="AZ349" s="44" t="str">
        <f t="shared" si="125"/>
        <v/>
      </c>
      <c r="BA349" s="44" t="str">
        <f t="shared" si="125"/>
        <v/>
      </c>
      <c r="BB349" s="44" t="str">
        <f t="shared" si="125"/>
        <v/>
      </c>
      <c r="BC349" s="44" t="str">
        <f t="shared" si="125"/>
        <v/>
      </c>
      <c r="BD349" s="44" t="str">
        <f t="shared" si="125"/>
        <v/>
      </c>
      <c r="BE349" s="44" t="str">
        <f t="shared" si="125"/>
        <v/>
      </c>
      <c r="BF349" s="44" t="str">
        <f t="shared" si="125"/>
        <v/>
      </c>
      <c r="BG349" s="44" t="str">
        <f t="shared" si="125"/>
        <v/>
      </c>
      <c r="BH349" s="44" t="str">
        <f t="shared" si="125"/>
        <v/>
      </c>
      <c r="BI349" s="44" t="str">
        <f t="shared" si="125"/>
        <v/>
      </c>
      <c r="BJ349" s="44" t="str">
        <f t="shared" si="125"/>
        <v/>
      </c>
      <c r="BK349" s="62"/>
      <c r="CA349" s="44">
        <v>0</v>
      </c>
      <c r="CB349" s="44">
        <v>1000</v>
      </c>
      <c r="CC349" s="44">
        <v>0</v>
      </c>
      <c r="CD349" s="44">
        <v>0</v>
      </c>
      <c r="CE349" s="44">
        <v>0</v>
      </c>
      <c r="CF349" s="44">
        <v>0</v>
      </c>
      <c r="CG349" s="44">
        <v>0</v>
      </c>
      <c r="CH349" s="44">
        <v>0</v>
      </c>
      <c r="CI349" s="44">
        <v>0</v>
      </c>
      <c r="CJ349" s="44">
        <v>0</v>
      </c>
      <c r="CK349" s="44">
        <v>0</v>
      </c>
      <c r="CL349" s="44">
        <v>0</v>
      </c>
      <c r="CM349" s="44">
        <v>0</v>
      </c>
      <c r="CN349" s="44">
        <v>0</v>
      </c>
      <c r="CO349" s="44">
        <v>0</v>
      </c>
      <c r="CP349" s="44">
        <v>0</v>
      </c>
      <c r="CQ349" s="44">
        <v>0</v>
      </c>
      <c r="CR349" s="44">
        <v>0</v>
      </c>
      <c r="CV349" s="44">
        <v>0</v>
      </c>
      <c r="CW349" s="44">
        <v>0</v>
      </c>
    </row>
    <row r="350" s="44" customFormat="1" customHeight="1" spans="1:101">
      <c r="A350" s="44">
        <v>6550</v>
      </c>
      <c r="B350" s="79" t="s">
        <v>557</v>
      </c>
      <c r="K350" s="44">
        <v>500</v>
      </c>
      <c r="O350" s="77"/>
      <c r="P350" s="77"/>
      <c r="Q350" s="77"/>
      <c r="R350" s="77"/>
      <c r="S350" s="64"/>
      <c r="T350" s="64"/>
      <c r="U350" s="64"/>
      <c r="V350" s="64"/>
      <c r="W350" s="63"/>
      <c r="X350" s="63"/>
      <c r="Y350" s="63"/>
      <c r="Z350" s="63"/>
      <c r="AA350" s="78"/>
      <c r="AB350" s="78"/>
      <c r="AC350" s="78"/>
      <c r="AD350" s="78"/>
      <c r="AE350" s="48"/>
      <c r="AU350" s="62"/>
      <c r="BK350" s="62"/>
      <c r="CA350" s="44">
        <v>0</v>
      </c>
      <c r="CB350" s="44">
        <v>1000</v>
      </c>
      <c r="CC350" s="44">
        <v>0</v>
      </c>
      <c r="CD350" s="44">
        <v>0</v>
      </c>
      <c r="CE350" s="44">
        <v>0</v>
      </c>
      <c r="CF350" s="44">
        <v>0</v>
      </c>
      <c r="CG350" s="44">
        <v>0</v>
      </c>
      <c r="CH350" s="44">
        <v>0</v>
      </c>
      <c r="CI350" s="44">
        <v>0</v>
      </c>
      <c r="CJ350" s="44">
        <v>0</v>
      </c>
      <c r="CK350" s="44">
        <v>0</v>
      </c>
      <c r="CL350" s="44">
        <v>0</v>
      </c>
      <c r="CM350" s="44">
        <v>0</v>
      </c>
      <c r="CN350" s="44">
        <v>0</v>
      </c>
      <c r="CO350" s="44">
        <v>0</v>
      </c>
      <c r="CP350" s="44">
        <v>0</v>
      </c>
      <c r="CQ350" s="44">
        <v>0</v>
      </c>
      <c r="CR350" s="44">
        <v>0</v>
      </c>
      <c r="CV350" s="44">
        <v>0</v>
      </c>
      <c r="CW350" s="44">
        <v>0</v>
      </c>
    </row>
    <row r="351" s="44" customFormat="1" customHeight="1" spans="1:101">
      <c r="A351" s="44">
        <v>6600</v>
      </c>
      <c r="B351" s="79" t="s">
        <v>558</v>
      </c>
      <c r="O351" s="77"/>
      <c r="P351" s="77"/>
      <c r="Q351" s="77"/>
      <c r="R351" s="77"/>
      <c r="S351" s="64"/>
      <c r="T351" s="64"/>
      <c r="U351" s="64"/>
      <c r="V351" s="64"/>
      <c r="W351" s="63"/>
      <c r="X351" s="63"/>
      <c r="Y351" s="63"/>
      <c r="Z351" s="63"/>
      <c r="AA351" s="78"/>
      <c r="AB351" s="78"/>
      <c r="AC351" s="78"/>
      <c r="AD351" s="78"/>
      <c r="AE351" s="48"/>
      <c r="AU351" s="62"/>
      <c r="BK351" s="62"/>
      <c r="CA351" s="44">
        <v>1000</v>
      </c>
      <c r="CB351" s="44">
        <v>1000</v>
      </c>
      <c r="CC351" s="44">
        <v>0</v>
      </c>
      <c r="CD351" s="44">
        <v>0</v>
      </c>
      <c r="CE351" s="44">
        <v>0</v>
      </c>
      <c r="CF351" s="44">
        <v>0</v>
      </c>
      <c r="CG351" s="44">
        <v>0</v>
      </c>
      <c r="CH351" s="44">
        <v>0</v>
      </c>
      <c r="CI351" s="44">
        <v>1</v>
      </c>
      <c r="CK351" s="44">
        <v>0</v>
      </c>
      <c r="CL351" s="44">
        <v>0</v>
      </c>
      <c r="CM351" s="44">
        <v>0</v>
      </c>
      <c r="CN351" s="44">
        <v>0</v>
      </c>
      <c r="CO351" s="44">
        <v>0</v>
      </c>
      <c r="CP351" s="44">
        <v>0</v>
      </c>
      <c r="CQ351" s="44">
        <v>1</v>
      </c>
      <c r="CR351" s="44">
        <v>0</v>
      </c>
      <c r="CV351" s="44">
        <v>0</v>
      </c>
      <c r="CW351" s="44">
        <v>0</v>
      </c>
    </row>
    <row r="352" s="44" customFormat="1" customHeight="1" spans="1:101">
      <c r="A352" s="45">
        <v>6702</v>
      </c>
      <c r="B352" s="44" t="s">
        <v>559</v>
      </c>
      <c r="O352" s="77"/>
      <c r="P352" s="77">
        <v>0</v>
      </c>
      <c r="Q352" s="77">
        <v>0</v>
      </c>
      <c r="R352" s="77">
        <v>0</v>
      </c>
      <c r="S352" s="64">
        <v>0</v>
      </c>
      <c r="T352" s="64">
        <v>0</v>
      </c>
      <c r="U352" s="64">
        <v>0</v>
      </c>
      <c r="V352" s="64">
        <v>0</v>
      </c>
      <c r="W352" s="63">
        <v>0</v>
      </c>
      <c r="X352" s="63">
        <v>0</v>
      </c>
      <c r="Y352" s="63">
        <v>0</v>
      </c>
      <c r="Z352" s="63">
        <v>0</v>
      </c>
      <c r="AA352" s="78">
        <v>0</v>
      </c>
      <c r="AB352" s="78">
        <v>0</v>
      </c>
      <c r="AC352" s="78">
        <v>0</v>
      </c>
      <c r="AD352" s="78">
        <v>0</v>
      </c>
      <c r="AE352" s="48">
        <v>200190</v>
      </c>
      <c r="AF352" s="44">
        <v>200191</v>
      </c>
      <c r="AU352" s="62">
        <f t="shared" ref="AU352:BJ352" si="126">IF(AE352="","",1)</f>
        <v>1</v>
      </c>
      <c r="AV352" s="44">
        <f t="shared" si="126"/>
        <v>1</v>
      </c>
      <c r="AW352" s="44" t="str">
        <f t="shared" si="126"/>
        <v/>
      </c>
      <c r="AX352" s="44" t="str">
        <f t="shared" si="126"/>
        <v/>
      </c>
      <c r="AY352" s="44" t="str">
        <f t="shared" si="126"/>
        <v/>
      </c>
      <c r="AZ352" s="44" t="str">
        <f t="shared" si="126"/>
        <v/>
      </c>
      <c r="BA352" s="44" t="str">
        <f t="shared" si="126"/>
        <v/>
      </c>
      <c r="BB352" s="44" t="str">
        <f t="shared" si="126"/>
        <v/>
      </c>
      <c r="BC352" s="44" t="str">
        <f t="shared" si="126"/>
        <v/>
      </c>
      <c r="BD352" s="44" t="str">
        <f t="shared" si="126"/>
        <v/>
      </c>
      <c r="BE352" s="44" t="str">
        <f t="shared" si="126"/>
        <v/>
      </c>
      <c r="BF352" s="44" t="str">
        <f t="shared" si="126"/>
        <v/>
      </c>
      <c r="BG352" s="44" t="str">
        <f t="shared" si="126"/>
        <v/>
      </c>
      <c r="BH352" s="44" t="str">
        <f t="shared" si="126"/>
        <v/>
      </c>
      <c r="BI352" s="44" t="str">
        <f t="shared" si="126"/>
        <v/>
      </c>
      <c r="BJ352" s="44" t="str">
        <f t="shared" si="126"/>
        <v/>
      </c>
      <c r="BK352" s="62">
        <v>400</v>
      </c>
      <c r="BL352" s="44">
        <v>600</v>
      </c>
      <c r="CA352" s="44">
        <f>BK352+BL352+BM352+BN352+BO352+BP352+BQ352+BR352+BS352+BT352+BU352+BV352+BW352+BX352+BY352+BZ352</f>
        <v>1000</v>
      </c>
      <c r="CB352" s="44">
        <v>1000</v>
      </c>
      <c r="CC352" s="44">
        <v>0</v>
      </c>
      <c r="CD352" s="44">
        <v>0</v>
      </c>
      <c r="CE352" s="44">
        <v>0</v>
      </c>
      <c r="CF352" s="44">
        <v>0</v>
      </c>
      <c r="CG352" s="44">
        <v>0</v>
      </c>
      <c r="CH352" s="44">
        <v>1</v>
      </c>
      <c r="CI352" s="44">
        <v>1</v>
      </c>
      <c r="CJ352" s="44">
        <v>0</v>
      </c>
      <c r="CK352" s="44">
        <v>0</v>
      </c>
      <c r="CL352" s="44">
        <v>0</v>
      </c>
      <c r="CM352" s="44">
        <v>0</v>
      </c>
      <c r="CN352" s="44">
        <v>0</v>
      </c>
      <c r="CO352" s="44">
        <v>0</v>
      </c>
      <c r="CP352" s="44">
        <v>0</v>
      </c>
      <c r="CQ352" s="44">
        <v>1</v>
      </c>
      <c r="CR352" s="44">
        <v>0</v>
      </c>
      <c r="CV352" s="44">
        <v>0</v>
      </c>
      <c r="CW352" s="44">
        <v>0</v>
      </c>
    </row>
    <row r="353" s="44" customFormat="1" customHeight="1" spans="1:101">
      <c r="A353" s="45">
        <v>6703</v>
      </c>
      <c r="B353" s="44" t="s">
        <v>560</v>
      </c>
      <c r="O353" s="77"/>
      <c r="P353" s="77">
        <v>0</v>
      </c>
      <c r="Q353" s="77">
        <v>0</v>
      </c>
      <c r="R353" s="77">
        <v>0</v>
      </c>
      <c r="S353" s="64">
        <v>0</v>
      </c>
      <c r="T353" s="64">
        <v>0</v>
      </c>
      <c r="U353" s="64">
        <v>0</v>
      </c>
      <c r="V353" s="64">
        <v>0</v>
      </c>
      <c r="W353" s="63">
        <v>0</v>
      </c>
      <c r="X353" s="63">
        <v>0</v>
      </c>
      <c r="Y353" s="63">
        <v>0</v>
      </c>
      <c r="Z353" s="63">
        <v>0</v>
      </c>
      <c r="AA353" s="78">
        <v>0</v>
      </c>
      <c r="AB353" s="78">
        <v>0</v>
      </c>
      <c r="AC353" s="78">
        <v>0</v>
      </c>
      <c r="AD353" s="78">
        <v>0</v>
      </c>
      <c r="AE353" s="48">
        <v>200081</v>
      </c>
      <c r="AF353" s="44">
        <v>200082</v>
      </c>
      <c r="AU353" s="62">
        <f t="shared" ref="AU353:BJ353" si="127">IF(AE353="","",1)</f>
        <v>1</v>
      </c>
      <c r="AV353" s="44">
        <f t="shared" si="127"/>
        <v>1</v>
      </c>
      <c r="AW353" s="44" t="str">
        <f t="shared" si="127"/>
        <v/>
      </c>
      <c r="AX353" s="44" t="str">
        <f t="shared" si="127"/>
        <v/>
      </c>
      <c r="AY353" s="44" t="str">
        <f t="shared" si="127"/>
        <v/>
      </c>
      <c r="AZ353" s="44" t="str">
        <f t="shared" si="127"/>
        <v/>
      </c>
      <c r="BA353" s="44" t="str">
        <f t="shared" si="127"/>
        <v/>
      </c>
      <c r="BB353" s="44" t="str">
        <f t="shared" si="127"/>
        <v/>
      </c>
      <c r="BC353" s="44" t="str">
        <f t="shared" si="127"/>
        <v/>
      </c>
      <c r="BD353" s="44" t="str">
        <f t="shared" si="127"/>
        <v/>
      </c>
      <c r="BE353" s="44" t="str">
        <f t="shared" si="127"/>
        <v/>
      </c>
      <c r="BF353" s="44" t="str">
        <f t="shared" si="127"/>
        <v/>
      </c>
      <c r="BG353" s="44" t="str">
        <f t="shared" si="127"/>
        <v/>
      </c>
      <c r="BH353" s="44" t="str">
        <f t="shared" si="127"/>
        <v/>
      </c>
      <c r="BI353" s="44" t="str">
        <f t="shared" si="127"/>
        <v/>
      </c>
      <c r="BJ353" s="44" t="str">
        <f t="shared" si="127"/>
        <v/>
      </c>
      <c r="BK353" s="62">
        <v>400</v>
      </c>
      <c r="BL353" s="44">
        <v>600</v>
      </c>
      <c r="CA353" s="44">
        <f t="shared" ref="CA353:CA367" si="128">BK352+BL352+BM352+BN352+BO352+BP352+BQ352+BR352+BS352+BT352+BU352+BV352+BW352+BX352+BY352+BZ352</f>
        <v>1000</v>
      </c>
      <c r="CB353" s="44">
        <v>1000</v>
      </c>
      <c r="CC353" s="44">
        <v>0</v>
      </c>
      <c r="CD353" s="44">
        <v>0</v>
      </c>
      <c r="CE353" s="44">
        <v>0</v>
      </c>
      <c r="CF353" s="44">
        <v>0</v>
      </c>
      <c r="CG353" s="44">
        <v>0</v>
      </c>
      <c r="CH353" s="44">
        <v>1</v>
      </c>
      <c r="CI353" s="44">
        <v>1</v>
      </c>
      <c r="CJ353" s="44">
        <v>0</v>
      </c>
      <c r="CK353" s="44">
        <v>0</v>
      </c>
      <c r="CL353" s="44">
        <v>0</v>
      </c>
      <c r="CM353" s="44">
        <v>0</v>
      </c>
      <c r="CN353" s="44">
        <v>0</v>
      </c>
      <c r="CO353" s="44">
        <v>0</v>
      </c>
      <c r="CP353" s="44">
        <v>0</v>
      </c>
      <c r="CQ353" s="44">
        <v>1</v>
      </c>
      <c r="CR353" s="44">
        <v>0</v>
      </c>
      <c r="CV353" s="44">
        <v>0</v>
      </c>
      <c r="CW353" s="44">
        <v>0</v>
      </c>
    </row>
    <row r="354" s="44" customFormat="1" customHeight="1" spans="1:101">
      <c r="A354" s="45">
        <v>6704</v>
      </c>
      <c r="B354" s="44" t="s">
        <v>561</v>
      </c>
      <c r="O354" s="77"/>
      <c r="P354" s="77">
        <v>0</v>
      </c>
      <c r="Q354" s="77">
        <v>0</v>
      </c>
      <c r="R354" s="77">
        <v>0</v>
      </c>
      <c r="S354" s="64">
        <v>0</v>
      </c>
      <c r="T354" s="64">
        <v>0</v>
      </c>
      <c r="U354" s="64">
        <v>0</v>
      </c>
      <c r="V354" s="64">
        <v>0</v>
      </c>
      <c r="W354" s="63">
        <v>0</v>
      </c>
      <c r="X354" s="63">
        <v>0</v>
      </c>
      <c r="Y354" s="63">
        <v>0</v>
      </c>
      <c r="Z354" s="63">
        <v>0</v>
      </c>
      <c r="AA354" s="78">
        <v>0</v>
      </c>
      <c r="AB354" s="78">
        <v>0</v>
      </c>
      <c r="AC354" s="78">
        <v>0</v>
      </c>
      <c r="AD354" s="78">
        <v>0</v>
      </c>
      <c r="AE354" s="48">
        <v>200190</v>
      </c>
      <c r="AF354" s="44">
        <v>200191</v>
      </c>
      <c r="AG354" s="44">
        <v>200081</v>
      </c>
      <c r="AH354" s="44">
        <v>200082</v>
      </c>
      <c r="AU354" s="62">
        <f t="shared" ref="AU354:BJ354" si="129">IF(AE354="","",1)</f>
        <v>1</v>
      </c>
      <c r="AV354" s="44">
        <f t="shared" si="129"/>
        <v>1</v>
      </c>
      <c r="AW354" s="44">
        <f t="shared" si="129"/>
        <v>1</v>
      </c>
      <c r="AX354" s="44">
        <f t="shared" si="129"/>
        <v>1</v>
      </c>
      <c r="AY354" s="44" t="str">
        <f t="shared" si="129"/>
        <v/>
      </c>
      <c r="AZ354" s="44" t="str">
        <f t="shared" si="129"/>
        <v/>
      </c>
      <c r="BA354" s="44" t="str">
        <f t="shared" si="129"/>
        <v/>
      </c>
      <c r="BB354" s="44" t="str">
        <f t="shared" si="129"/>
        <v/>
      </c>
      <c r="BC354" s="44" t="str">
        <f t="shared" si="129"/>
        <v/>
      </c>
      <c r="BD354" s="44" t="str">
        <f t="shared" si="129"/>
        <v/>
      </c>
      <c r="BE354" s="44" t="str">
        <f t="shared" si="129"/>
        <v/>
      </c>
      <c r="BF354" s="44" t="str">
        <f t="shared" si="129"/>
        <v/>
      </c>
      <c r="BG354" s="44" t="str">
        <f t="shared" si="129"/>
        <v/>
      </c>
      <c r="BH354" s="44" t="str">
        <f t="shared" si="129"/>
        <v/>
      </c>
      <c r="BI354" s="44" t="str">
        <f t="shared" si="129"/>
        <v/>
      </c>
      <c r="BJ354" s="44" t="str">
        <f t="shared" si="129"/>
        <v/>
      </c>
      <c r="BK354" s="62">
        <v>200</v>
      </c>
      <c r="BL354" s="44">
        <v>300</v>
      </c>
      <c r="BM354" s="44">
        <v>200</v>
      </c>
      <c r="BN354" s="44">
        <v>300</v>
      </c>
      <c r="CA354" s="44">
        <f t="shared" si="128"/>
        <v>1000</v>
      </c>
      <c r="CB354" s="44">
        <v>1000</v>
      </c>
      <c r="CC354" s="44">
        <v>0</v>
      </c>
      <c r="CD354" s="44">
        <v>0</v>
      </c>
      <c r="CE354" s="44">
        <v>0</v>
      </c>
      <c r="CF354" s="44">
        <v>0</v>
      </c>
      <c r="CG354" s="44">
        <v>0</v>
      </c>
      <c r="CH354" s="44">
        <v>1</v>
      </c>
      <c r="CI354" s="44">
        <v>1</v>
      </c>
      <c r="CJ354" s="44">
        <v>0</v>
      </c>
      <c r="CK354" s="44">
        <v>0</v>
      </c>
      <c r="CL354" s="44">
        <v>0</v>
      </c>
      <c r="CM354" s="44">
        <v>0</v>
      </c>
      <c r="CN354" s="44">
        <v>0</v>
      </c>
      <c r="CO354" s="44">
        <v>0</v>
      </c>
      <c r="CP354" s="44">
        <v>0</v>
      </c>
      <c r="CQ354" s="44">
        <v>1</v>
      </c>
      <c r="CR354" s="44">
        <v>0</v>
      </c>
      <c r="CV354" s="44">
        <v>0</v>
      </c>
      <c r="CW354" s="44">
        <v>0</v>
      </c>
    </row>
    <row r="355" s="44" customFormat="1" customHeight="1" spans="1:101">
      <c r="A355" s="45">
        <v>6705</v>
      </c>
      <c r="B355" s="44" t="s">
        <v>562</v>
      </c>
      <c r="O355" s="77"/>
      <c r="P355" s="77">
        <v>0</v>
      </c>
      <c r="Q355" s="77">
        <v>0</v>
      </c>
      <c r="R355" s="77">
        <v>0</v>
      </c>
      <c r="S355" s="64">
        <v>0</v>
      </c>
      <c r="T355" s="64">
        <v>0</v>
      </c>
      <c r="U355" s="64">
        <v>0</v>
      </c>
      <c r="V355" s="64">
        <v>0</v>
      </c>
      <c r="W355" s="63">
        <v>0</v>
      </c>
      <c r="X355" s="63">
        <v>0</v>
      </c>
      <c r="Y355" s="63">
        <v>0</v>
      </c>
      <c r="Z355" s="63">
        <v>0</v>
      </c>
      <c r="AA355" s="78">
        <v>0</v>
      </c>
      <c r="AB355" s="78">
        <v>0</v>
      </c>
      <c r="AC355" s="78">
        <v>0</v>
      </c>
      <c r="AD355" s="78">
        <v>0</v>
      </c>
      <c r="AE355" s="48">
        <v>200190</v>
      </c>
      <c r="AF355" s="44">
        <v>200191</v>
      </c>
      <c r="AG355" s="44">
        <v>200081</v>
      </c>
      <c r="AH355" s="44">
        <v>200082</v>
      </c>
      <c r="AU355" s="62">
        <f t="shared" ref="AU355:BJ355" si="130">IF(AE355="","",1)</f>
        <v>1</v>
      </c>
      <c r="AV355" s="44">
        <f t="shared" si="130"/>
        <v>1</v>
      </c>
      <c r="AW355" s="44">
        <f t="shared" si="130"/>
        <v>1</v>
      </c>
      <c r="AX355" s="44">
        <f t="shared" si="130"/>
        <v>1</v>
      </c>
      <c r="AY355" s="44" t="str">
        <f t="shared" si="130"/>
        <v/>
      </c>
      <c r="AZ355" s="44" t="str">
        <f t="shared" si="130"/>
        <v/>
      </c>
      <c r="BA355" s="44" t="str">
        <f t="shared" si="130"/>
        <v/>
      </c>
      <c r="BB355" s="44" t="str">
        <f t="shared" si="130"/>
        <v/>
      </c>
      <c r="BC355" s="44" t="str">
        <f t="shared" si="130"/>
        <v/>
      </c>
      <c r="BD355" s="44" t="str">
        <f t="shared" si="130"/>
        <v/>
      </c>
      <c r="BE355" s="44" t="str">
        <f t="shared" si="130"/>
        <v/>
      </c>
      <c r="BF355" s="44" t="str">
        <f t="shared" si="130"/>
        <v/>
      </c>
      <c r="BG355" s="44" t="str">
        <f t="shared" si="130"/>
        <v/>
      </c>
      <c r="BH355" s="44" t="str">
        <f t="shared" si="130"/>
        <v/>
      </c>
      <c r="BI355" s="44" t="str">
        <f t="shared" si="130"/>
        <v/>
      </c>
      <c r="BJ355" s="44" t="str">
        <f t="shared" si="130"/>
        <v/>
      </c>
      <c r="BK355" s="62">
        <v>200</v>
      </c>
      <c r="BL355" s="44">
        <v>300</v>
      </c>
      <c r="BM355" s="44">
        <v>200</v>
      </c>
      <c r="BN355" s="44">
        <v>300</v>
      </c>
      <c r="CA355" s="44">
        <f t="shared" si="128"/>
        <v>1000</v>
      </c>
      <c r="CB355" s="44">
        <v>1000</v>
      </c>
      <c r="CC355" s="44">
        <v>0</v>
      </c>
      <c r="CD355" s="44">
        <v>0</v>
      </c>
      <c r="CE355" s="44">
        <v>0</v>
      </c>
      <c r="CF355" s="44">
        <v>0</v>
      </c>
      <c r="CG355" s="44">
        <v>0</v>
      </c>
      <c r="CH355" s="44">
        <v>1</v>
      </c>
      <c r="CI355" s="44">
        <v>1</v>
      </c>
      <c r="CJ355" s="44">
        <v>0</v>
      </c>
      <c r="CK355" s="44">
        <v>0</v>
      </c>
      <c r="CL355" s="44">
        <v>0</v>
      </c>
      <c r="CM355" s="44">
        <v>0</v>
      </c>
      <c r="CN355" s="44">
        <v>0</v>
      </c>
      <c r="CO355" s="44">
        <v>0</v>
      </c>
      <c r="CP355" s="44">
        <v>0</v>
      </c>
      <c r="CQ355" s="44">
        <v>1</v>
      </c>
      <c r="CR355" s="44">
        <v>0</v>
      </c>
      <c r="CV355" s="44">
        <v>0</v>
      </c>
      <c r="CW355" s="44">
        <v>0</v>
      </c>
    </row>
    <row r="356" s="44" customFormat="1" customHeight="1" spans="1:101">
      <c r="A356" s="45">
        <v>6706</v>
      </c>
      <c r="B356" s="44" t="s">
        <v>563</v>
      </c>
      <c r="O356" s="77"/>
      <c r="P356" s="77">
        <v>0</v>
      </c>
      <c r="Q356" s="77">
        <v>0</v>
      </c>
      <c r="R356" s="77">
        <v>0</v>
      </c>
      <c r="S356" s="64">
        <v>0</v>
      </c>
      <c r="T356" s="64">
        <v>0</v>
      </c>
      <c r="U356" s="64">
        <v>0</v>
      </c>
      <c r="V356" s="64">
        <v>0</v>
      </c>
      <c r="W356" s="63">
        <v>0</v>
      </c>
      <c r="X356" s="63">
        <v>0</v>
      </c>
      <c r="Y356" s="63">
        <v>0</v>
      </c>
      <c r="Z356" s="63">
        <v>0</v>
      </c>
      <c r="AA356" s="78">
        <v>0</v>
      </c>
      <c r="AB356" s="78">
        <v>0</v>
      </c>
      <c r="AC356" s="78">
        <v>0</v>
      </c>
      <c r="AD356" s="78">
        <v>0</v>
      </c>
      <c r="AE356" s="48">
        <v>200190</v>
      </c>
      <c r="AF356" s="44">
        <v>200191</v>
      </c>
      <c r="AG356" s="44">
        <v>200192</v>
      </c>
      <c r="AU356" s="62">
        <f t="shared" ref="AU356:BJ356" si="131">IF(AE356="","",1)</f>
        <v>1</v>
      </c>
      <c r="AV356" s="44">
        <f t="shared" si="131"/>
        <v>1</v>
      </c>
      <c r="AW356" s="44">
        <f t="shared" si="131"/>
        <v>1</v>
      </c>
      <c r="AX356" s="44" t="str">
        <f t="shared" si="131"/>
        <v/>
      </c>
      <c r="AY356" s="44" t="str">
        <f t="shared" si="131"/>
        <v/>
      </c>
      <c r="AZ356" s="44" t="str">
        <f t="shared" si="131"/>
        <v/>
      </c>
      <c r="BA356" s="44" t="str">
        <f t="shared" si="131"/>
        <v/>
      </c>
      <c r="BB356" s="44" t="str">
        <f t="shared" si="131"/>
        <v/>
      </c>
      <c r="BC356" s="44" t="str">
        <f t="shared" si="131"/>
        <v/>
      </c>
      <c r="BD356" s="44" t="str">
        <f t="shared" si="131"/>
        <v/>
      </c>
      <c r="BE356" s="44" t="str">
        <f t="shared" si="131"/>
        <v/>
      </c>
      <c r="BF356" s="44" t="str">
        <f t="shared" si="131"/>
        <v/>
      </c>
      <c r="BG356" s="44" t="str">
        <f t="shared" si="131"/>
        <v/>
      </c>
      <c r="BH356" s="44" t="str">
        <f t="shared" si="131"/>
        <v/>
      </c>
      <c r="BI356" s="44" t="str">
        <f t="shared" si="131"/>
        <v/>
      </c>
      <c r="BJ356" s="44" t="str">
        <f t="shared" si="131"/>
        <v/>
      </c>
      <c r="BK356" s="62">
        <v>200</v>
      </c>
      <c r="BL356" s="44">
        <v>400</v>
      </c>
      <c r="BM356" s="44">
        <v>400</v>
      </c>
      <c r="CA356" s="44">
        <f t="shared" si="128"/>
        <v>1000</v>
      </c>
      <c r="CB356" s="44">
        <v>1000</v>
      </c>
      <c r="CC356" s="44">
        <v>0</v>
      </c>
      <c r="CD356" s="44">
        <v>0</v>
      </c>
      <c r="CE356" s="44">
        <v>0</v>
      </c>
      <c r="CF356" s="44">
        <v>0</v>
      </c>
      <c r="CG356" s="44">
        <v>0</v>
      </c>
      <c r="CH356" s="44">
        <v>1</v>
      </c>
      <c r="CI356" s="44">
        <v>1</v>
      </c>
      <c r="CJ356" s="44">
        <v>0</v>
      </c>
      <c r="CK356" s="44">
        <v>0</v>
      </c>
      <c r="CL356" s="44">
        <v>0</v>
      </c>
      <c r="CM356" s="44">
        <v>0</v>
      </c>
      <c r="CN356" s="44">
        <v>0</v>
      </c>
      <c r="CO356" s="44">
        <v>0</v>
      </c>
      <c r="CP356" s="44">
        <v>0</v>
      </c>
      <c r="CQ356" s="44">
        <v>1</v>
      </c>
      <c r="CR356" s="44">
        <v>0</v>
      </c>
      <c r="CV356" s="44">
        <v>0</v>
      </c>
      <c r="CW356" s="44">
        <v>0</v>
      </c>
    </row>
    <row r="357" s="44" customFormat="1" customHeight="1" spans="1:101">
      <c r="A357" s="45">
        <v>6707</v>
      </c>
      <c r="B357" s="44" t="s">
        <v>564</v>
      </c>
      <c r="O357" s="77"/>
      <c r="P357" s="77">
        <v>0</v>
      </c>
      <c r="Q357" s="77">
        <v>0</v>
      </c>
      <c r="R357" s="77">
        <v>0</v>
      </c>
      <c r="S357" s="64">
        <v>0</v>
      </c>
      <c r="T357" s="64">
        <v>0</v>
      </c>
      <c r="U357" s="64">
        <v>0</v>
      </c>
      <c r="V357" s="64">
        <v>0</v>
      </c>
      <c r="W357" s="63">
        <v>0</v>
      </c>
      <c r="X357" s="63">
        <v>0</v>
      </c>
      <c r="Y357" s="63">
        <v>0</v>
      </c>
      <c r="Z357" s="63">
        <v>0</v>
      </c>
      <c r="AA357" s="78">
        <v>0</v>
      </c>
      <c r="AB357" s="78">
        <v>0</v>
      </c>
      <c r="AC357" s="78">
        <v>0</v>
      </c>
      <c r="AD357" s="78">
        <v>0</v>
      </c>
      <c r="AE357" s="48">
        <v>200081</v>
      </c>
      <c r="AF357" s="44">
        <v>200082</v>
      </c>
      <c r="AG357" s="44">
        <v>200083</v>
      </c>
      <c r="AU357" s="62">
        <f t="shared" ref="AU357:BJ357" si="132">IF(AE357="","",1)</f>
        <v>1</v>
      </c>
      <c r="AV357" s="44">
        <f t="shared" si="132"/>
        <v>1</v>
      </c>
      <c r="AW357" s="44">
        <f t="shared" si="132"/>
        <v>1</v>
      </c>
      <c r="AX357" s="44" t="str">
        <f t="shared" si="132"/>
        <v/>
      </c>
      <c r="AY357" s="44" t="str">
        <f t="shared" si="132"/>
        <v/>
      </c>
      <c r="AZ357" s="44" t="str">
        <f t="shared" si="132"/>
        <v/>
      </c>
      <c r="BA357" s="44" t="str">
        <f t="shared" si="132"/>
        <v/>
      </c>
      <c r="BB357" s="44" t="str">
        <f t="shared" si="132"/>
        <v/>
      </c>
      <c r="BC357" s="44" t="str">
        <f t="shared" si="132"/>
        <v/>
      </c>
      <c r="BD357" s="44" t="str">
        <f t="shared" si="132"/>
        <v/>
      </c>
      <c r="BE357" s="44" t="str">
        <f t="shared" si="132"/>
        <v/>
      </c>
      <c r="BF357" s="44" t="str">
        <f t="shared" si="132"/>
        <v/>
      </c>
      <c r="BG357" s="44" t="str">
        <f t="shared" si="132"/>
        <v/>
      </c>
      <c r="BH357" s="44" t="str">
        <f t="shared" si="132"/>
        <v/>
      </c>
      <c r="BI357" s="44" t="str">
        <f t="shared" si="132"/>
        <v/>
      </c>
      <c r="BJ357" s="44" t="str">
        <f t="shared" si="132"/>
        <v/>
      </c>
      <c r="BK357" s="62">
        <v>200</v>
      </c>
      <c r="BL357" s="44">
        <v>400</v>
      </c>
      <c r="BM357" s="44">
        <v>400</v>
      </c>
      <c r="CA357" s="44">
        <f t="shared" si="128"/>
        <v>1000</v>
      </c>
      <c r="CB357" s="44">
        <v>1000</v>
      </c>
      <c r="CC357" s="44">
        <v>0</v>
      </c>
      <c r="CD357" s="44">
        <v>0</v>
      </c>
      <c r="CE357" s="44">
        <v>0</v>
      </c>
      <c r="CF357" s="44">
        <v>0</v>
      </c>
      <c r="CG357" s="44">
        <v>0</v>
      </c>
      <c r="CH357" s="44">
        <v>1</v>
      </c>
      <c r="CI357" s="44">
        <v>1</v>
      </c>
      <c r="CJ357" s="44">
        <v>0</v>
      </c>
      <c r="CK357" s="44">
        <v>0</v>
      </c>
      <c r="CL357" s="44">
        <v>0</v>
      </c>
      <c r="CM357" s="44">
        <v>0</v>
      </c>
      <c r="CN357" s="44">
        <v>0</v>
      </c>
      <c r="CO357" s="44">
        <v>0</v>
      </c>
      <c r="CP357" s="44">
        <v>0</v>
      </c>
      <c r="CQ357" s="44">
        <v>1</v>
      </c>
      <c r="CR357" s="44">
        <v>0</v>
      </c>
      <c r="CV357" s="44">
        <v>0</v>
      </c>
      <c r="CW357" s="44">
        <v>0</v>
      </c>
    </row>
    <row r="358" s="44" customFormat="1" customHeight="1" spans="1:101">
      <c r="A358" s="45">
        <v>6708</v>
      </c>
      <c r="B358" s="44" t="s">
        <v>565</v>
      </c>
      <c r="O358" s="77"/>
      <c r="P358" s="77">
        <v>0</v>
      </c>
      <c r="Q358" s="77">
        <v>0</v>
      </c>
      <c r="R358" s="77">
        <v>0</v>
      </c>
      <c r="S358" s="64">
        <v>0</v>
      </c>
      <c r="T358" s="64">
        <v>0</v>
      </c>
      <c r="U358" s="64">
        <v>0</v>
      </c>
      <c r="V358" s="64">
        <v>0</v>
      </c>
      <c r="W358" s="63">
        <v>0</v>
      </c>
      <c r="X358" s="63">
        <v>0</v>
      </c>
      <c r="Y358" s="63">
        <v>0</v>
      </c>
      <c r="Z358" s="63">
        <v>0</v>
      </c>
      <c r="AA358" s="78">
        <v>0</v>
      </c>
      <c r="AB358" s="78">
        <v>0</v>
      </c>
      <c r="AC358" s="78">
        <v>0</v>
      </c>
      <c r="AD358" s="78">
        <v>0</v>
      </c>
      <c r="AE358" s="48">
        <v>200190</v>
      </c>
      <c r="AF358" s="44">
        <v>200191</v>
      </c>
      <c r="AG358" s="44">
        <v>200192</v>
      </c>
      <c r="AH358" s="44">
        <v>200081</v>
      </c>
      <c r="AI358" s="44">
        <v>200082</v>
      </c>
      <c r="AJ358" s="44">
        <v>200083</v>
      </c>
      <c r="AU358" s="62">
        <f t="shared" ref="AU358:BJ358" si="133">IF(AE358="","",1)</f>
        <v>1</v>
      </c>
      <c r="AV358" s="44">
        <f t="shared" si="133"/>
        <v>1</v>
      </c>
      <c r="AW358" s="44">
        <f t="shared" si="133"/>
        <v>1</v>
      </c>
      <c r="AX358" s="44">
        <f t="shared" si="133"/>
        <v>1</v>
      </c>
      <c r="AY358" s="44">
        <f t="shared" si="133"/>
        <v>1</v>
      </c>
      <c r="AZ358" s="44">
        <f t="shared" si="133"/>
        <v>1</v>
      </c>
      <c r="BA358" s="44" t="str">
        <f t="shared" si="133"/>
        <v/>
      </c>
      <c r="BB358" s="44" t="str">
        <f t="shared" si="133"/>
        <v/>
      </c>
      <c r="BC358" s="44" t="str">
        <f t="shared" si="133"/>
        <v/>
      </c>
      <c r="BD358" s="44" t="str">
        <f t="shared" si="133"/>
        <v/>
      </c>
      <c r="BE358" s="44" t="str">
        <f t="shared" si="133"/>
        <v/>
      </c>
      <c r="BF358" s="44" t="str">
        <f t="shared" si="133"/>
        <v/>
      </c>
      <c r="BG358" s="44" t="str">
        <f t="shared" si="133"/>
        <v/>
      </c>
      <c r="BH358" s="44" t="str">
        <f t="shared" si="133"/>
        <v/>
      </c>
      <c r="BI358" s="44" t="str">
        <f t="shared" si="133"/>
        <v/>
      </c>
      <c r="BJ358" s="44" t="str">
        <f t="shared" si="133"/>
        <v/>
      </c>
      <c r="BK358" s="62">
        <v>100</v>
      </c>
      <c r="BL358" s="44">
        <v>200</v>
      </c>
      <c r="BM358" s="44">
        <v>200</v>
      </c>
      <c r="BN358" s="44">
        <v>100</v>
      </c>
      <c r="BO358" s="44">
        <v>200</v>
      </c>
      <c r="BP358" s="44">
        <v>200</v>
      </c>
      <c r="CA358" s="44">
        <f t="shared" si="128"/>
        <v>1000</v>
      </c>
      <c r="CB358" s="44">
        <v>1000</v>
      </c>
      <c r="CC358" s="44">
        <v>0</v>
      </c>
      <c r="CD358" s="44">
        <v>0</v>
      </c>
      <c r="CE358" s="44">
        <v>0</v>
      </c>
      <c r="CF358" s="44">
        <v>0</v>
      </c>
      <c r="CG358" s="44">
        <v>0</v>
      </c>
      <c r="CH358" s="44">
        <v>1</v>
      </c>
      <c r="CI358" s="44">
        <v>1</v>
      </c>
      <c r="CJ358" s="44">
        <v>0</v>
      </c>
      <c r="CK358" s="44">
        <v>0</v>
      </c>
      <c r="CL358" s="44">
        <v>0</v>
      </c>
      <c r="CM358" s="44">
        <v>0</v>
      </c>
      <c r="CN358" s="44">
        <v>0</v>
      </c>
      <c r="CO358" s="44">
        <v>0</v>
      </c>
      <c r="CP358" s="44">
        <v>0</v>
      </c>
      <c r="CQ358" s="44">
        <v>1</v>
      </c>
      <c r="CR358" s="44">
        <v>0</v>
      </c>
      <c r="CV358" s="44">
        <v>0</v>
      </c>
      <c r="CW358" s="44">
        <v>0</v>
      </c>
    </row>
    <row r="359" s="44" customFormat="1" customHeight="1" spans="1:101">
      <c r="A359" s="45">
        <v>6709</v>
      </c>
      <c r="B359" s="44" t="s">
        <v>566</v>
      </c>
      <c r="O359" s="77"/>
      <c r="P359" s="77">
        <v>0</v>
      </c>
      <c r="Q359" s="77">
        <v>0</v>
      </c>
      <c r="R359" s="77">
        <v>0</v>
      </c>
      <c r="S359" s="64">
        <v>0</v>
      </c>
      <c r="T359" s="64">
        <v>0</v>
      </c>
      <c r="U359" s="64">
        <v>0</v>
      </c>
      <c r="V359" s="64">
        <v>0</v>
      </c>
      <c r="W359" s="63">
        <v>0</v>
      </c>
      <c r="X359" s="63">
        <v>0</v>
      </c>
      <c r="Y359" s="63">
        <v>0</v>
      </c>
      <c r="Z359" s="63">
        <v>0</v>
      </c>
      <c r="AA359" s="78">
        <v>0</v>
      </c>
      <c r="AB359" s="78">
        <v>0</v>
      </c>
      <c r="AC359" s="78">
        <v>0</v>
      </c>
      <c r="AD359" s="78">
        <v>0</v>
      </c>
      <c r="AE359" s="48">
        <v>200190</v>
      </c>
      <c r="AF359" s="44">
        <v>200191</v>
      </c>
      <c r="AG359" s="44">
        <v>200192</v>
      </c>
      <c r="AH359" s="44">
        <v>200081</v>
      </c>
      <c r="AI359" s="44">
        <v>200082</v>
      </c>
      <c r="AJ359" s="44">
        <v>200083</v>
      </c>
      <c r="AU359" s="62">
        <f t="shared" ref="AU359:BJ359" si="134">IF(AE359="","",1)</f>
        <v>1</v>
      </c>
      <c r="AV359" s="44">
        <f t="shared" si="134"/>
        <v>1</v>
      </c>
      <c r="AW359" s="44">
        <f t="shared" si="134"/>
        <v>1</v>
      </c>
      <c r="AX359" s="44">
        <f t="shared" si="134"/>
        <v>1</v>
      </c>
      <c r="AY359" s="44">
        <f t="shared" si="134"/>
        <v>1</v>
      </c>
      <c r="AZ359" s="44">
        <f t="shared" si="134"/>
        <v>1</v>
      </c>
      <c r="BA359" s="44" t="str">
        <f t="shared" si="134"/>
        <v/>
      </c>
      <c r="BB359" s="44" t="str">
        <f t="shared" si="134"/>
        <v/>
      </c>
      <c r="BC359" s="44" t="str">
        <f t="shared" si="134"/>
        <v/>
      </c>
      <c r="BD359" s="44" t="str">
        <f t="shared" si="134"/>
        <v/>
      </c>
      <c r="BE359" s="44" t="str">
        <f t="shared" si="134"/>
        <v/>
      </c>
      <c r="BF359" s="44" t="str">
        <f t="shared" si="134"/>
        <v/>
      </c>
      <c r="BG359" s="44" t="str">
        <f t="shared" si="134"/>
        <v/>
      </c>
      <c r="BH359" s="44" t="str">
        <f t="shared" si="134"/>
        <v/>
      </c>
      <c r="BI359" s="44" t="str">
        <f t="shared" si="134"/>
        <v/>
      </c>
      <c r="BJ359" s="44" t="str">
        <f t="shared" si="134"/>
        <v/>
      </c>
      <c r="BK359" s="62">
        <v>50</v>
      </c>
      <c r="BL359" s="44">
        <v>200</v>
      </c>
      <c r="BM359" s="44">
        <v>200</v>
      </c>
      <c r="BN359" s="44">
        <v>50</v>
      </c>
      <c r="BO359" s="44">
        <v>200</v>
      </c>
      <c r="BP359" s="44">
        <v>300</v>
      </c>
      <c r="CA359" s="44">
        <f t="shared" si="128"/>
        <v>1000</v>
      </c>
      <c r="CB359" s="44">
        <v>1000</v>
      </c>
      <c r="CC359" s="44">
        <v>0</v>
      </c>
      <c r="CD359" s="44">
        <v>0</v>
      </c>
      <c r="CE359" s="44">
        <v>0</v>
      </c>
      <c r="CF359" s="44">
        <v>0</v>
      </c>
      <c r="CG359" s="44">
        <v>0</v>
      </c>
      <c r="CH359" s="44">
        <v>1</v>
      </c>
      <c r="CI359" s="44">
        <v>1</v>
      </c>
      <c r="CJ359" s="44">
        <v>0</v>
      </c>
      <c r="CK359" s="44">
        <v>0</v>
      </c>
      <c r="CL359" s="44">
        <v>0</v>
      </c>
      <c r="CM359" s="44">
        <v>0</v>
      </c>
      <c r="CN359" s="44">
        <v>0</v>
      </c>
      <c r="CO359" s="44">
        <v>0</v>
      </c>
      <c r="CP359" s="44">
        <v>0</v>
      </c>
      <c r="CQ359" s="44">
        <v>1</v>
      </c>
      <c r="CR359" s="44">
        <v>0</v>
      </c>
      <c r="CV359" s="44">
        <v>0</v>
      </c>
      <c r="CW359" s="44">
        <v>0</v>
      </c>
    </row>
    <row r="360" s="44" customFormat="1" customHeight="1" spans="1:101">
      <c r="A360" s="45">
        <v>6710</v>
      </c>
      <c r="B360" s="44" t="s">
        <v>567</v>
      </c>
      <c r="O360" s="77"/>
      <c r="P360" s="77">
        <v>0</v>
      </c>
      <c r="Q360" s="77">
        <v>0</v>
      </c>
      <c r="R360" s="77">
        <v>0</v>
      </c>
      <c r="S360" s="64">
        <v>0</v>
      </c>
      <c r="T360" s="64">
        <v>0</v>
      </c>
      <c r="U360" s="64">
        <v>0</v>
      </c>
      <c r="V360" s="64">
        <v>0</v>
      </c>
      <c r="W360" s="63">
        <v>0</v>
      </c>
      <c r="X360" s="63">
        <v>0</v>
      </c>
      <c r="Y360" s="63">
        <v>0</v>
      </c>
      <c r="Z360" s="63">
        <v>0</v>
      </c>
      <c r="AA360" s="78">
        <v>0</v>
      </c>
      <c r="AB360" s="78">
        <v>0</v>
      </c>
      <c r="AC360" s="78">
        <v>0</v>
      </c>
      <c r="AD360" s="78">
        <v>0</v>
      </c>
      <c r="AE360" s="48">
        <v>200191</v>
      </c>
      <c r="AF360" s="44">
        <v>200192</v>
      </c>
      <c r="AG360" s="44">
        <v>200193</v>
      </c>
      <c r="AU360" s="62">
        <f t="shared" ref="AU360:BJ360" si="135">IF(AE360="","",1)</f>
        <v>1</v>
      </c>
      <c r="AV360" s="44">
        <f t="shared" si="135"/>
        <v>1</v>
      </c>
      <c r="AW360" s="44">
        <f t="shared" si="135"/>
        <v>1</v>
      </c>
      <c r="AX360" s="44" t="str">
        <f t="shared" si="135"/>
        <v/>
      </c>
      <c r="AY360" s="44" t="str">
        <f t="shared" si="135"/>
        <v/>
      </c>
      <c r="AZ360" s="44" t="str">
        <f t="shared" si="135"/>
        <v/>
      </c>
      <c r="BA360" s="44" t="str">
        <f t="shared" si="135"/>
        <v/>
      </c>
      <c r="BB360" s="44" t="str">
        <f t="shared" si="135"/>
        <v/>
      </c>
      <c r="BC360" s="44" t="str">
        <f t="shared" si="135"/>
        <v/>
      </c>
      <c r="BD360" s="44" t="str">
        <f t="shared" si="135"/>
        <v/>
      </c>
      <c r="BE360" s="44" t="str">
        <f t="shared" si="135"/>
        <v/>
      </c>
      <c r="BF360" s="44" t="str">
        <f t="shared" si="135"/>
        <v/>
      </c>
      <c r="BG360" s="44" t="str">
        <f t="shared" si="135"/>
        <v/>
      </c>
      <c r="BH360" s="44" t="str">
        <f t="shared" si="135"/>
        <v/>
      </c>
      <c r="BI360" s="44" t="str">
        <f t="shared" si="135"/>
        <v/>
      </c>
      <c r="BJ360" s="44" t="str">
        <f t="shared" si="135"/>
        <v/>
      </c>
      <c r="BK360" s="62">
        <v>200</v>
      </c>
      <c r="BL360" s="44">
        <v>500</v>
      </c>
      <c r="BM360" s="44">
        <v>300</v>
      </c>
      <c r="CA360" s="44">
        <f t="shared" si="128"/>
        <v>1000</v>
      </c>
      <c r="CB360" s="44">
        <v>1000</v>
      </c>
      <c r="CC360" s="44">
        <v>0</v>
      </c>
      <c r="CD360" s="44">
        <v>0</v>
      </c>
      <c r="CE360" s="44">
        <v>0</v>
      </c>
      <c r="CF360" s="44">
        <v>0</v>
      </c>
      <c r="CG360" s="44">
        <v>0</v>
      </c>
      <c r="CH360" s="44">
        <v>1</v>
      </c>
      <c r="CI360" s="44">
        <v>1</v>
      </c>
      <c r="CJ360" s="44">
        <v>0</v>
      </c>
      <c r="CK360" s="44">
        <v>0</v>
      </c>
      <c r="CL360" s="44">
        <v>0</v>
      </c>
      <c r="CM360" s="44">
        <v>0</v>
      </c>
      <c r="CN360" s="44">
        <v>0</v>
      </c>
      <c r="CO360" s="44">
        <v>0</v>
      </c>
      <c r="CP360" s="44">
        <v>0</v>
      </c>
      <c r="CQ360" s="44">
        <v>1</v>
      </c>
      <c r="CR360" s="44">
        <v>0</v>
      </c>
      <c r="CV360" s="44">
        <v>0</v>
      </c>
      <c r="CW360" s="44">
        <v>0</v>
      </c>
    </row>
    <row r="361" s="44" customFormat="1" customHeight="1" spans="1:101">
      <c r="A361" s="45">
        <v>6711</v>
      </c>
      <c r="B361" s="44" t="s">
        <v>568</v>
      </c>
      <c r="O361" s="77"/>
      <c r="P361" s="77">
        <v>0</v>
      </c>
      <c r="Q361" s="77">
        <v>0</v>
      </c>
      <c r="R361" s="77">
        <v>0</v>
      </c>
      <c r="S361" s="64">
        <v>0</v>
      </c>
      <c r="T361" s="64">
        <v>0</v>
      </c>
      <c r="U361" s="64">
        <v>0</v>
      </c>
      <c r="V361" s="64">
        <v>0</v>
      </c>
      <c r="W361" s="63">
        <v>0</v>
      </c>
      <c r="X361" s="63">
        <v>0</v>
      </c>
      <c r="Y361" s="63">
        <v>0</v>
      </c>
      <c r="Z361" s="63">
        <v>0</v>
      </c>
      <c r="AA361" s="78">
        <v>0</v>
      </c>
      <c r="AB361" s="78">
        <v>0</v>
      </c>
      <c r="AC361" s="78">
        <v>0</v>
      </c>
      <c r="AD361" s="78">
        <v>0</v>
      </c>
      <c r="AE361" s="48">
        <v>200082</v>
      </c>
      <c r="AF361" s="44">
        <v>200083</v>
      </c>
      <c r="AG361" s="44">
        <v>200084</v>
      </c>
      <c r="AU361" s="62">
        <f t="shared" ref="AU361:BJ361" si="136">IF(AE361="","",1)</f>
        <v>1</v>
      </c>
      <c r="AV361" s="44">
        <f t="shared" si="136"/>
        <v>1</v>
      </c>
      <c r="AW361" s="44">
        <f t="shared" si="136"/>
        <v>1</v>
      </c>
      <c r="AX361" s="44" t="str">
        <f t="shared" si="136"/>
        <v/>
      </c>
      <c r="AY361" s="44" t="str">
        <f t="shared" si="136"/>
        <v/>
      </c>
      <c r="AZ361" s="44" t="str">
        <f t="shared" si="136"/>
        <v/>
      </c>
      <c r="BA361" s="44" t="str">
        <f t="shared" si="136"/>
        <v/>
      </c>
      <c r="BB361" s="44" t="str">
        <f t="shared" si="136"/>
        <v/>
      </c>
      <c r="BC361" s="44" t="str">
        <f t="shared" si="136"/>
        <v/>
      </c>
      <c r="BD361" s="44" t="str">
        <f t="shared" si="136"/>
        <v/>
      </c>
      <c r="BE361" s="44" t="str">
        <f t="shared" si="136"/>
        <v/>
      </c>
      <c r="BF361" s="44" t="str">
        <f t="shared" si="136"/>
        <v/>
      </c>
      <c r="BG361" s="44" t="str">
        <f t="shared" si="136"/>
        <v/>
      </c>
      <c r="BH361" s="44" t="str">
        <f t="shared" si="136"/>
        <v/>
      </c>
      <c r="BI361" s="44" t="str">
        <f t="shared" si="136"/>
        <v/>
      </c>
      <c r="BJ361" s="44" t="str">
        <f t="shared" si="136"/>
        <v/>
      </c>
      <c r="BK361" s="62">
        <v>200</v>
      </c>
      <c r="BL361" s="44">
        <v>500</v>
      </c>
      <c r="BM361" s="44">
        <v>300</v>
      </c>
      <c r="CA361" s="44">
        <f t="shared" si="128"/>
        <v>1000</v>
      </c>
      <c r="CB361" s="44">
        <v>1000</v>
      </c>
      <c r="CC361" s="44">
        <v>0</v>
      </c>
      <c r="CD361" s="44">
        <v>0</v>
      </c>
      <c r="CE361" s="44">
        <v>0</v>
      </c>
      <c r="CF361" s="44">
        <v>0</v>
      </c>
      <c r="CG361" s="44">
        <v>0</v>
      </c>
      <c r="CH361" s="44">
        <v>1</v>
      </c>
      <c r="CI361" s="44">
        <v>1</v>
      </c>
      <c r="CJ361" s="44">
        <v>0</v>
      </c>
      <c r="CK361" s="44">
        <v>0</v>
      </c>
      <c r="CL361" s="44">
        <v>0</v>
      </c>
      <c r="CM361" s="44">
        <v>0</v>
      </c>
      <c r="CN361" s="44">
        <v>0</v>
      </c>
      <c r="CO361" s="44">
        <v>0</v>
      </c>
      <c r="CP361" s="44">
        <v>0</v>
      </c>
      <c r="CQ361" s="44">
        <v>1</v>
      </c>
      <c r="CR361" s="44">
        <v>0</v>
      </c>
      <c r="CV361" s="44">
        <v>0</v>
      </c>
      <c r="CW361" s="44">
        <v>0</v>
      </c>
    </row>
    <row r="362" s="44" customFormat="1" customHeight="1" spans="1:101">
      <c r="A362" s="45">
        <v>6712</v>
      </c>
      <c r="B362" s="44" t="s">
        <v>569</v>
      </c>
      <c r="O362" s="77"/>
      <c r="P362" s="77">
        <v>0</v>
      </c>
      <c r="Q362" s="77">
        <v>0</v>
      </c>
      <c r="R362" s="77">
        <v>0</v>
      </c>
      <c r="S362" s="64">
        <v>0</v>
      </c>
      <c r="T362" s="64">
        <v>0</v>
      </c>
      <c r="U362" s="64">
        <v>0</v>
      </c>
      <c r="V362" s="64">
        <v>0</v>
      </c>
      <c r="W362" s="63">
        <v>0</v>
      </c>
      <c r="X362" s="63">
        <v>0</v>
      </c>
      <c r="Y362" s="63">
        <v>0</v>
      </c>
      <c r="Z362" s="63">
        <v>0</v>
      </c>
      <c r="AA362" s="78">
        <v>0</v>
      </c>
      <c r="AB362" s="78">
        <v>0</v>
      </c>
      <c r="AC362" s="78">
        <v>0</v>
      </c>
      <c r="AD362" s="78">
        <v>0</v>
      </c>
      <c r="AE362" s="48">
        <v>200191</v>
      </c>
      <c r="AF362" s="44">
        <v>200192</v>
      </c>
      <c r="AG362" s="44">
        <v>200193</v>
      </c>
      <c r="AH362" s="44">
        <v>200082</v>
      </c>
      <c r="AI362" s="44">
        <v>200083</v>
      </c>
      <c r="AJ362" s="44">
        <v>200084</v>
      </c>
      <c r="AU362" s="62">
        <f t="shared" ref="AU362:BJ362" si="137">IF(AE362="","",1)</f>
        <v>1</v>
      </c>
      <c r="AV362" s="44">
        <f t="shared" si="137"/>
        <v>1</v>
      </c>
      <c r="AW362" s="44">
        <f t="shared" si="137"/>
        <v>1</v>
      </c>
      <c r="AX362" s="44">
        <f t="shared" si="137"/>
        <v>1</v>
      </c>
      <c r="AY362" s="44">
        <f t="shared" si="137"/>
        <v>1</v>
      </c>
      <c r="AZ362" s="44">
        <f t="shared" si="137"/>
        <v>1</v>
      </c>
      <c r="BA362" s="44" t="str">
        <f t="shared" si="137"/>
        <v/>
      </c>
      <c r="BB362" s="44" t="str">
        <f t="shared" si="137"/>
        <v/>
      </c>
      <c r="BC362" s="44" t="str">
        <f t="shared" si="137"/>
        <v/>
      </c>
      <c r="BD362" s="44" t="str">
        <f t="shared" si="137"/>
        <v/>
      </c>
      <c r="BE362" s="44" t="str">
        <f t="shared" si="137"/>
        <v/>
      </c>
      <c r="BF362" s="44" t="str">
        <f t="shared" si="137"/>
        <v/>
      </c>
      <c r="BG362" s="44" t="str">
        <f t="shared" si="137"/>
        <v/>
      </c>
      <c r="BH362" s="44" t="str">
        <f t="shared" si="137"/>
        <v/>
      </c>
      <c r="BI362" s="44" t="str">
        <f t="shared" si="137"/>
        <v/>
      </c>
      <c r="BJ362" s="44" t="str">
        <f t="shared" si="137"/>
        <v/>
      </c>
      <c r="BK362" s="62">
        <v>100</v>
      </c>
      <c r="BL362" s="44">
        <v>250</v>
      </c>
      <c r="BM362" s="44">
        <v>150</v>
      </c>
      <c r="BN362" s="44">
        <v>100</v>
      </c>
      <c r="BO362" s="44">
        <v>250</v>
      </c>
      <c r="BP362" s="44">
        <v>150</v>
      </c>
      <c r="CA362" s="44">
        <f t="shared" si="128"/>
        <v>1000</v>
      </c>
      <c r="CB362" s="44">
        <v>1000</v>
      </c>
      <c r="CC362" s="44">
        <v>0</v>
      </c>
      <c r="CD362" s="44">
        <v>0</v>
      </c>
      <c r="CE362" s="44">
        <v>0</v>
      </c>
      <c r="CF362" s="44">
        <v>0</v>
      </c>
      <c r="CG362" s="44">
        <v>0</v>
      </c>
      <c r="CH362" s="44">
        <v>1</v>
      </c>
      <c r="CI362" s="44">
        <v>1</v>
      </c>
      <c r="CJ362" s="44">
        <v>0</v>
      </c>
      <c r="CK362" s="44">
        <v>0</v>
      </c>
      <c r="CL362" s="44">
        <v>0</v>
      </c>
      <c r="CM362" s="44">
        <v>0</v>
      </c>
      <c r="CN362" s="44">
        <v>0</v>
      </c>
      <c r="CO362" s="44">
        <v>0</v>
      </c>
      <c r="CP362" s="44">
        <v>0</v>
      </c>
      <c r="CQ362" s="44">
        <v>1</v>
      </c>
      <c r="CR362" s="44">
        <v>0</v>
      </c>
      <c r="CV362" s="44">
        <v>0</v>
      </c>
      <c r="CW362" s="44">
        <v>0</v>
      </c>
    </row>
    <row r="363" s="44" customFormat="1" customHeight="1" spans="1:101">
      <c r="A363" s="45">
        <v>6713</v>
      </c>
      <c r="B363" s="44" t="s">
        <v>570</v>
      </c>
      <c r="O363" s="77"/>
      <c r="P363" s="77">
        <v>0</v>
      </c>
      <c r="Q363" s="77">
        <v>0</v>
      </c>
      <c r="R363" s="77">
        <v>0</v>
      </c>
      <c r="S363" s="64">
        <v>0</v>
      </c>
      <c r="T363" s="64">
        <v>0</v>
      </c>
      <c r="U363" s="64">
        <v>0</v>
      </c>
      <c r="V363" s="64">
        <v>0</v>
      </c>
      <c r="W363" s="63">
        <v>0</v>
      </c>
      <c r="X363" s="63">
        <v>0</v>
      </c>
      <c r="Y363" s="63">
        <v>0</v>
      </c>
      <c r="Z363" s="63">
        <v>0</v>
      </c>
      <c r="AA363" s="78">
        <v>0</v>
      </c>
      <c r="AB363" s="78">
        <v>0</v>
      </c>
      <c r="AC363" s="78">
        <v>0</v>
      </c>
      <c r="AD363" s="78">
        <v>0</v>
      </c>
      <c r="AE363" s="48">
        <v>200191</v>
      </c>
      <c r="AF363" s="44">
        <v>200192</v>
      </c>
      <c r="AG363" s="44">
        <v>200193</v>
      </c>
      <c r="AH363" s="44">
        <v>200082</v>
      </c>
      <c r="AI363" s="44">
        <v>200083</v>
      </c>
      <c r="AJ363" s="44">
        <v>200084</v>
      </c>
      <c r="AU363" s="62">
        <f t="shared" ref="AU363:BJ363" si="138">IF(AE363="","",1)</f>
        <v>1</v>
      </c>
      <c r="AV363" s="44">
        <f t="shared" si="138"/>
        <v>1</v>
      </c>
      <c r="AW363" s="44">
        <f t="shared" si="138"/>
        <v>1</v>
      </c>
      <c r="AX363" s="44">
        <f t="shared" si="138"/>
        <v>1</v>
      </c>
      <c r="AY363" s="44">
        <f t="shared" si="138"/>
        <v>1</v>
      </c>
      <c r="AZ363" s="44">
        <f t="shared" si="138"/>
        <v>1</v>
      </c>
      <c r="BA363" s="44" t="str">
        <f t="shared" si="138"/>
        <v/>
      </c>
      <c r="BB363" s="44" t="str">
        <f t="shared" si="138"/>
        <v/>
      </c>
      <c r="BC363" s="44" t="str">
        <f t="shared" si="138"/>
        <v/>
      </c>
      <c r="BD363" s="44" t="str">
        <f t="shared" si="138"/>
        <v/>
      </c>
      <c r="BE363" s="44" t="str">
        <f t="shared" si="138"/>
        <v/>
      </c>
      <c r="BF363" s="44" t="str">
        <f t="shared" si="138"/>
        <v/>
      </c>
      <c r="BG363" s="44" t="str">
        <f t="shared" si="138"/>
        <v/>
      </c>
      <c r="BH363" s="44" t="str">
        <f t="shared" si="138"/>
        <v/>
      </c>
      <c r="BI363" s="44" t="str">
        <f t="shared" si="138"/>
        <v/>
      </c>
      <c r="BJ363" s="44" t="str">
        <f t="shared" si="138"/>
        <v/>
      </c>
      <c r="BK363" s="62">
        <v>100</v>
      </c>
      <c r="BL363" s="44">
        <v>250</v>
      </c>
      <c r="BM363" s="44">
        <v>150</v>
      </c>
      <c r="BN363" s="44">
        <v>100</v>
      </c>
      <c r="BO363" s="44">
        <v>250</v>
      </c>
      <c r="BP363" s="44">
        <v>150</v>
      </c>
      <c r="CA363" s="44">
        <f t="shared" si="128"/>
        <v>1000</v>
      </c>
      <c r="CB363" s="44">
        <v>1000</v>
      </c>
      <c r="CC363" s="44">
        <v>0</v>
      </c>
      <c r="CD363" s="44">
        <v>0</v>
      </c>
      <c r="CE363" s="44">
        <v>0</v>
      </c>
      <c r="CF363" s="44">
        <v>0</v>
      </c>
      <c r="CG363" s="44">
        <v>0</v>
      </c>
      <c r="CH363" s="44">
        <v>1</v>
      </c>
      <c r="CI363" s="44">
        <v>1</v>
      </c>
      <c r="CJ363" s="44">
        <v>0</v>
      </c>
      <c r="CK363" s="44">
        <v>0</v>
      </c>
      <c r="CL363" s="44">
        <v>0</v>
      </c>
      <c r="CM363" s="44">
        <v>0</v>
      </c>
      <c r="CN363" s="44">
        <v>0</v>
      </c>
      <c r="CO363" s="44">
        <v>0</v>
      </c>
      <c r="CP363" s="44">
        <v>0</v>
      </c>
      <c r="CQ363" s="44">
        <v>1</v>
      </c>
      <c r="CR363" s="44">
        <v>0</v>
      </c>
      <c r="CV363" s="44">
        <v>0</v>
      </c>
      <c r="CW363" s="44">
        <v>0</v>
      </c>
    </row>
    <row r="364" s="44" customFormat="1" customHeight="1" spans="1:101">
      <c r="A364" s="45">
        <v>6714</v>
      </c>
      <c r="B364" s="44" t="s">
        <v>571</v>
      </c>
      <c r="O364" s="77"/>
      <c r="P364" s="77">
        <v>0</v>
      </c>
      <c r="Q364" s="77">
        <v>0</v>
      </c>
      <c r="R364" s="77">
        <v>0</v>
      </c>
      <c r="S364" s="64">
        <v>0</v>
      </c>
      <c r="T364" s="64">
        <v>0</v>
      </c>
      <c r="U364" s="64">
        <v>0</v>
      </c>
      <c r="V364" s="64">
        <v>0</v>
      </c>
      <c r="W364" s="63">
        <v>0</v>
      </c>
      <c r="X364" s="63">
        <v>0</v>
      </c>
      <c r="Y364" s="63">
        <v>0</v>
      </c>
      <c r="Z364" s="63">
        <v>0</v>
      </c>
      <c r="AA364" s="78">
        <v>0</v>
      </c>
      <c r="AB364" s="78">
        <v>0</v>
      </c>
      <c r="AC364" s="78">
        <v>0</v>
      </c>
      <c r="AD364" s="78">
        <v>0</v>
      </c>
      <c r="AE364" s="48">
        <v>200192</v>
      </c>
      <c r="AF364" s="44">
        <v>200193</v>
      </c>
      <c r="AG364" s="44">
        <v>200194</v>
      </c>
      <c r="AU364" s="62">
        <f t="shared" ref="AU364:BJ364" si="139">IF(AE364="","",1)</f>
        <v>1</v>
      </c>
      <c r="AV364" s="44">
        <f t="shared" si="139"/>
        <v>1</v>
      </c>
      <c r="AW364" s="44">
        <f t="shared" si="139"/>
        <v>1</v>
      </c>
      <c r="AX364" s="44" t="str">
        <f t="shared" si="139"/>
        <v/>
      </c>
      <c r="AY364" s="44" t="str">
        <f t="shared" si="139"/>
        <v/>
      </c>
      <c r="AZ364" s="44" t="str">
        <f t="shared" si="139"/>
        <v/>
      </c>
      <c r="BA364" s="44" t="str">
        <f t="shared" si="139"/>
        <v/>
      </c>
      <c r="BB364" s="44" t="str">
        <f t="shared" si="139"/>
        <v/>
      </c>
      <c r="BC364" s="44" t="str">
        <f t="shared" si="139"/>
        <v/>
      </c>
      <c r="BD364" s="44" t="str">
        <f t="shared" si="139"/>
        <v/>
      </c>
      <c r="BE364" s="44" t="str">
        <f t="shared" si="139"/>
        <v/>
      </c>
      <c r="BF364" s="44" t="str">
        <f t="shared" si="139"/>
        <v/>
      </c>
      <c r="BG364" s="44" t="str">
        <f t="shared" si="139"/>
        <v/>
      </c>
      <c r="BH364" s="44" t="str">
        <f t="shared" si="139"/>
        <v/>
      </c>
      <c r="BI364" s="44" t="str">
        <f t="shared" si="139"/>
        <v/>
      </c>
      <c r="BJ364" s="44" t="str">
        <f t="shared" si="139"/>
        <v/>
      </c>
      <c r="BK364" s="62">
        <v>400</v>
      </c>
      <c r="BL364" s="44">
        <v>400</v>
      </c>
      <c r="BM364" s="44">
        <v>200</v>
      </c>
      <c r="CA364" s="44">
        <f t="shared" si="128"/>
        <v>1000</v>
      </c>
      <c r="CB364" s="44">
        <v>1000</v>
      </c>
      <c r="CC364" s="44">
        <v>0</v>
      </c>
      <c r="CD364" s="44">
        <v>0</v>
      </c>
      <c r="CE364" s="44">
        <v>0</v>
      </c>
      <c r="CF364" s="44">
        <v>0</v>
      </c>
      <c r="CG364" s="44">
        <v>0</v>
      </c>
      <c r="CH364" s="44">
        <v>1</v>
      </c>
      <c r="CI364" s="44">
        <v>1</v>
      </c>
      <c r="CJ364" s="44">
        <v>0</v>
      </c>
      <c r="CK364" s="44">
        <v>0</v>
      </c>
      <c r="CL364" s="44">
        <v>0</v>
      </c>
      <c r="CM364" s="44">
        <v>0</v>
      </c>
      <c r="CN364" s="44">
        <v>0</v>
      </c>
      <c r="CO364" s="44">
        <v>0</v>
      </c>
      <c r="CP364" s="44">
        <v>0</v>
      </c>
      <c r="CQ364" s="44">
        <v>1</v>
      </c>
      <c r="CR364" s="44">
        <v>0</v>
      </c>
      <c r="CV364" s="44">
        <v>0</v>
      </c>
      <c r="CW364" s="44">
        <v>0</v>
      </c>
    </row>
    <row r="365" s="44" customFormat="1" customHeight="1" spans="1:101">
      <c r="A365" s="45">
        <v>6715</v>
      </c>
      <c r="B365" s="44" t="s">
        <v>572</v>
      </c>
      <c r="O365" s="77"/>
      <c r="P365" s="77">
        <v>0</v>
      </c>
      <c r="Q365" s="77">
        <v>0</v>
      </c>
      <c r="R365" s="77">
        <v>0</v>
      </c>
      <c r="S365" s="64">
        <v>0</v>
      </c>
      <c r="T365" s="64">
        <v>0</v>
      </c>
      <c r="U365" s="64">
        <v>0</v>
      </c>
      <c r="V365" s="64">
        <v>0</v>
      </c>
      <c r="W365" s="63">
        <v>0</v>
      </c>
      <c r="X365" s="63">
        <v>0</v>
      </c>
      <c r="Y365" s="63">
        <v>0</v>
      </c>
      <c r="Z365" s="63">
        <v>0</v>
      </c>
      <c r="AA365" s="78">
        <v>0</v>
      </c>
      <c r="AB365" s="78">
        <v>0</v>
      </c>
      <c r="AC365" s="78">
        <v>0</v>
      </c>
      <c r="AD365" s="78">
        <v>0</v>
      </c>
      <c r="AE365" s="48">
        <v>200083</v>
      </c>
      <c r="AF365" s="44">
        <v>200084</v>
      </c>
      <c r="AG365" s="44">
        <v>200085</v>
      </c>
      <c r="AU365" s="62">
        <f t="shared" ref="AU365:BJ365" si="140">IF(AE365="","",1)</f>
        <v>1</v>
      </c>
      <c r="AV365" s="44">
        <f t="shared" si="140"/>
        <v>1</v>
      </c>
      <c r="AW365" s="44">
        <f t="shared" si="140"/>
        <v>1</v>
      </c>
      <c r="AX365" s="44" t="str">
        <f t="shared" si="140"/>
        <v/>
      </c>
      <c r="AY365" s="44" t="str">
        <f t="shared" si="140"/>
        <v/>
      </c>
      <c r="AZ365" s="44" t="str">
        <f t="shared" si="140"/>
        <v/>
      </c>
      <c r="BA365" s="44" t="str">
        <f t="shared" si="140"/>
        <v/>
      </c>
      <c r="BB365" s="44" t="str">
        <f t="shared" si="140"/>
        <v/>
      </c>
      <c r="BC365" s="44" t="str">
        <f t="shared" si="140"/>
        <v/>
      </c>
      <c r="BD365" s="44" t="str">
        <f t="shared" si="140"/>
        <v/>
      </c>
      <c r="BE365" s="44" t="str">
        <f t="shared" si="140"/>
        <v/>
      </c>
      <c r="BF365" s="44" t="str">
        <f t="shared" si="140"/>
        <v/>
      </c>
      <c r="BG365" s="44" t="str">
        <f t="shared" si="140"/>
        <v/>
      </c>
      <c r="BH365" s="44" t="str">
        <f t="shared" si="140"/>
        <v/>
      </c>
      <c r="BI365" s="44" t="str">
        <f t="shared" si="140"/>
        <v/>
      </c>
      <c r="BJ365" s="44" t="str">
        <f t="shared" si="140"/>
        <v/>
      </c>
      <c r="BK365" s="62">
        <v>400</v>
      </c>
      <c r="BL365" s="44">
        <v>400</v>
      </c>
      <c r="BM365" s="44">
        <v>200</v>
      </c>
      <c r="CA365" s="44">
        <f t="shared" si="128"/>
        <v>1000</v>
      </c>
      <c r="CB365" s="44">
        <v>1000</v>
      </c>
      <c r="CC365" s="44">
        <v>0</v>
      </c>
      <c r="CD365" s="44">
        <v>0</v>
      </c>
      <c r="CE365" s="44">
        <v>0</v>
      </c>
      <c r="CF365" s="44">
        <v>0</v>
      </c>
      <c r="CG365" s="44">
        <v>0</v>
      </c>
      <c r="CH365" s="44">
        <v>1</v>
      </c>
      <c r="CI365" s="44">
        <v>1</v>
      </c>
      <c r="CJ365" s="44">
        <v>0</v>
      </c>
      <c r="CK365" s="44">
        <v>0</v>
      </c>
      <c r="CL365" s="44">
        <v>0</v>
      </c>
      <c r="CM365" s="44">
        <v>0</v>
      </c>
      <c r="CN365" s="44">
        <v>0</v>
      </c>
      <c r="CO365" s="44">
        <v>0</v>
      </c>
      <c r="CP365" s="44">
        <v>0</v>
      </c>
      <c r="CQ365" s="44">
        <v>1</v>
      </c>
      <c r="CR365" s="44">
        <v>0</v>
      </c>
      <c r="CV365" s="44">
        <v>0</v>
      </c>
      <c r="CW365" s="44">
        <v>0</v>
      </c>
    </row>
    <row r="366" s="44" customFormat="1" customHeight="1" spans="1:101">
      <c r="A366" s="45">
        <v>6716</v>
      </c>
      <c r="B366" s="44" t="s">
        <v>573</v>
      </c>
      <c r="O366" s="77"/>
      <c r="P366" s="77">
        <v>0</v>
      </c>
      <c r="Q366" s="77">
        <v>0</v>
      </c>
      <c r="R366" s="77">
        <v>0</v>
      </c>
      <c r="S366" s="64">
        <v>0</v>
      </c>
      <c r="T366" s="64">
        <v>0</v>
      </c>
      <c r="U366" s="64">
        <v>0</v>
      </c>
      <c r="V366" s="64">
        <v>0</v>
      </c>
      <c r="W366" s="63">
        <v>0</v>
      </c>
      <c r="X366" s="63">
        <v>0</v>
      </c>
      <c r="Y366" s="63">
        <v>0</v>
      </c>
      <c r="Z366" s="63">
        <v>0</v>
      </c>
      <c r="AA366" s="78">
        <v>0</v>
      </c>
      <c r="AB366" s="78">
        <v>0</v>
      </c>
      <c r="AC366" s="78">
        <v>0</v>
      </c>
      <c r="AD366" s="78">
        <v>0</v>
      </c>
      <c r="AE366" s="48">
        <v>200192</v>
      </c>
      <c r="AF366" s="44">
        <v>200193</v>
      </c>
      <c r="AG366" s="44">
        <v>200194</v>
      </c>
      <c r="AH366" s="44">
        <v>200083</v>
      </c>
      <c r="AI366" s="44">
        <v>200084</v>
      </c>
      <c r="AJ366" s="44">
        <v>200085</v>
      </c>
      <c r="AU366" s="62">
        <f t="shared" ref="AU366:BJ366" si="141">IF(AE366="","",1)</f>
        <v>1</v>
      </c>
      <c r="AV366" s="44">
        <f t="shared" si="141"/>
        <v>1</v>
      </c>
      <c r="AW366" s="44">
        <f t="shared" si="141"/>
        <v>1</v>
      </c>
      <c r="AX366" s="44">
        <f t="shared" si="141"/>
        <v>1</v>
      </c>
      <c r="AY366" s="44">
        <f t="shared" si="141"/>
        <v>1</v>
      </c>
      <c r="AZ366" s="44">
        <f t="shared" si="141"/>
        <v>1</v>
      </c>
      <c r="BA366" s="44" t="str">
        <f t="shared" si="141"/>
        <v/>
      </c>
      <c r="BB366" s="44" t="str">
        <f t="shared" si="141"/>
        <v/>
      </c>
      <c r="BC366" s="44" t="str">
        <f t="shared" si="141"/>
        <v/>
      </c>
      <c r="BD366" s="44" t="str">
        <f t="shared" si="141"/>
        <v/>
      </c>
      <c r="BE366" s="44" t="str">
        <f t="shared" si="141"/>
        <v/>
      </c>
      <c r="BF366" s="44" t="str">
        <f t="shared" si="141"/>
        <v/>
      </c>
      <c r="BG366" s="44" t="str">
        <f t="shared" si="141"/>
        <v/>
      </c>
      <c r="BH366" s="44" t="str">
        <f t="shared" si="141"/>
        <v/>
      </c>
      <c r="BI366" s="44" t="str">
        <f t="shared" si="141"/>
        <v/>
      </c>
      <c r="BJ366" s="44" t="str">
        <f t="shared" si="141"/>
        <v/>
      </c>
      <c r="BK366" s="62">
        <v>200</v>
      </c>
      <c r="BL366" s="44">
        <v>200</v>
      </c>
      <c r="BM366" s="44">
        <v>100</v>
      </c>
      <c r="BN366" s="44">
        <v>200</v>
      </c>
      <c r="BO366" s="44">
        <v>200</v>
      </c>
      <c r="BP366" s="44">
        <v>100</v>
      </c>
      <c r="CA366" s="44">
        <f t="shared" si="128"/>
        <v>1000</v>
      </c>
      <c r="CB366" s="44">
        <v>1000</v>
      </c>
      <c r="CC366" s="44">
        <v>0</v>
      </c>
      <c r="CD366" s="44">
        <v>0</v>
      </c>
      <c r="CE366" s="44">
        <v>0</v>
      </c>
      <c r="CF366" s="44">
        <v>0</v>
      </c>
      <c r="CG366" s="44">
        <v>0</v>
      </c>
      <c r="CH366" s="44">
        <v>1</v>
      </c>
      <c r="CI366" s="44">
        <v>1</v>
      </c>
      <c r="CJ366" s="44">
        <v>0</v>
      </c>
      <c r="CK366" s="44">
        <v>0</v>
      </c>
      <c r="CL366" s="44">
        <v>0</v>
      </c>
      <c r="CM366" s="44">
        <v>0</v>
      </c>
      <c r="CN366" s="44">
        <v>0</v>
      </c>
      <c r="CO366" s="44">
        <v>0</v>
      </c>
      <c r="CP366" s="44">
        <v>0</v>
      </c>
      <c r="CQ366" s="44">
        <v>1</v>
      </c>
      <c r="CR366" s="44">
        <v>0</v>
      </c>
      <c r="CV366" s="44">
        <v>0</v>
      </c>
      <c r="CW366" s="44">
        <v>0</v>
      </c>
    </row>
    <row r="367" s="44" customFormat="1" customHeight="1" spans="1:101">
      <c r="A367" s="45">
        <v>6717</v>
      </c>
      <c r="B367" s="44" t="s">
        <v>574</v>
      </c>
      <c r="O367" s="77"/>
      <c r="P367" s="77">
        <v>0</v>
      </c>
      <c r="Q367" s="77">
        <v>0</v>
      </c>
      <c r="R367" s="77">
        <v>0</v>
      </c>
      <c r="S367" s="64">
        <v>0</v>
      </c>
      <c r="T367" s="64">
        <v>0</v>
      </c>
      <c r="U367" s="64">
        <v>0</v>
      </c>
      <c r="V367" s="64">
        <v>0</v>
      </c>
      <c r="W367" s="63">
        <v>0</v>
      </c>
      <c r="X367" s="63">
        <v>0</v>
      </c>
      <c r="Y367" s="63">
        <v>0</v>
      </c>
      <c r="Z367" s="63">
        <v>0</v>
      </c>
      <c r="AA367" s="78">
        <v>0</v>
      </c>
      <c r="AB367" s="78">
        <v>0</v>
      </c>
      <c r="AC367" s="78">
        <v>0</v>
      </c>
      <c r="AD367" s="78">
        <v>0</v>
      </c>
      <c r="AE367" s="48">
        <v>200192</v>
      </c>
      <c r="AF367" s="44">
        <v>200193</v>
      </c>
      <c r="AG367" s="44">
        <v>200194</v>
      </c>
      <c r="AH367" s="44">
        <v>200083</v>
      </c>
      <c r="AI367" s="44">
        <v>200084</v>
      </c>
      <c r="AJ367" s="44">
        <v>200085</v>
      </c>
      <c r="AU367" s="62">
        <f>IF(AE367="","",1)</f>
        <v>1</v>
      </c>
      <c r="AV367" s="44">
        <v>1</v>
      </c>
      <c r="AW367" s="44">
        <v>1</v>
      </c>
      <c r="AX367" s="44">
        <v>1</v>
      </c>
      <c r="AY367" s="44">
        <v>1</v>
      </c>
      <c r="AZ367" s="44">
        <v>1</v>
      </c>
      <c r="BK367" s="62">
        <v>200</v>
      </c>
      <c r="BL367" s="44">
        <v>200</v>
      </c>
      <c r="BM367" s="44">
        <v>100</v>
      </c>
      <c r="BN367" s="44">
        <v>200</v>
      </c>
      <c r="BO367" s="44">
        <v>200</v>
      </c>
      <c r="BP367" s="44">
        <v>100</v>
      </c>
      <c r="CA367" s="44">
        <f t="shared" si="128"/>
        <v>1000</v>
      </c>
      <c r="CB367" s="44">
        <v>1000</v>
      </c>
      <c r="CC367" s="44">
        <v>0</v>
      </c>
      <c r="CD367" s="44">
        <v>0</v>
      </c>
      <c r="CE367" s="44">
        <v>0</v>
      </c>
      <c r="CF367" s="44">
        <v>0</v>
      </c>
      <c r="CG367" s="44">
        <v>0</v>
      </c>
      <c r="CH367" s="44">
        <v>1</v>
      </c>
      <c r="CI367" s="44">
        <v>1</v>
      </c>
      <c r="CJ367" s="44">
        <v>0</v>
      </c>
      <c r="CK367" s="44">
        <v>0</v>
      </c>
      <c r="CL367" s="44">
        <v>0</v>
      </c>
      <c r="CM367" s="44">
        <v>0</v>
      </c>
      <c r="CN367" s="44">
        <v>0</v>
      </c>
      <c r="CO367" s="44">
        <v>0</v>
      </c>
      <c r="CP367" s="44">
        <v>0</v>
      </c>
      <c r="CQ367" s="44">
        <v>1</v>
      </c>
      <c r="CR367" s="44">
        <v>0</v>
      </c>
      <c r="CV367" s="44">
        <v>0</v>
      </c>
      <c r="CW367" s="44">
        <v>0</v>
      </c>
    </row>
    <row r="368" s="48" customFormat="1" customHeight="1" spans="1:101">
      <c r="A368" s="95">
        <v>6700</v>
      </c>
      <c r="B368" s="80" t="s">
        <v>575</v>
      </c>
      <c r="N368" s="44"/>
      <c r="O368" s="77">
        <v>0</v>
      </c>
      <c r="P368" s="77">
        <v>0</v>
      </c>
      <c r="Q368" s="77">
        <v>0</v>
      </c>
      <c r="R368" s="77">
        <v>0</v>
      </c>
      <c r="S368" s="64">
        <v>0</v>
      </c>
      <c r="T368" s="64">
        <v>0</v>
      </c>
      <c r="U368" s="64">
        <v>0</v>
      </c>
      <c r="V368" s="64">
        <v>0</v>
      </c>
      <c r="W368" s="63">
        <v>0</v>
      </c>
      <c r="X368" s="63">
        <v>0</v>
      </c>
      <c r="Y368" s="63">
        <v>0</v>
      </c>
      <c r="Z368" s="63">
        <v>0</v>
      </c>
      <c r="AA368" s="78">
        <v>0</v>
      </c>
      <c r="AB368" s="78">
        <v>0</v>
      </c>
      <c r="AC368" s="78">
        <v>0</v>
      </c>
      <c r="AD368" s="78">
        <v>0</v>
      </c>
      <c r="AE368" s="48">
        <v>200413</v>
      </c>
      <c r="AF368" s="44">
        <v>200414</v>
      </c>
      <c r="AG368" s="44">
        <v>200415</v>
      </c>
      <c r="AH368" s="44">
        <v>200421</v>
      </c>
      <c r="AI368" s="44">
        <v>200422</v>
      </c>
      <c r="AJ368" s="44">
        <v>200423</v>
      </c>
      <c r="AK368" s="48">
        <v>200565</v>
      </c>
      <c r="AL368" s="48">
        <v>200566</v>
      </c>
      <c r="AM368" s="48">
        <v>200567</v>
      </c>
      <c r="AN368" s="48">
        <v>200672</v>
      </c>
      <c r="AO368" s="48">
        <v>200673</v>
      </c>
      <c r="AP368" s="48">
        <v>200674</v>
      </c>
      <c r="AQ368" s="48">
        <v>200675</v>
      </c>
      <c r="AR368" s="48">
        <v>200568</v>
      </c>
      <c r="AU368" s="62">
        <v>1</v>
      </c>
      <c r="AV368" s="48">
        <v>1</v>
      </c>
      <c r="AW368" s="48">
        <v>1</v>
      </c>
      <c r="AX368" s="48">
        <v>1</v>
      </c>
      <c r="AY368" s="48">
        <v>1</v>
      </c>
      <c r="AZ368" s="48">
        <v>1</v>
      </c>
      <c r="BA368" s="48">
        <v>1</v>
      </c>
      <c r="BB368" s="48">
        <v>1</v>
      </c>
      <c r="BC368" s="48">
        <v>1</v>
      </c>
      <c r="BD368" s="48">
        <v>1</v>
      </c>
      <c r="BE368" s="48">
        <v>1</v>
      </c>
      <c r="BF368" s="48">
        <v>1</v>
      </c>
      <c r="BG368" s="48">
        <v>1</v>
      </c>
      <c r="BH368" s="48">
        <v>1</v>
      </c>
      <c r="BK368" s="62">
        <v>15</v>
      </c>
      <c r="BL368" s="48">
        <v>14</v>
      </c>
      <c r="BM368" s="48">
        <v>13</v>
      </c>
      <c r="BN368" s="48">
        <v>12</v>
      </c>
      <c r="BO368" s="48">
        <v>11</v>
      </c>
      <c r="BP368" s="48">
        <v>10</v>
      </c>
      <c r="BQ368" s="48">
        <v>7</v>
      </c>
      <c r="BR368" s="48">
        <v>6</v>
      </c>
      <c r="BS368" s="48">
        <v>6</v>
      </c>
      <c r="BT368" s="48">
        <v>6</v>
      </c>
      <c r="BU368" s="48">
        <v>6</v>
      </c>
      <c r="BV368" s="48">
        <v>6</v>
      </c>
      <c r="BW368" s="48">
        <v>5</v>
      </c>
      <c r="BX368" s="48">
        <v>5</v>
      </c>
      <c r="CA368" s="48">
        <v>122</v>
      </c>
      <c r="CB368" s="48">
        <v>122</v>
      </c>
      <c r="CC368" s="48">
        <v>0</v>
      </c>
      <c r="CD368" s="48">
        <v>0</v>
      </c>
      <c r="CE368" s="48">
        <v>0</v>
      </c>
      <c r="CF368" s="48">
        <v>0</v>
      </c>
      <c r="CG368" s="48">
        <v>0</v>
      </c>
      <c r="CH368" s="48">
        <f>IF(RIGHT(B368,1)="0",1,0)</f>
        <v>1</v>
      </c>
      <c r="CI368" s="48">
        <v>1</v>
      </c>
      <c r="CJ368" s="48">
        <v>0</v>
      </c>
      <c r="CK368" s="48">
        <v>0</v>
      </c>
      <c r="CL368" s="48">
        <v>0</v>
      </c>
      <c r="CM368" s="48">
        <v>0</v>
      </c>
      <c r="CN368" s="48">
        <v>0</v>
      </c>
      <c r="CO368" s="48">
        <v>0</v>
      </c>
      <c r="CP368" s="48">
        <v>0</v>
      </c>
      <c r="CQ368" s="48">
        <v>0</v>
      </c>
      <c r="CR368" s="48">
        <v>0</v>
      </c>
      <c r="CV368" s="48">
        <v>0</v>
      </c>
      <c r="CW368" s="48">
        <v>0</v>
      </c>
    </row>
    <row r="369" s="48" customFormat="1" customHeight="1" spans="1:101">
      <c r="A369" s="95">
        <v>6701</v>
      </c>
      <c r="B369" s="80" t="s">
        <v>576</v>
      </c>
      <c r="N369" s="44"/>
      <c r="O369" s="77">
        <v>0</v>
      </c>
      <c r="P369" s="77">
        <v>0</v>
      </c>
      <c r="Q369" s="77">
        <v>0</v>
      </c>
      <c r="R369" s="77">
        <v>0</v>
      </c>
      <c r="S369" s="64">
        <v>0</v>
      </c>
      <c r="T369" s="64">
        <v>0</v>
      </c>
      <c r="U369" s="64">
        <v>0</v>
      </c>
      <c r="V369" s="64">
        <v>0</v>
      </c>
      <c r="W369" s="63">
        <v>0</v>
      </c>
      <c r="X369" s="63">
        <v>0</v>
      </c>
      <c r="Y369" s="63">
        <v>0</v>
      </c>
      <c r="Z369" s="63">
        <v>0</v>
      </c>
      <c r="AA369" s="78">
        <v>0</v>
      </c>
      <c r="AB369" s="78">
        <v>0</v>
      </c>
      <c r="AC369" s="78">
        <v>0</v>
      </c>
      <c r="AD369" s="78">
        <v>0</v>
      </c>
      <c r="AE369" s="48">
        <v>200413</v>
      </c>
      <c r="AF369" s="44">
        <v>200414</v>
      </c>
      <c r="AG369" s="44">
        <v>200415</v>
      </c>
      <c r="AH369" s="48">
        <v>200421</v>
      </c>
      <c r="AI369" s="48">
        <v>200422</v>
      </c>
      <c r="AJ369" s="48">
        <v>200423</v>
      </c>
      <c r="AK369" s="44">
        <v>200565</v>
      </c>
      <c r="AL369" s="44">
        <v>200566</v>
      </c>
      <c r="AM369" s="44">
        <v>200567</v>
      </c>
      <c r="AN369" s="48">
        <v>200672</v>
      </c>
      <c r="AO369" s="48">
        <v>200673</v>
      </c>
      <c r="AP369" s="48">
        <v>200674</v>
      </c>
      <c r="AQ369" s="48">
        <v>200675</v>
      </c>
      <c r="AR369" s="48">
        <v>200568</v>
      </c>
      <c r="AU369" s="62">
        <v>2</v>
      </c>
      <c r="AV369" s="48">
        <v>2</v>
      </c>
      <c r="AW369" s="48">
        <v>2</v>
      </c>
      <c r="AX369" s="48">
        <v>2</v>
      </c>
      <c r="AY369" s="48">
        <v>2</v>
      </c>
      <c r="AZ369" s="48">
        <v>2</v>
      </c>
      <c r="BA369" s="48">
        <v>2</v>
      </c>
      <c r="BB369" s="48">
        <v>2</v>
      </c>
      <c r="BC369" s="48">
        <v>2</v>
      </c>
      <c r="BD369" s="48">
        <v>2</v>
      </c>
      <c r="BE369" s="48">
        <v>2</v>
      </c>
      <c r="BF369" s="48">
        <v>2</v>
      </c>
      <c r="BG369" s="48">
        <v>2</v>
      </c>
      <c r="BH369" s="48">
        <v>2</v>
      </c>
      <c r="BK369" s="62">
        <v>15</v>
      </c>
      <c r="BL369" s="48">
        <v>14</v>
      </c>
      <c r="BM369" s="48">
        <v>13</v>
      </c>
      <c r="BN369" s="48">
        <v>12</v>
      </c>
      <c r="BO369" s="48">
        <v>11</v>
      </c>
      <c r="BP369" s="48">
        <v>10</v>
      </c>
      <c r="BQ369" s="48">
        <v>7</v>
      </c>
      <c r="BR369" s="48">
        <v>6</v>
      </c>
      <c r="BS369" s="48">
        <v>6</v>
      </c>
      <c r="BT369" s="48">
        <v>6</v>
      </c>
      <c r="BU369" s="48">
        <v>6</v>
      </c>
      <c r="BV369" s="48">
        <v>6</v>
      </c>
      <c r="BW369" s="48">
        <v>5</v>
      </c>
      <c r="BX369" s="48">
        <v>5</v>
      </c>
      <c r="CA369" s="48">
        <v>122</v>
      </c>
      <c r="CB369" s="48">
        <v>122</v>
      </c>
      <c r="CC369" s="48">
        <v>0</v>
      </c>
      <c r="CD369" s="48">
        <v>0</v>
      </c>
      <c r="CE369" s="48">
        <v>0</v>
      </c>
      <c r="CF369" s="48">
        <v>0</v>
      </c>
      <c r="CG369" s="48">
        <v>0</v>
      </c>
      <c r="CH369" s="48">
        <v>1</v>
      </c>
      <c r="CI369" s="48">
        <v>1</v>
      </c>
      <c r="CJ369" s="48">
        <v>0</v>
      </c>
      <c r="CK369" s="48">
        <v>0</v>
      </c>
      <c r="CL369" s="48">
        <v>0</v>
      </c>
      <c r="CM369" s="48">
        <v>0</v>
      </c>
      <c r="CN369" s="48">
        <v>0</v>
      </c>
      <c r="CO369" s="48">
        <v>0</v>
      </c>
      <c r="CP369" s="48">
        <v>0</v>
      </c>
      <c r="CQ369" s="48">
        <v>1</v>
      </c>
      <c r="CR369" s="48">
        <v>0</v>
      </c>
      <c r="CV369" s="48">
        <v>0</v>
      </c>
      <c r="CW369" s="48">
        <v>0</v>
      </c>
    </row>
    <row r="370" s="48" customFormat="1" customHeight="1" spans="1:101">
      <c r="A370" s="95">
        <v>6718</v>
      </c>
      <c r="B370" s="48" t="s">
        <v>577</v>
      </c>
      <c r="N370" s="44"/>
      <c r="O370" s="77">
        <v>0</v>
      </c>
      <c r="P370" s="77">
        <v>0</v>
      </c>
      <c r="Q370" s="77">
        <v>0</v>
      </c>
      <c r="R370" s="77">
        <v>0</v>
      </c>
      <c r="S370" s="64">
        <v>0</v>
      </c>
      <c r="T370" s="64">
        <v>0</v>
      </c>
      <c r="U370" s="64">
        <v>0</v>
      </c>
      <c r="V370" s="64">
        <v>0</v>
      </c>
      <c r="W370" s="63">
        <v>0</v>
      </c>
      <c r="X370" s="63">
        <v>0</v>
      </c>
      <c r="Y370" s="63">
        <v>0</v>
      </c>
      <c r="Z370" s="63">
        <v>0</v>
      </c>
      <c r="AA370" s="78">
        <v>0</v>
      </c>
      <c r="AB370" s="78">
        <v>0</v>
      </c>
      <c r="AC370" s="78">
        <v>0</v>
      </c>
      <c r="AD370" s="78">
        <v>0</v>
      </c>
      <c r="AE370" s="48">
        <v>200413</v>
      </c>
      <c r="AF370" s="44">
        <v>200414</v>
      </c>
      <c r="AG370" s="44">
        <v>200415</v>
      </c>
      <c r="AH370" s="44">
        <v>200421</v>
      </c>
      <c r="AI370" s="44">
        <v>200422</v>
      </c>
      <c r="AJ370" s="44">
        <v>200423</v>
      </c>
      <c r="AK370" s="44">
        <v>200565</v>
      </c>
      <c r="AL370" s="48">
        <v>200566</v>
      </c>
      <c r="AM370" s="48">
        <v>200567</v>
      </c>
      <c r="AN370" s="48">
        <v>200672</v>
      </c>
      <c r="AO370" s="48">
        <v>200673</v>
      </c>
      <c r="AP370" s="48">
        <v>200674</v>
      </c>
      <c r="AQ370" s="48">
        <v>200675</v>
      </c>
      <c r="AR370" s="48">
        <v>200568</v>
      </c>
      <c r="AU370" s="62">
        <v>3</v>
      </c>
      <c r="AV370" s="48">
        <v>3</v>
      </c>
      <c r="AW370" s="48">
        <v>3</v>
      </c>
      <c r="AX370" s="48">
        <v>3</v>
      </c>
      <c r="AY370" s="48">
        <v>3</v>
      </c>
      <c r="AZ370" s="48">
        <v>3</v>
      </c>
      <c r="BA370" s="48">
        <v>3</v>
      </c>
      <c r="BB370" s="48">
        <v>3</v>
      </c>
      <c r="BC370" s="48">
        <v>3</v>
      </c>
      <c r="BD370" s="48">
        <v>3</v>
      </c>
      <c r="BE370" s="48">
        <v>3</v>
      </c>
      <c r="BF370" s="48">
        <v>3</v>
      </c>
      <c r="BG370" s="48">
        <v>3</v>
      </c>
      <c r="BH370" s="48">
        <v>3</v>
      </c>
      <c r="BK370" s="62">
        <v>15</v>
      </c>
      <c r="BL370" s="48">
        <v>14</v>
      </c>
      <c r="BM370" s="48">
        <v>13</v>
      </c>
      <c r="BN370" s="48">
        <v>12</v>
      </c>
      <c r="BO370" s="48">
        <v>11</v>
      </c>
      <c r="BP370" s="48">
        <v>10</v>
      </c>
      <c r="BQ370" s="48">
        <v>7</v>
      </c>
      <c r="BR370" s="48">
        <v>6</v>
      </c>
      <c r="BS370" s="48">
        <v>6</v>
      </c>
      <c r="BT370" s="48">
        <v>6</v>
      </c>
      <c r="BU370" s="48">
        <v>6</v>
      </c>
      <c r="BV370" s="48">
        <v>6</v>
      </c>
      <c r="BW370" s="48">
        <v>5</v>
      </c>
      <c r="BX370" s="48">
        <v>5</v>
      </c>
      <c r="CA370" s="48">
        <v>122</v>
      </c>
      <c r="CB370" s="48">
        <v>122</v>
      </c>
      <c r="CC370" s="48">
        <v>0</v>
      </c>
      <c r="CD370" s="48">
        <v>0</v>
      </c>
      <c r="CE370" s="48">
        <v>0</v>
      </c>
      <c r="CF370" s="48">
        <v>192811</v>
      </c>
      <c r="CG370" s="48">
        <v>0</v>
      </c>
      <c r="CH370" s="48">
        <v>1</v>
      </c>
      <c r="CI370" s="48">
        <v>1</v>
      </c>
      <c r="CJ370" s="48">
        <v>0</v>
      </c>
      <c r="CK370" s="48">
        <v>0</v>
      </c>
      <c r="CL370" s="48">
        <v>0</v>
      </c>
      <c r="CM370" s="48">
        <v>0</v>
      </c>
      <c r="CN370" s="48">
        <v>0</v>
      </c>
      <c r="CO370" s="48">
        <v>0</v>
      </c>
      <c r="CP370" s="48">
        <v>0</v>
      </c>
      <c r="CQ370" s="48">
        <v>1</v>
      </c>
      <c r="CR370" s="48">
        <v>0</v>
      </c>
      <c r="CV370" s="48">
        <v>0</v>
      </c>
      <c r="CW370" s="48">
        <v>0</v>
      </c>
    </row>
    <row r="371" s="48" customFormat="1" customHeight="1" spans="1:101">
      <c r="A371" s="95">
        <v>6719</v>
      </c>
      <c r="B371" s="48" t="s">
        <v>578</v>
      </c>
      <c r="N371" s="44"/>
      <c r="O371" s="77">
        <v>0</v>
      </c>
      <c r="P371" s="77">
        <v>0</v>
      </c>
      <c r="Q371" s="77">
        <v>0</v>
      </c>
      <c r="R371" s="77">
        <v>0</v>
      </c>
      <c r="S371" s="64">
        <v>0</v>
      </c>
      <c r="T371" s="64">
        <v>0</v>
      </c>
      <c r="U371" s="64">
        <v>0</v>
      </c>
      <c r="V371" s="64">
        <v>0</v>
      </c>
      <c r="W371" s="63">
        <v>0</v>
      </c>
      <c r="X371" s="63">
        <v>0</v>
      </c>
      <c r="Y371" s="63">
        <v>0</v>
      </c>
      <c r="Z371" s="63">
        <v>0</v>
      </c>
      <c r="AA371" s="78">
        <v>0</v>
      </c>
      <c r="AB371" s="78">
        <v>0</v>
      </c>
      <c r="AC371" s="78">
        <v>0</v>
      </c>
      <c r="AD371" s="78">
        <v>0</v>
      </c>
      <c r="AE371" s="48">
        <v>200413</v>
      </c>
      <c r="AF371" s="44">
        <v>200414</v>
      </c>
      <c r="AG371" s="44">
        <v>200415</v>
      </c>
      <c r="AH371" s="44">
        <v>200421</v>
      </c>
      <c r="AI371" s="44">
        <v>200422</v>
      </c>
      <c r="AJ371" s="44">
        <v>200423</v>
      </c>
      <c r="AK371" s="44">
        <v>200565</v>
      </c>
      <c r="AL371" s="48">
        <v>200566</v>
      </c>
      <c r="AM371" s="48">
        <v>200567</v>
      </c>
      <c r="AN371" s="48">
        <v>200672</v>
      </c>
      <c r="AO371" s="48">
        <v>200673</v>
      </c>
      <c r="AP371" s="48">
        <v>200674</v>
      </c>
      <c r="AQ371" s="48">
        <v>200675</v>
      </c>
      <c r="AR371" s="48">
        <v>200568</v>
      </c>
      <c r="AU371" s="62">
        <v>3</v>
      </c>
      <c r="AV371" s="48">
        <v>3</v>
      </c>
      <c r="AW371" s="48">
        <v>3</v>
      </c>
      <c r="AX371" s="48">
        <v>3</v>
      </c>
      <c r="AY371" s="48">
        <v>3</v>
      </c>
      <c r="AZ371" s="48">
        <v>3</v>
      </c>
      <c r="BA371" s="48">
        <v>3</v>
      </c>
      <c r="BB371" s="48">
        <v>3</v>
      </c>
      <c r="BC371" s="48">
        <v>3</v>
      </c>
      <c r="BD371" s="48">
        <v>3</v>
      </c>
      <c r="BE371" s="48">
        <v>3</v>
      </c>
      <c r="BF371" s="48">
        <v>3</v>
      </c>
      <c r="BG371" s="48">
        <v>3</v>
      </c>
      <c r="BH371" s="48">
        <v>3</v>
      </c>
      <c r="BK371" s="62">
        <v>15</v>
      </c>
      <c r="BL371" s="48">
        <v>14</v>
      </c>
      <c r="BM371" s="48">
        <v>13</v>
      </c>
      <c r="BN371" s="48">
        <v>12</v>
      </c>
      <c r="BO371" s="48">
        <v>11</v>
      </c>
      <c r="BP371" s="48">
        <v>10</v>
      </c>
      <c r="BQ371" s="48">
        <v>7</v>
      </c>
      <c r="BR371" s="48">
        <v>6</v>
      </c>
      <c r="BS371" s="48">
        <v>6</v>
      </c>
      <c r="BT371" s="48">
        <v>6</v>
      </c>
      <c r="BU371" s="48">
        <v>6</v>
      </c>
      <c r="BV371" s="48">
        <v>6</v>
      </c>
      <c r="BW371" s="48">
        <v>5</v>
      </c>
      <c r="BX371" s="48">
        <v>5</v>
      </c>
      <c r="CA371" s="48">
        <v>122</v>
      </c>
      <c r="CB371" s="48">
        <v>122</v>
      </c>
      <c r="CC371" s="48">
        <v>0</v>
      </c>
      <c r="CD371" s="48">
        <v>0</v>
      </c>
      <c r="CE371" s="48">
        <v>0</v>
      </c>
      <c r="CF371" s="48">
        <v>192812</v>
      </c>
      <c r="CG371" s="48">
        <v>0</v>
      </c>
      <c r="CH371" s="48">
        <v>1</v>
      </c>
      <c r="CI371" s="48">
        <v>1</v>
      </c>
      <c r="CJ371" s="48">
        <v>0</v>
      </c>
      <c r="CK371" s="48">
        <v>0</v>
      </c>
      <c r="CL371" s="48">
        <v>0</v>
      </c>
      <c r="CM371" s="48">
        <v>0</v>
      </c>
      <c r="CN371" s="48">
        <v>0</v>
      </c>
      <c r="CO371" s="48">
        <v>0</v>
      </c>
      <c r="CP371" s="48">
        <v>0</v>
      </c>
      <c r="CQ371" s="48">
        <v>1</v>
      </c>
      <c r="CR371" s="48">
        <v>0</v>
      </c>
      <c r="CV371" s="48">
        <v>0</v>
      </c>
      <c r="CW371" s="48">
        <v>0</v>
      </c>
    </row>
    <row r="372" s="48" customFormat="1" customHeight="1" spans="1:101">
      <c r="A372" s="95">
        <v>6720</v>
      </c>
      <c r="B372" s="48" t="s">
        <v>579</v>
      </c>
      <c r="N372" s="44"/>
      <c r="O372" s="77">
        <v>0</v>
      </c>
      <c r="P372" s="77">
        <v>0</v>
      </c>
      <c r="Q372" s="77">
        <v>0</v>
      </c>
      <c r="R372" s="77">
        <v>0</v>
      </c>
      <c r="S372" s="64">
        <v>0</v>
      </c>
      <c r="T372" s="64">
        <v>0</v>
      </c>
      <c r="U372" s="64">
        <v>0</v>
      </c>
      <c r="V372" s="64">
        <v>0</v>
      </c>
      <c r="W372" s="63">
        <v>0</v>
      </c>
      <c r="X372" s="63">
        <v>0</v>
      </c>
      <c r="Y372" s="63">
        <v>0</v>
      </c>
      <c r="Z372" s="63">
        <v>0</v>
      </c>
      <c r="AA372" s="78">
        <v>0</v>
      </c>
      <c r="AB372" s="78">
        <v>0</v>
      </c>
      <c r="AC372" s="78">
        <v>0</v>
      </c>
      <c r="AD372" s="78">
        <v>0</v>
      </c>
      <c r="AE372" s="48">
        <v>200413</v>
      </c>
      <c r="AF372" s="44">
        <v>200414</v>
      </c>
      <c r="AG372" s="44">
        <v>200415</v>
      </c>
      <c r="AH372" s="44">
        <v>200421</v>
      </c>
      <c r="AI372" s="44">
        <v>200422</v>
      </c>
      <c r="AJ372" s="44">
        <v>200423</v>
      </c>
      <c r="AK372" s="44">
        <v>200565</v>
      </c>
      <c r="AL372" s="48">
        <v>200566</v>
      </c>
      <c r="AM372" s="48">
        <v>200567</v>
      </c>
      <c r="AN372" s="48">
        <v>200672</v>
      </c>
      <c r="AO372" s="48">
        <v>200673</v>
      </c>
      <c r="AP372" s="48">
        <v>200674</v>
      </c>
      <c r="AQ372" s="48">
        <v>200675</v>
      </c>
      <c r="AR372" s="48">
        <v>200568</v>
      </c>
      <c r="AU372" s="62">
        <v>4</v>
      </c>
      <c r="AV372" s="48">
        <v>4</v>
      </c>
      <c r="AW372" s="48">
        <v>4</v>
      </c>
      <c r="AX372" s="48">
        <v>4</v>
      </c>
      <c r="AY372" s="48">
        <v>4</v>
      </c>
      <c r="AZ372" s="48">
        <v>4</v>
      </c>
      <c r="BA372" s="48">
        <v>4</v>
      </c>
      <c r="BB372" s="48">
        <v>4</v>
      </c>
      <c r="BC372" s="48">
        <v>4</v>
      </c>
      <c r="BD372" s="48">
        <v>4</v>
      </c>
      <c r="BE372" s="48">
        <v>4</v>
      </c>
      <c r="BF372" s="48">
        <v>4</v>
      </c>
      <c r="BG372" s="48">
        <v>4</v>
      </c>
      <c r="BH372" s="48">
        <v>4</v>
      </c>
      <c r="BK372" s="62">
        <v>15</v>
      </c>
      <c r="BL372" s="48">
        <v>14</v>
      </c>
      <c r="BM372" s="48">
        <v>13</v>
      </c>
      <c r="BN372" s="48">
        <v>12</v>
      </c>
      <c r="BO372" s="48">
        <v>11</v>
      </c>
      <c r="BP372" s="48">
        <v>10</v>
      </c>
      <c r="BQ372" s="48">
        <v>7</v>
      </c>
      <c r="BR372" s="48">
        <v>6</v>
      </c>
      <c r="BS372" s="48">
        <v>6</v>
      </c>
      <c r="BT372" s="48">
        <v>6</v>
      </c>
      <c r="BU372" s="48">
        <v>6</v>
      </c>
      <c r="BV372" s="48">
        <v>6</v>
      </c>
      <c r="BW372" s="48">
        <v>5</v>
      </c>
      <c r="BX372" s="48">
        <v>5</v>
      </c>
      <c r="CA372" s="48">
        <v>122</v>
      </c>
      <c r="CB372" s="48">
        <v>122</v>
      </c>
      <c r="CC372" s="48">
        <v>0</v>
      </c>
      <c r="CD372" s="48">
        <v>0</v>
      </c>
      <c r="CE372" s="48">
        <v>0</v>
      </c>
      <c r="CF372" s="48">
        <v>192813</v>
      </c>
      <c r="CG372" s="48">
        <v>0</v>
      </c>
      <c r="CH372" s="48">
        <v>1</v>
      </c>
      <c r="CI372" s="48">
        <v>1</v>
      </c>
      <c r="CJ372" s="48">
        <v>0</v>
      </c>
      <c r="CK372" s="48">
        <v>0</v>
      </c>
      <c r="CL372" s="48">
        <v>0</v>
      </c>
      <c r="CM372" s="48">
        <v>0</v>
      </c>
      <c r="CN372" s="48">
        <v>0</v>
      </c>
      <c r="CO372" s="48">
        <v>0</v>
      </c>
      <c r="CP372" s="48">
        <v>0</v>
      </c>
      <c r="CQ372" s="48">
        <v>1</v>
      </c>
      <c r="CR372" s="48">
        <v>0</v>
      </c>
      <c r="CV372" s="48">
        <v>0</v>
      </c>
      <c r="CW372" s="48">
        <v>0</v>
      </c>
    </row>
    <row r="373" s="48" customFormat="1" customHeight="1" spans="1:101">
      <c r="A373" s="95">
        <v>6721</v>
      </c>
      <c r="B373" s="48" t="s">
        <v>580</v>
      </c>
      <c r="N373" s="44"/>
      <c r="O373" s="77">
        <v>0</v>
      </c>
      <c r="P373" s="77">
        <v>0</v>
      </c>
      <c r="Q373" s="77">
        <v>0</v>
      </c>
      <c r="R373" s="77">
        <v>0</v>
      </c>
      <c r="S373" s="64">
        <v>0</v>
      </c>
      <c r="T373" s="64">
        <v>0</v>
      </c>
      <c r="U373" s="64">
        <v>0</v>
      </c>
      <c r="V373" s="64">
        <v>0</v>
      </c>
      <c r="W373" s="63">
        <v>0</v>
      </c>
      <c r="X373" s="63">
        <v>0</v>
      </c>
      <c r="Y373" s="63">
        <v>0</v>
      </c>
      <c r="Z373" s="63">
        <v>0</v>
      </c>
      <c r="AA373" s="78">
        <v>0</v>
      </c>
      <c r="AB373" s="78">
        <v>0</v>
      </c>
      <c r="AC373" s="78">
        <v>0</v>
      </c>
      <c r="AD373" s="78">
        <v>0</v>
      </c>
      <c r="AE373" s="48">
        <v>200569</v>
      </c>
      <c r="AF373" s="48">
        <v>200570</v>
      </c>
      <c r="AG373" s="48">
        <v>200571</v>
      </c>
      <c r="AH373" s="48">
        <v>200572</v>
      </c>
      <c r="AI373" s="48">
        <v>200573</v>
      </c>
      <c r="AJ373" s="48">
        <v>200574</v>
      </c>
      <c r="AK373" s="48">
        <v>200584</v>
      </c>
      <c r="AL373" s="48">
        <v>200678</v>
      </c>
      <c r="AM373" s="48">
        <v>200683</v>
      </c>
      <c r="AN373" s="44">
        <v>200584</v>
      </c>
      <c r="AO373" s="44">
        <v>200756</v>
      </c>
      <c r="AU373" s="62">
        <v>1</v>
      </c>
      <c r="AV373" s="48">
        <v>1</v>
      </c>
      <c r="AW373" s="48">
        <v>1</v>
      </c>
      <c r="AX373" s="48">
        <v>1</v>
      </c>
      <c r="AY373" s="48">
        <v>1</v>
      </c>
      <c r="AZ373" s="48">
        <v>1</v>
      </c>
      <c r="BA373" s="48">
        <v>1</v>
      </c>
      <c r="BB373" s="48">
        <v>1</v>
      </c>
      <c r="BC373" s="48">
        <v>50</v>
      </c>
      <c r="BD373" s="48">
        <v>1</v>
      </c>
      <c r="BE373" s="48">
        <v>1</v>
      </c>
      <c r="BK373" s="62">
        <v>100</v>
      </c>
      <c r="BL373" s="48">
        <v>100</v>
      </c>
      <c r="BM373" s="48">
        <v>100</v>
      </c>
      <c r="BN373" s="48">
        <v>100</v>
      </c>
      <c r="BO373" s="48">
        <v>100</v>
      </c>
      <c r="BP373" s="48">
        <v>100</v>
      </c>
      <c r="BQ373" s="48">
        <v>100</v>
      </c>
      <c r="BR373" s="48">
        <v>100</v>
      </c>
      <c r="BS373" s="48">
        <v>100</v>
      </c>
      <c r="BT373" s="48">
        <v>100</v>
      </c>
      <c r="BU373" s="48">
        <v>100</v>
      </c>
      <c r="CA373" s="48">
        <v>1000</v>
      </c>
      <c r="CB373" s="48">
        <v>1000</v>
      </c>
      <c r="CC373" s="48">
        <v>0</v>
      </c>
      <c r="CD373" s="48">
        <v>0</v>
      </c>
      <c r="CE373" s="48">
        <v>0</v>
      </c>
      <c r="CF373" s="48">
        <v>192814</v>
      </c>
      <c r="CG373" s="48">
        <v>0</v>
      </c>
      <c r="CH373" s="48">
        <v>1</v>
      </c>
      <c r="CI373" s="48">
        <v>1</v>
      </c>
      <c r="CJ373" s="48">
        <v>0</v>
      </c>
      <c r="CK373" s="48">
        <v>0</v>
      </c>
      <c r="CL373" s="48">
        <v>0</v>
      </c>
      <c r="CM373" s="48">
        <v>0</v>
      </c>
      <c r="CN373" s="48">
        <v>0</v>
      </c>
      <c r="CO373" s="48">
        <v>0</v>
      </c>
      <c r="CP373" s="48">
        <v>0</v>
      </c>
      <c r="CQ373" s="48">
        <v>1</v>
      </c>
      <c r="CR373" s="48">
        <v>0</v>
      </c>
      <c r="CV373" s="48">
        <v>0</v>
      </c>
      <c r="CW373" s="48">
        <v>0</v>
      </c>
    </row>
    <row r="374" s="44" customFormat="1" customHeight="1" spans="1:101">
      <c r="A374" s="45">
        <v>6722</v>
      </c>
      <c r="B374" s="44" t="s">
        <v>581</v>
      </c>
      <c r="O374" s="77">
        <v>200208</v>
      </c>
      <c r="P374" s="77">
        <v>1</v>
      </c>
      <c r="Q374" s="77">
        <v>0</v>
      </c>
      <c r="R374" s="77">
        <v>0</v>
      </c>
      <c r="S374" s="64">
        <v>0</v>
      </c>
      <c r="T374" s="64">
        <v>0</v>
      </c>
      <c r="U374" s="64">
        <v>0</v>
      </c>
      <c r="V374" s="64">
        <v>0</v>
      </c>
      <c r="W374" s="63">
        <v>0</v>
      </c>
      <c r="X374" s="63">
        <v>0</v>
      </c>
      <c r="Y374" s="63">
        <v>0</v>
      </c>
      <c r="Z374" s="63">
        <v>0</v>
      </c>
      <c r="AA374" s="78">
        <v>0</v>
      </c>
      <c r="AB374" s="78">
        <v>0</v>
      </c>
      <c r="AC374" s="78">
        <v>0</v>
      </c>
      <c r="AD374" s="78">
        <v>0</v>
      </c>
      <c r="AE374" s="48"/>
      <c r="AU374" s="62"/>
      <c r="BK374" s="62"/>
      <c r="CA374" s="44">
        <v>1000</v>
      </c>
      <c r="CB374" s="44">
        <v>1000</v>
      </c>
      <c r="CC374" s="44">
        <v>0</v>
      </c>
      <c r="CD374" s="44">
        <v>0</v>
      </c>
      <c r="CE374" s="44">
        <v>0</v>
      </c>
      <c r="CF374" s="44">
        <v>0</v>
      </c>
      <c r="CG374" s="44">
        <v>0</v>
      </c>
      <c r="CH374" s="44">
        <v>0</v>
      </c>
      <c r="CI374" s="44">
        <v>1</v>
      </c>
      <c r="CK374" s="44">
        <v>0</v>
      </c>
      <c r="CL374" s="44">
        <v>0</v>
      </c>
      <c r="CM374" s="44">
        <v>0</v>
      </c>
      <c r="CN374" s="44">
        <v>0</v>
      </c>
      <c r="CO374" s="44">
        <v>0</v>
      </c>
      <c r="CP374" s="44">
        <v>0</v>
      </c>
      <c r="CQ374" s="44">
        <v>1</v>
      </c>
      <c r="CR374" s="44">
        <v>0</v>
      </c>
      <c r="CV374" s="44">
        <v>0</v>
      </c>
      <c r="CW374" s="44">
        <v>0</v>
      </c>
    </row>
    <row r="375" s="44" customFormat="1" customHeight="1" spans="1:101">
      <c r="A375" s="45">
        <v>6730</v>
      </c>
      <c r="B375" s="79" t="s">
        <v>582</v>
      </c>
      <c r="O375" s="77">
        <v>0</v>
      </c>
      <c r="P375" s="77">
        <v>0</v>
      </c>
      <c r="Q375" s="77">
        <v>0</v>
      </c>
      <c r="R375" s="77">
        <v>0</v>
      </c>
      <c r="S375" s="64">
        <v>0</v>
      </c>
      <c r="T375" s="64">
        <v>0</v>
      </c>
      <c r="U375" s="64">
        <v>0</v>
      </c>
      <c r="V375" s="64">
        <v>0</v>
      </c>
      <c r="W375" s="63">
        <v>0</v>
      </c>
      <c r="X375" s="63">
        <v>0</v>
      </c>
      <c r="Y375" s="63">
        <v>0</v>
      </c>
      <c r="Z375" s="63">
        <v>0</v>
      </c>
      <c r="AA375" s="78">
        <v>0</v>
      </c>
      <c r="AB375" s="78">
        <v>0</v>
      </c>
      <c r="AC375" s="78">
        <v>0</v>
      </c>
      <c r="AD375" s="78">
        <v>0</v>
      </c>
      <c r="AE375" s="48">
        <v>200213</v>
      </c>
      <c r="AF375" s="44">
        <v>200214</v>
      </c>
      <c r="AG375" s="44">
        <v>200215</v>
      </c>
      <c r="AU375" s="62">
        <v>1</v>
      </c>
      <c r="AV375" s="44">
        <v>1</v>
      </c>
      <c r="AW375" s="44">
        <v>1</v>
      </c>
      <c r="BK375" s="62">
        <v>900</v>
      </c>
      <c r="BL375" s="44">
        <v>90</v>
      </c>
      <c r="BM375" s="44">
        <v>10</v>
      </c>
      <c r="CA375" s="44">
        <v>1000</v>
      </c>
      <c r="CB375" s="44">
        <v>1000</v>
      </c>
      <c r="CC375" s="44">
        <v>0</v>
      </c>
      <c r="CD375" s="44">
        <v>1</v>
      </c>
      <c r="CE375" s="44">
        <v>0</v>
      </c>
      <c r="CF375" s="44">
        <v>0</v>
      </c>
      <c r="CG375" s="44">
        <v>0</v>
      </c>
      <c r="CH375" s="44">
        <v>0</v>
      </c>
      <c r="CI375" s="44">
        <v>1</v>
      </c>
      <c r="CJ375" s="44">
        <v>0</v>
      </c>
      <c r="CK375" s="44">
        <v>0</v>
      </c>
      <c r="CL375" s="44">
        <v>0</v>
      </c>
      <c r="CM375" s="44">
        <v>0</v>
      </c>
      <c r="CN375" s="44">
        <v>0</v>
      </c>
      <c r="CO375" s="44">
        <v>0</v>
      </c>
      <c r="CP375" s="44">
        <v>0</v>
      </c>
      <c r="CQ375" s="44">
        <v>1</v>
      </c>
      <c r="CR375" s="44">
        <v>0</v>
      </c>
      <c r="CS375" s="44">
        <v>0</v>
      </c>
      <c r="CT375" s="44">
        <v>0</v>
      </c>
      <c r="CU375" s="44">
        <v>0</v>
      </c>
      <c r="CV375" s="44">
        <v>0</v>
      </c>
      <c r="CW375" s="44">
        <v>0</v>
      </c>
    </row>
    <row r="376" s="44" customFormat="1" customHeight="1" spans="1:101">
      <c r="A376" s="81">
        <v>6731</v>
      </c>
      <c r="B376" s="82" t="s">
        <v>583</v>
      </c>
      <c r="O376" s="77">
        <v>0</v>
      </c>
      <c r="P376" s="77">
        <v>1</v>
      </c>
      <c r="Q376" s="77">
        <v>0</v>
      </c>
      <c r="R376" s="77">
        <v>0</v>
      </c>
      <c r="S376" s="64">
        <v>0</v>
      </c>
      <c r="T376" s="64">
        <v>0</v>
      </c>
      <c r="U376" s="64">
        <v>0</v>
      </c>
      <c r="V376" s="64">
        <v>0</v>
      </c>
      <c r="W376" s="63">
        <v>0</v>
      </c>
      <c r="X376" s="63">
        <v>0</v>
      </c>
      <c r="Y376" s="63">
        <v>0</v>
      </c>
      <c r="Z376" s="63">
        <v>0</v>
      </c>
      <c r="AA376" s="78">
        <v>0</v>
      </c>
      <c r="AB376" s="78">
        <v>0</v>
      </c>
      <c r="AC376" s="78">
        <v>0</v>
      </c>
      <c r="AD376" s="78">
        <v>0</v>
      </c>
      <c r="AE376" s="48"/>
      <c r="AU376" s="62"/>
      <c r="BK376" s="62"/>
      <c r="CA376" s="44">
        <v>1000</v>
      </c>
      <c r="CB376" s="44">
        <v>1000</v>
      </c>
      <c r="CC376" s="44">
        <v>0</v>
      </c>
      <c r="CD376" s="44">
        <v>1</v>
      </c>
      <c r="CE376" s="44">
        <v>0</v>
      </c>
      <c r="CF376" s="44">
        <v>0</v>
      </c>
      <c r="CG376" s="44">
        <v>0</v>
      </c>
      <c r="CH376" s="44">
        <v>0</v>
      </c>
      <c r="CI376" s="44">
        <v>1</v>
      </c>
      <c r="CK376" s="44">
        <v>0</v>
      </c>
      <c r="CL376" s="44">
        <v>0</v>
      </c>
      <c r="CM376" s="44">
        <v>0</v>
      </c>
      <c r="CN376" s="44">
        <v>0</v>
      </c>
      <c r="CO376" s="44">
        <v>0</v>
      </c>
      <c r="CP376" s="44">
        <v>0</v>
      </c>
      <c r="CQ376" s="44">
        <v>1</v>
      </c>
      <c r="CR376" s="44">
        <v>0</v>
      </c>
      <c r="CV376" s="44">
        <v>0</v>
      </c>
      <c r="CW376" s="44">
        <v>0</v>
      </c>
    </row>
    <row r="377" s="44" customFormat="1" customHeight="1" spans="1:101">
      <c r="A377" s="81">
        <v>6732</v>
      </c>
      <c r="B377" s="79" t="s">
        <v>584</v>
      </c>
      <c r="O377" s="77">
        <v>200069</v>
      </c>
      <c r="P377" s="77">
        <v>1</v>
      </c>
      <c r="Q377" s="77">
        <v>0</v>
      </c>
      <c r="R377" s="77">
        <v>0</v>
      </c>
      <c r="S377" s="64">
        <v>0</v>
      </c>
      <c r="T377" s="64">
        <v>0</v>
      </c>
      <c r="U377" s="64">
        <v>0</v>
      </c>
      <c r="V377" s="64">
        <v>0</v>
      </c>
      <c r="W377" s="63">
        <v>0</v>
      </c>
      <c r="X377" s="63">
        <v>0</v>
      </c>
      <c r="Y377" s="63">
        <v>0</v>
      </c>
      <c r="Z377" s="63">
        <v>0</v>
      </c>
      <c r="AA377" s="78">
        <v>0</v>
      </c>
      <c r="AB377" s="78">
        <v>0</v>
      </c>
      <c r="AC377" s="78">
        <v>0</v>
      </c>
      <c r="AD377" s="78">
        <v>0</v>
      </c>
      <c r="AE377" s="48"/>
      <c r="AU377" s="62"/>
      <c r="BK377" s="62"/>
      <c r="CA377" s="44">
        <v>1000</v>
      </c>
      <c r="CB377" s="44">
        <v>1000</v>
      </c>
      <c r="CC377" s="44">
        <v>0</v>
      </c>
      <c r="CD377" s="44">
        <v>0</v>
      </c>
      <c r="CE377" s="44">
        <v>0</v>
      </c>
      <c r="CF377" s="44">
        <v>0</v>
      </c>
      <c r="CG377" s="44">
        <v>0</v>
      </c>
      <c r="CH377" s="44">
        <v>0</v>
      </c>
      <c r="CI377" s="44">
        <v>1</v>
      </c>
      <c r="CJ377" s="44">
        <v>0</v>
      </c>
      <c r="CK377" s="44">
        <v>0</v>
      </c>
      <c r="CL377" s="44">
        <v>0</v>
      </c>
      <c r="CM377" s="44">
        <v>0</v>
      </c>
      <c r="CN377" s="44">
        <v>0</v>
      </c>
      <c r="CO377" s="44">
        <v>0</v>
      </c>
      <c r="CP377" s="44">
        <v>0</v>
      </c>
      <c r="CQ377" s="44">
        <v>1</v>
      </c>
      <c r="CR377" s="44">
        <v>0</v>
      </c>
      <c r="CV377" s="44">
        <v>0</v>
      </c>
      <c r="CW377" s="44">
        <v>0</v>
      </c>
    </row>
    <row r="378" s="44" customFormat="1" customHeight="1" spans="1:101">
      <c r="A378" s="81">
        <v>6733</v>
      </c>
      <c r="B378" s="79" t="s">
        <v>585</v>
      </c>
      <c r="K378" s="44">
        <v>1000</v>
      </c>
      <c r="O378" s="77">
        <v>0</v>
      </c>
      <c r="P378" s="77">
        <v>0</v>
      </c>
      <c r="Q378" s="77">
        <v>0</v>
      </c>
      <c r="R378" s="77">
        <v>0</v>
      </c>
      <c r="S378" s="64">
        <v>0</v>
      </c>
      <c r="T378" s="64">
        <v>0</v>
      </c>
      <c r="U378" s="64">
        <v>0</v>
      </c>
      <c r="V378" s="64">
        <v>0</v>
      </c>
      <c r="W378" s="63">
        <v>0</v>
      </c>
      <c r="X378" s="63">
        <v>0</v>
      </c>
      <c r="Y378" s="63">
        <v>0</v>
      </c>
      <c r="Z378" s="63">
        <v>0</v>
      </c>
      <c r="AA378" s="78">
        <v>0</v>
      </c>
      <c r="AB378" s="78">
        <v>0</v>
      </c>
      <c r="AC378" s="78">
        <v>0</v>
      </c>
      <c r="AD378" s="78">
        <v>0</v>
      </c>
      <c r="AE378" s="48">
        <v>200501</v>
      </c>
      <c r="AF378" s="44">
        <v>200506</v>
      </c>
      <c r="AG378" s="44">
        <v>200493</v>
      </c>
      <c r="AH378" s="44">
        <v>200527</v>
      </c>
      <c r="AU378" s="62">
        <v>15</v>
      </c>
      <c r="AV378" s="44">
        <v>15</v>
      </c>
      <c r="AW378" s="44">
        <v>5</v>
      </c>
      <c r="AX378" s="44">
        <v>15</v>
      </c>
      <c r="BK378" s="62">
        <v>100</v>
      </c>
      <c r="BL378" s="44">
        <v>100</v>
      </c>
      <c r="BM378" s="44">
        <v>100</v>
      </c>
      <c r="BN378" s="44">
        <v>100</v>
      </c>
      <c r="CA378" s="44">
        <f>SUM(BK378:BZ378)</f>
        <v>400</v>
      </c>
      <c r="CB378" s="44">
        <f>CA378</f>
        <v>400</v>
      </c>
      <c r="CC378" s="44">
        <v>0</v>
      </c>
      <c r="CD378" s="44">
        <v>0</v>
      </c>
      <c r="CE378" s="44">
        <v>0</v>
      </c>
      <c r="CF378" s="114">
        <v>410059</v>
      </c>
      <c r="CG378" s="44">
        <v>0</v>
      </c>
      <c r="CH378" s="44">
        <v>1</v>
      </c>
      <c r="CI378" s="44">
        <v>1</v>
      </c>
      <c r="CJ378" s="44">
        <v>0</v>
      </c>
      <c r="CK378" s="44">
        <v>0</v>
      </c>
      <c r="CL378" s="44">
        <v>0</v>
      </c>
      <c r="CM378" s="44">
        <v>0</v>
      </c>
      <c r="CN378" s="44">
        <v>0</v>
      </c>
      <c r="CO378" s="44">
        <v>0</v>
      </c>
      <c r="CP378" s="44">
        <v>0</v>
      </c>
      <c r="CQ378" s="44">
        <v>1</v>
      </c>
      <c r="CR378" s="44">
        <v>0</v>
      </c>
      <c r="CV378" s="44">
        <v>0</v>
      </c>
      <c r="CW378" s="44">
        <v>0</v>
      </c>
    </row>
    <row r="379" s="44" customFormat="1" customHeight="1" spans="1:101">
      <c r="A379" s="81">
        <v>6735</v>
      </c>
      <c r="B379" s="79" t="s">
        <v>586</v>
      </c>
      <c r="K379" s="44">
        <v>1000</v>
      </c>
      <c r="O379" s="77">
        <v>0</v>
      </c>
      <c r="P379" s="77">
        <v>0</v>
      </c>
      <c r="Q379" s="77">
        <v>0</v>
      </c>
      <c r="R379" s="77">
        <v>0</v>
      </c>
      <c r="S379" s="64">
        <v>0</v>
      </c>
      <c r="T379" s="64">
        <v>0</v>
      </c>
      <c r="U379" s="64">
        <v>0</v>
      </c>
      <c r="V379" s="64">
        <v>0</v>
      </c>
      <c r="W379" s="63">
        <v>0</v>
      </c>
      <c r="X379" s="63">
        <v>0</v>
      </c>
      <c r="Y379" s="63">
        <v>0</v>
      </c>
      <c r="Z379" s="63">
        <v>0</v>
      </c>
      <c r="AA379" s="78">
        <v>0</v>
      </c>
      <c r="AB379" s="78">
        <v>0</v>
      </c>
      <c r="AC379" s="78">
        <v>0</v>
      </c>
      <c r="AD379" s="78">
        <v>0</v>
      </c>
      <c r="AE379" s="48">
        <v>200501</v>
      </c>
      <c r="AF379" s="44">
        <v>200506</v>
      </c>
      <c r="AG379" s="44">
        <v>200470</v>
      </c>
      <c r="AH379" s="44">
        <v>200527</v>
      </c>
      <c r="AU379" s="62">
        <v>10</v>
      </c>
      <c r="AV379" s="44">
        <v>10</v>
      </c>
      <c r="AW379" s="44">
        <v>1</v>
      </c>
      <c r="AX379" s="44">
        <v>10</v>
      </c>
      <c r="BK379" s="62">
        <v>100</v>
      </c>
      <c r="BL379" s="44">
        <v>100</v>
      </c>
      <c r="BM379" s="44">
        <v>100</v>
      </c>
      <c r="BN379" s="44">
        <v>100</v>
      </c>
      <c r="CA379" s="44">
        <f>SUM(BK379:BZ379)</f>
        <v>400</v>
      </c>
      <c r="CB379" s="44">
        <f>CA379</f>
        <v>400</v>
      </c>
      <c r="CC379" s="44">
        <v>0</v>
      </c>
      <c r="CD379" s="44">
        <v>0</v>
      </c>
      <c r="CE379" s="44">
        <v>0</v>
      </c>
      <c r="CF379" s="114">
        <v>410060</v>
      </c>
      <c r="CG379" s="44">
        <v>0</v>
      </c>
      <c r="CH379" s="44">
        <v>1</v>
      </c>
      <c r="CI379" s="44">
        <v>1</v>
      </c>
      <c r="CJ379" s="44">
        <v>0</v>
      </c>
      <c r="CK379" s="44">
        <v>0</v>
      </c>
      <c r="CL379" s="44">
        <v>0</v>
      </c>
      <c r="CM379" s="44">
        <v>0</v>
      </c>
      <c r="CN379" s="44">
        <v>0</v>
      </c>
      <c r="CO379" s="44">
        <v>0</v>
      </c>
      <c r="CP379" s="44">
        <v>0</v>
      </c>
      <c r="CQ379" s="44">
        <v>1</v>
      </c>
      <c r="CR379" s="44">
        <v>0</v>
      </c>
      <c r="CV379" s="44">
        <v>0</v>
      </c>
      <c r="CW379" s="44">
        <v>0</v>
      </c>
    </row>
    <row r="380" s="44" customFormat="1" customHeight="1" spans="1:101">
      <c r="A380" s="81">
        <v>6734</v>
      </c>
      <c r="B380" s="79" t="s">
        <v>587</v>
      </c>
      <c r="K380" s="44">
        <v>1000</v>
      </c>
      <c r="O380" s="77">
        <v>0</v>
      </c>
      <c r="P380" s="77">
        <v>0</v>
      </c>
      <c r="Q380" s="77">
        <v>0</v>
      </c>
      <c r="R380" s="77">
        <v>0</v>
      </c>
      <c r="S380" s="64">
        <v>0</v>
      </c>
      <c r="T380" s="64">
        <v>0</v>
      </c>
      <c r="U380" s="64">
        <v>0</v>
      </c>
      <c r="V380" s="64">
        <v>0</v>
      </c>
      <c r="W380" s="63">
        <v>0</v>
      </c>
      <c r="X380" s="63">
        <v>0</v>
      </c>
      <c r="Y380" s="63">
        <v>0</v>
      </c>
      <c r="Z380" s="63">
        <v>0</v>
      </c>
      <c r="AA380" s="78">
        <v>0</v>
      </c>
      <c r="AB380" s="78">
        <v>0</v>
      </c>
      <c r="AC380" s="78">
        <v>0</v>
      </c>
      <c r="AD380" s="78">
        <v>0</v>
      </c>
      <c r="AE380" s="48">
        <v>200501</v>
      </c>
      <c r="AF380" s="44">
        <v>200506</v>
      </c>
      <c r="AG380" s="44">
        <v>200493</v>
      </c>
      <c r="AH380" s="44">
        <v>200527</v>
      </c>
      <c r="AU380" s="62">
        <v>15</v>
      </c>
      <c r="AV380" s="44">
        <v>15</v>
      </c>
      <c r="AW380" s="44">
        <v>5</v>
      </c>
      <c r="AX380" s="44">
        <v>15</v>
      </c>
      <c r="BK380" s="62">
        <v>100</v>
      </c>
      <c r="BL380" s="44">
        <v>100</v>
      </c>
      <c r="BM380" s="44">
        <v>100</v>
      </c>
      <c r="BN380" s="44">
        <v>100</v>
      </c>
      <c r="CA380" s="44">
        <f>SUM(BK380:BZ380)</f>
        <v>400</v>
      </c>
      <c r="CB380" s="44">
        <f>CA380</f>
        <v>400</v>
      </c>
      <c r="CC380" s="44">
        <v>0</v>
      </c>
      <c r="CD380" s="44">
        <v>0</v>
      </c>
      <c r="CE380" s="44">
        <v>0</v>
      </c>
      <c r="CF380" s="114">
        <v>410059</v>
      </c>
      <c r="CG380" s="44">
        <v>0</v>
      </c>
      <c r="CH380" s="44">
        <v>1</v>
      </c>
      <c r="CI380" s="44">
        <v>1</v>
      </c>
      <c r="CJ380" s="44">
        <v>0</v>
      </c>
      <c r="CK380" s="44">
        <v>0</v>
      </c>
      <c r="CL380" s="44">
        <v>0</v>
      </c>
      <c r="CM380" s="44">
        <v>0</v>
      </c>
      <c r="CN380" s="44">
        <v>0</v>
      </c>
      <c r="CO380" s="44">
        <v>0</v>
      </c>
      <c r="CP380" s="44">
        <v>0</v>
      </c>
      <c r="CQ380" s="44">
        <v>1</v>
      </c>
      <c r="CR380" s="44">
        <v>0</v>
      </c>
      <c r="CV380" s="44">
        <v>0</v>
      </c>
      <c r="CW380" s="44">
        <v>0</v>
      </c>
    </row>
    <row r="381" s="44" customFormat="1" customHeight="1" spans="1:101">
      <c r="A381" s="81">
        <v>6736</v>
      </c>
      <c r="B381" s="79" t="s">
        <v>588</v>
      </c>
      <c r="K381" s="44">
        <v>1000</v>
      </c>
      <c r="O381" s="77">
        <v>0</v>
      </c>
      <c r="P381" s="77">
        <v>0</v>
      </c>
      <c r="Q381" s="77">
        <v>0</v>
      </c>
      <c r="R381" s="77">
        <v>0</v>
      </c>
      <c r="S381" s="64">
        <v>0</v>
      </c>
      <c r="T381" s="64">
        <v>0</v>
      </c>
      <c r="U381" s="64">
        <v>0</v>
      </c>
      <c r="V381" s="64">
        <v>0</v>
      </c>
      <c r="W381" s="63">
        <v>0</v>
      </c>
      <c r="X381" s="63">
        <v>0</v>
      </c>
      <c r="Y381" s="63">
        <v>0</v>
      </c>
      <c r="Z381" s="63">
        <v>0</v>
      </c>
      <c r="AA381" s="78">
        <v>0</v>
      </c>
      <c r="AB381" s="78">
        <v>0</v>
      </c>
      <c r="AC381" s="78">
        <v>0</v>
      </c>
      <c r="AD381" s="78">
        <v>0</v>
      </c>
      <c r="AE381" s="48"/>
      <c r="AM381" s="44" t="s">
        <v>116</v>
      </c>
      <c r="AN381" s="44" t="s">
        <v>116</v>
      </c>
      <c r="AO381" s="44" t="s">
        <v>116</v>
      </c>
      <c r="AP381" s="44" t="s">
        <v>116</v>
      </c>
      <c r="AQ381" s="44" t="s">
        <v>116</v>
      </c>
      <c r="AR381" s="44" t="s">
        <v>116</v>
      </c>
      <c r="AS381" s="44" t="s">
        <v>116</v>
      </c>
      <c r="AT381" s="44" t="s">
        <v>116</v>
      </c>
      <c r="AU381" s="62" t="str">
        <f t="shared" ref="AU381:BJ381" si="142">IF(AE381="","",1)</f>
        <v/>
      </c>
      <c r="AV381" s="44" t="str">
        <f t="shared" si="142"/>
        <v/>
      </c>
      <c r="AW381" s="44" t="str">
        <f t="shared" si="142"/>
        <v/>
      </c>
      <c r="AX381" s="44" t="str">
        <f t="shared" si="142"/>
        <v/>
      </c>
      <c r="AY381" s="44" t="str">
        <f t="shared" si="142"/>
        <v/>
      </c>
      <c r="AZ381" s="44" t="str">
        <f t="shared" si="142"/>
        <v/>
      </c>
      <c r="BA381" s="44" t="str">
        <f t="shared" si="142"/>
        <v/>
      </c>
      <c r="BB381" s="44" t="str">
        <f t="shared" si="142"/>
        <v/>
      </c>
      <c r="BC381" s="44" t="str">
        <f t="shared" si="142"/>
        <v/>
      </c>
      <c r="BD381" s="44" t="str">
        <f t="shared" si="142"/>
        <v/>
      </c>
      <c r="BE381" s="44" t="str">
        <f t="shared" si="142"/>
        <v/>
      </c>
      <c r="BF381" s="44" t="str">
        <f t="shared" si="142"/>
        <v/>
      </c>
      <c r="BG381" s="44" t="str">
        <f t="shared" si="142"/>
        <v/>
      </c>
      <c r="BH381" s="44" t="str">
        <f t="shared" si="142"/>
        <v/>
      </c>
      <c r="BI381" s="44" t="str">
        <f t="shared" si="142"/>
        <v/>
      </c>
      <c r="BJ381" s="44" t="str">
        <f t="shared" si="142"/>
        <v/>
      </c>
      <c r="BK381" s="62"/>
      <c r="CA381" s="44">
        <f>SUM(BK381:BZ381)</f>
        <v>0</v>
      </c>
      <c r="CB381" s="44">
        <v>1000</v>
      </c>
      <c r="CC381" s="44">
        <v>0</v>
      </c>
      <c r="CD381" s="44">
        <v>0</v>
      </c>
      <c r="CE381" s="44">
        <v>0</v>
      </c>
      <c r="CG381" s="44">
        <v>0</v>
      </c>
      <c r="CH381" s="44">
        <f>IF(RIGHT(B381,1)="0",1,0)</f>
        <v>0</v>
      </c>
      <c r="CI381" s="44">
        <v>1</v>
      </c>
      <c r="CJ381" s="44">
        <v>0</v>
      </c>
      <c r="CK381" s="44">
        <v>0</v>
      </c>
      <c r="CL381" s="44">
        <v>0</v>
      </c>
      <c r="CM381" s="44">
        <v>0</v>
      </c>
      <c r="CN381" s="44">
        <v>0</v>
      </c>
      <c r="CO381" s="44">
        <v>0</v>
      </c>
      <c r="CP381" s="44">
        <v>0</v>
      </c>
      <c r="CQ381" s="44">
        <v>0</v>
      </c>
      <c r="CR381" s="44">
        <v>0</v>
      </c>
      <c r="CV381" s="44">
        <v>0</v>
      </c>
      <c r="CW381" s="44">
        <v>0</v>
      </c>
    </row>
    <row r="382" s="44" customFormat="1" customHeight="1" spans="1:101">
      <c r="A382" s="81">
        <v>6737</v>
      </c>
      <c r="B382" s="79" t="s">
        <v>589</v>
      </c>
      <c r="K382" s="44">
        <v>1000</v>
      </c>
      <c r="O382" s="77">
        <v>0</v>
      </c>
      <c r="P382" s="77">
        <v>0</v>
      </c>
      <c r="Q382" s="77">
        <v>0</v>
      </c>
      <c r="R382" s="77">
        <v>0</v>
      </c>
      <c r="S382" s="64">
        <v>0</v>
      </c>
      <c r="T382" s="64">
        <v>0</v>
      </c>
      <c r="U382" s="64">
        <v>0</v>
      </c>
      <c r="V382" s="64">
        <v>0</v>
      </c>
      <c r="W382" s="63">
        <v>0</v>
      </c>
      <c r="X382" s="63">
        <v>0</v>
      </c>
      <c r="Y382" s="63">
        <v>0</v>
      </c>
      <c r="Z382" s="63">
        <v>0</v>
      </c>
      <c r="AA382" s="78">
        <v>0</v>
      </c>
      <c r="AB382" s="78">
        <v>0</v>
      </c>
      <c r="AC382" s="78">
        <v>0</v>
      </c>
      <c r="AD382" s="78">
        <v>0</v>
      </c>
      <c r="AE382" s="48"/>
      <c r="AM382" s="44" t="s">
        <v>116</v>
      </c>
      <c r="AN382" s="44" t="s">
        <v>116</v>
      </c>
      <c r="AO382" s="44" t="s">
        <v>116</v>
      </c>
      <c r="AP382" s="44" t="s">
        <v>116</v>
      </c>
      <c r="AQ382" s="44" t="s">
        <v>116</v>
      </c>
      <c r="AR382" s="44" t="s">
        <v>116</v>
      </c>
      <c r="AS382" s="44" t="s">
        <v>116</v>
      </c>
      <c r="AT382" s="44" t="s">
        <v>116</v>
      </c>
      <c r="AU382" s="62"/>
      <c r="AV382" s="44" t="str">
        <f t="shared" ref="AV382:BJ382" si="143">IF(AF382="","",1)</f>
        <v/>
      </c>
      <c r="AW382" s="44" t="str">
        <f t="shared" si="143"/>
        <v/>
      </c>
      <c r="AX382" s="44" t="str">
        <f t="shared" si="143"/>
        <v/>
      </c>
      <c r="AY382" s="44" t="str">
        <f t="shared" si="143"/>
        <v/>
      </c>
      <c r="AZ382" s="44" t="str">
        <f t="shared" si="143"/>
        <v/>
      </c>
      <c r="BA382" s="44" t="str">
        <f t="shared" si="143"/>
        <v/>
      </c>
      <c r="BB382" s="44" t="str">
        <f t="shared" si="143"/>
        <v/>
      </c>
      <c r="BC382" s="44" t="str">
        <f t="shared" si="143"/>
        <v/>
      </c>
      <c r="BD382" s="44" t="str">
        <f t="shared" si="143"/>
        <v/>
      </c>
      <c r="BE382" s="44" t="str">
        <f t="shared" si="143"/>
        <v/>
      </c>
      <c r="BF382" s="44" t="str">
        <f t="shared" si="143"/>
        <v/>
      </c>
      <c r="BG382" s="44" t="str">
        <f t="shared" si="143"/>
        <v/>
      </c>
      <c r="BH382" s="44" t="str">
        <f t="shared" si="143"/>
        <v/>
      </c>
      <c r="BI382" s="44" t="str">
        <f t="shared" si="143"/>
        <v/>
      </c>
      <c r="BJ382" s="44" t="str">
        <f t="shared" si="143"/>
        <v/>
      </c>
      <c r="BK382" s="62"/>
      <c r="CA382" s="44">
        <f>SUM(BK382:BZ382)</f>
        <v>0</v>
      </c>
      <c r="CB382" s="44">
        <v>1000</v>
      </c>
      <c r="CC382" s="44">
        <v>0</v>
      </c>
      <c r="CD382" s="44">
        <v>0</v>
      </c>
      <c r="CE382" s="44">
        <v>0</v>
      </c>
      <c r="CG382" s="44">
        <v>0</v>
      </c>
      <c r="CH382" s="44">
        <f>IF(RIGHT(B382,1)="0",1,0)</f>
        <v>0</v>
      </c>
      <c r="CI382" s="44">
        <v>1</v>
      </c>
      <c r="CJ382" s="44">
        <v>0</v>
      </c>
      <c r="CK382" s="44">
        <v>0</v>
      </c>
      <c r="CL382" s="44">
        <v>0</v>
      </c>
      <c r="CM382" s="44">
        <v>0</v>
      </c>
      <c r="CN382" s="44">
        <v>0</v>
      </c>
      <c r="CO382" s="44">
        <v>0</v>
      </c>
      <c r="CP382" s="44">
        <v>0</v>
      </c>
      <c r="CQ382" s="44">
        <v>0</v>
      </c>
      <c r="CR382" s="44">
        <v>0</v>
      </c>
      <c r="CV382" s="44">
        <v>0</v>
      </c>
      <c r="CW382" s="44">
        <v>0</v>
      </c>
    </row>
    <row r="383" s="44" customFormat="1" customHeight="1" spans="1:101">
      <c r="A383" s="81">
        <v>6738</v>
      </c>
      <c r="B383" s="44" t="s">
        <v>590</v>
      </c>
      <c r="O383" s="77">
        <v>200068</v>
      </c>
      <c r="P383" s="77">
        <v>1</v>
      </c>
      <c r="Q383" s="77">
        <v>0</v>
      </c>
      <c r="R383" s="77">
        <v>0</v>
      </c>
      <c r="S383" s="64">
        <v>0</v>
      </c>
      <c r="T383" s="64">
        <v>0</v>
      </c>
      <c r="U383" s="64">
        <v>0</v>
      </c>
      <c r="V383" s="64">
        <v>0</v>
      </c>
      <c r="W383" s="63">
        <v>0</v>
      </c>
      <c r="X383" s="63">
        <v>0</v>
      </c>
      <c r="Y383" s="63">
        <v>0</v>
      </c>
      <c r="Z383" s="63">
        <v>0</v>
      </c>
      <c r="AA383" s="78">
        <v>0</v>
      </c>
      <c r="AB383" s="78">
        <v>0</v>
      </c>
      <c r="AC383" s="78">
        <v>0</v>
      </c>
      <c r="AD383" s="78">
        <v>0</v>
      </c>
      <c r="AE383" s="48"/>
      <c r="AU383" s="62"/>
      <c r="BK383" s="62"/>
      <c r="CA383" s="44">
        <v>1000</v>
      </c>
      <c r="CB383" s="44">
        <v>1000</v>
      </c>
      <c r="CC383" s="44">
        <v>0</v>
      </c>
      <c r="CD383" s="44">
        <v>0</v>
      </c>
      <c r="CE383" s="44">
        <v>0</v>
      </c>
      <c r="CF383" s="44">
        <v>0</v>
      </c>
      <c r="CG383" s="44">
        <v>0</v>
      </c>
      <c r="CH383" s="44">
        <v>0</v>
      </c>
      <c r="CI383" s="44">
        <v>1</v>
      </c>
      <c r="CJ383" s="44">
        <v>0</v>
      </c>
      <c r="CK383" s="44">
        <v>0</v>
      </c>
      <c r="CL383" s="44">
        <v>0</v>
      </c>
      <c r="CM383" s="44">
        <v>0</v>
      </c>
      <c r="CN383" s="44">
        <v>0</v>
      </c>
      <c r="CO383" s="44">
        <v>0</v>
      </c>
      <c r="CP383" s="44">
        <v>0</v>
      </c>
      <c r="CQ383" s="44">
        <v>1</v>
      </c>
      <c r="CR383" s="44">
        <v>0</v>
      </c>
      <c r="CV383" s="44">
        <v>0</v>
      </c>
      <c r="CW383" s="44">
        <v>0</v>
      </c>
    </row>
    <row r="384" s="44" customFormat="1" customHeight="1" spans="1:101">
      <c r="A384" s="81">
        <v>6739</v>
      </c>
      <c r="B384" s="44" t="s">
        <v>591</v>
      </c>
      <c r="O384" s="77">
        <v>200069</v>
      </c>
      <c r="P384" s="77">
        <v>1</v>
      </c>
      <c r="Q384" s="77">
        <v>0</v>
      </c>
      <c r="R384" s="77">
        <v>0</v>
      </c>
      <c r="S384" s="64">
        <v>0</v>
      </c>
      <c r="T384" s="64">
        <v>0</v>
      </c>
      <c r="U384" s="64">
        <v>0</v>
      </c>
      <c r="V384" s="64">
        <v>0</v>
      </c>
      <c r="W384" s="63">
        <v>0</v>
      </c>
      <c r="X384" s="63">
        <v>0</v>
      </c>
      <c r="Y384" s="63">
        <v>0</v>
      </c>
      <c r="Z384" s="63">
        <v>0</v>
      </c>
      <c r="AA384" s="78">
        <v>0</v>
      </c>
      <c r="AB384" s="78">
        <v>0</v>
      </c>
      <c r="AC384" s="78">
        <v>0</v>
      </c>
      <c r="AD384" s="78">
        <v>0</v>
      </c>
      <c r="AE384" s="48"/>
      <c r="AU384" s="62"/>
      <c r="BK384" s="62"/>
      <c r="CA384" s="44">
        <v>1000</v>
      </c>
      <c r="CB384" s="44">
        <v>1000</v>
      </c>
      <c r="CC384" s="44">
        <v>0</v>
      </c>
      <c r="CD384" s="44">
        <v>0</v>
      </c>
      <c r="CE384" s="44">
        <v>0</v>
      </c>
      <c r="CF384" s="44">
        <v>0</v>
      </c>
      <c r="CG384" s="44">
        <v>0</v>
      </c>
      <c r="CH384" s="44">
        <v>0</v>
      </c>
      <c r="CI384" s="44">
        <v>1</v>
      </c>
      <c r="CJ384" s="44">
        <v>0</v>
      </c>
      <c r="CK384" s="44">
        <v>0</v>
      </c>
      <c r="CL384" s="44">
        <v>0</v>
      </c>
      <c r="CM384" s="44">
        <v>0</v>
      </c>
      <c r="CN384" s="44">
        <v>0</v>
      </c>
      <c r="CO384" s="44">
        <v>0</v>
      </c>
      <c r="CP384" s="44">
        <v>0</v>
      </c>
      <c r="CQ384" s="44">
        <v>1</v>
      </c>
      <c r="CR384" s="44">
        <v>0</v>
      </c>
      <c r="CV384" s="44">
        <v>0</v>
      </c>
      <c r="CW384" s="44">
        <v>0</v>
      </c>
    </row>
    <row r="385" s="44" customFormat="1" customHeight="1" spans="1:101">
      <c r="A385" s="81">
        <v>6740</v>
      </c>
      <c r="B385" s="44" t="s">
        <v>592</v>
      </c>
      <c r="O385" s="77">
        <v>200070</v>
      </c>
      <c r="P385" s="77">
        <v>1</v>
      </c>
      <c r="Q385" s="77">
        <v>0</v>
      </c>
      <c r="R385" s="77">
        <v>0</v>
      </c>
      <c r="S385" s="64">
        <v>0</v>
      </c>
      <c r="T385" s="64">
        <v>0</v>
      </c>
      <c r="U385" s="64">
        <v>0</v>
      </c>
      <c r="V385" s="64">
        <v>0</v>
      </c>
      <c r="W385" s="63">
        <v>0</v>
      </c>
      <c r="X385" s="63">
        <v>0</v>
      </c>
      <c r="Y385" s="63">
        <v>0</v>
      </c>
      <c r="Z385" s="63">
        <v>0</v>
      </c>
      <c r="AA385" s="78">
        <v>0</v>
      </c>
      <c r="AB385" s="78">
        <v>0</v>
      </c>
      <c r="AC385" s="78">
        <v>0</v>
      </c>
      <c r="AD385" s="78">
        <v>0</v>
      </c>
      <c r="AE385" s="48"/>
      <c r="AU385" s="62"/>
      <c r="BK385" s="62"/>
      <c r="CA385" s="44">
        <v>1000</v>
      </c>
      <c r="CB385" s="44">
        <v>1000</v>
      </c>
      <c r="CC385" s="44">
        <v>0</v>
      </c>
      <c r="CD385" s="44">
        <v>0</v>
      </c>
      <c r="CE385" s="44">
        <v>0</v>
      </c>
      <c r="CF385" s="44">
        <v>0</v>
      </c>
      <c r="CG385" s="44">
        <v>0</v>
      </c>
      <c r="CH385" s="44">
        <v>0</v>
      </c>
      <c r="CI385" s="44">
        <v>1</v>
      </c>
      <c r="CJ385" s="44">
        <v>0</v>
      </c>
      <c r="CK385" s="44">
        <v>0</v>
      </c>
      <c r="CL385" s="44">
        <v>0</v>
      </c>
      <c r="CM385" s="44">
        <v>0</v>
      </c>
      <c r="CN385" s="44">
        <v>0</v>
      </c>
      <c r="CO385" s="44">
        <v>0</v>
      </c>
      <c r="CP385" s="44">
        <v>0</v>
      </c>
      <c r="CQ385" s="44">
        <v>1</v>
      </c>
      <c r="CR385" s="44">
        <v>0</v>
      </c>
      <c r="CV385" s="44">
        <v>0</v>
      </c>
      <c r="CW385" s="44">
        <v>0</v>
      </c>
    </row>
    <row r="386" s="44" customFormat="1" customHeight="1" spans="1:101">
      <c r="A386" s="81">
        <v>6741</v>
      </c>
      <c r="B386" s="44" t="s">
        <v>593</v>
      </c>
      <c r="O386" s="77">
        <v>200073</v>
      </c>
      <c r="P386" s="77">
        <v>1</v>
      </c>
      <c r="Q386" s="77">
        <v>0</v>
      </c>
      <c r="R386" s="77">
        <v>0</v>
      </c>
      <c r="S386" s="64">
        <v>0</v>
      </c>
      <c r="T386" s="64">
        <v>0</v>
      </c>
      <c r="U386" s="64">
        <v>0</v>
      </c>
      <c r="V386" s="64">
        <v>0</v>
      </c>
      <c r="W386" s="63">
        <v>0</v>
      </c>
      <c r="X386" s="63">
        <v>0</v>
      </c>
      <c r="Y386" s="63">
        <v>0</v>
      </c>
      <c r="Z386" s="63">
        <v>0</v>
      </c>
      <c r="AA386" s="78">
        <v>0</v>
      </c>
      <c r="AB386" s="78">
        <v>0</v>
      </c>
      <c r="AC386" s="78">
        <v>0</v>
      </c>
      <c r="AD386" s="78">
        <v>0</v>
      </c>
      <c r="AE386" s="48"/>
      <c r="AU386" s="62"/>
      <c r="BK386" s="62"/>
      <c r="CA386" s="44">
        <v>1000</v>
      </c>
      <c r="CB386" s="44">
        <v>1000</v>
      </c>
      <c r="CC386" s="44">
        <v>0</v>
      </c>
      <c r="CD386" s="44">
        <v>0</v>
      </c>
      <c r="CE386" s="44">
        <v>0</v>
      </c>
      <c r="CF386" s="44">
        <v>0</v>
      </c>
      <c r="CG386" s="44">
        <v>0</v>
      </c>
      <c r="CH386" s="44">
        <v>0</v>
      </c>
      <c r="CI386" s="44">
        <v>1</v>
      </c>
      <c r="CJ386" s="44">
        <v>0</v>
      </c>
      <c r="CK386" s="44">
        <v>0</v>
      </c>
      <c r="CL386" s="44">
        <v>0</v>
      </c>
      <c r="CM386" s="44">
        <v>0</v>
      </c>
      <c r="CN386" s="44">
        <v>0</v>
      </c>
      <c r="CO386" s="44">
        <v>0</v>
      </c>
      <c r="CP386" s="44">
        <v>0</v>
      </c>
      <c r="CQ386" s="44">
        <v>1</v>
      </c>
      <c r="CR386" s="44">
        <v>0</v>
      </c>
      <c r="CV386" s="44">
        <v>0</v>
      </c>
      <c r="CW386" s="44">
        <v>0</v>
      </c>
    </row>
    <row r="387" s="44" customFormat="1" customHeight="1" spans="1:101">
      <c r="A387" s="81">
        <v>6742</v>
      </c>
      <c r="B387" s="44" t="s">
        <v>594</v>
      </c>
      <c r="O387" s="77">
        <v>0</v>
      </c>
      <c r="P387" s="77">
        <v>0</v>
      </c>
      <c r="Q387" s="77">
        <v>0</v>
      </c>
      <c r="R387" s="77">
        <v>0</v>
      </c>
      <c r="S387" s="64">
        <v>0</v>
      </c>
      <c r="T387" s="64">
        <v>0</v>
      </c>
      <c r="U387" s="64">
        <v>0</v>
      </c>
      <c r="V387" s="64">
        <v>0</v>
      </c>
      <c r="W387" s="63">
        <v>0</v>
      </c>
      <c r="X387" s="63">
        <v>0</v>
      </c>
      <c r="Y387" s="63">
        <v>0</v>
      </c>
      <c r="Z387" s="63">
        <v>0</v>
      </c>
      <c r="AA387" s="78">
        <v>0</v>
      </c>
      <c r="AB387" s="78">
        <v>0</v>
      </c>
      <c r="AC387" s="78">
        <v>0</v>
      </c>
      <c r="AD387" s="78">
        <v>0</v>
      </c>
      <c r="AE387" s="48"/>
      <c r="AU387" s="62"/>
      <c r="BK387" s="62"/>
      <c r="CA387" s="44">
        <v>1000</v>
      </c>
      <c r="CB387" s="44">
        <v>1000</v>
      </c>
      <c r="CC387" s="44">
        <v>0</v>
      </c>
      <c r="CD387" s="44">
        <v>0</v>
      </c>
      <c r="CE387" s="44">
        <v>0</v>
      </c>
      <c r="CF387" s="44">
        <v>0</v>
      </c>
      <c r="CG387" s="44">
        <v>0</v>
      </c>
      <c r="CH387" s="44">
        <v>0</v>
      </c>
      <c r="CI387" s="44">
        <v>1</v>
      </c>
      <c r="CJ387" s="44">
        <v>0</v>
      </c>
      <c r="CK387" s="44">
        <v>0</v>
      </c>
      <c r="CL387" s="44">
        <v>0</v>
      </c>
      <c r="CM387" s="44">
        <v>0</v>
      </c>
      <c r="CN387" s="44">
        <v>0</v>
      </c>
      <c r="CO387" s="44">
        <v>0</v>
      </c>
      <c r="CP387" s="44">
        <v>0</v>
      </c>
      <c r="CQ387" s="44">
        <v>1</v>
      </c>
      <c r="CR387" s="44">
        <v>0</v>
      </c>
      <c r="CV387" s="44">
        <v>0</v>
      </c>
      <c r="CW387" s="44">
        <v>0</v>
      </c>
    </row>
    <row r="388" s="44" customFormat="1" customHeight="1" spans="1:101">
      <c r="A388" s="81">
        <v>6743</v>
      </c>
      <c r="B388" s="44" t="s">
        <v>595</v>
      </c>
      <c r="O388" s="77">
        <v>0</v>
      </c>
      <c r="P388" s="77">
        <v>0</v>
      </c>
      <c r="Q388" s="77">
        <v>0</v>
      </c>
      <c r="R388" s="77">
        <v>0</v>
      </c>
      <c r="S388" s="64">
        <v>0</v>
      </c>
      <c r="T388" s="64">
        <v>0</v>
      </c>
      <c r="U388" s="64">
        <v>0</v>
      </c>
      <c r="V388" s="64">
        <v>0</v>
      </c>
      <c r="W388" s="63">
        <v>0</v>
      </c>
      <c r="X388" s="63">
        <v>0</v>
      </c>
      <c r="Y388" s="63">
        <v>0</v>
      </c>
      <c r="Z388" s="63">
        <v>0</v>
      </c>
      <c r="AA388" s="78">
        <v>0</v>
      </c>
      <c r="AB388" s="78">
        <v>0</v>
      </c>
      <c r="AC388" s="78">
        <v>0</v>
      </c>
      <c r="AD388" s="78">
        <v>0</v>
      </c>
      <c r="AE388" s="48"/>
      <c r="AU388" s="62"/>
      <c r="BK388" s="62"/>
      <c r="CA388" s="44">
        <v>1000</v>
      </c>
      <c r="CB388" s="44">
        <v>1000</v>
      </c>
      <c r="CC388" s="44">
        <v>0</v>
      </c>
      <c r="CD388" s="44">
        <v>0</v>
      </c>
      <c r="CE388" s="44">
        <v>0</v>
      </c>
      <c r="CF388" s="44">
        <v>0</v>
      </c>
      <c r="CG388" s="44">
        <v>0</v>
      </c>
      <c r="CH388" s="44">
        <v>0</v>
      </c>
      <c r="CI388" s="44">
        <v>1</v>
      </c>
      <c r="CJ388" s="44">
        <v>0</v>
      </c>
      <c r="CK388" s="44">
        <v>0</v>
      </c>
      <c r="CL388" s="44">
        <v>0</v>
      </c>
      <c r="CM388" s="44">
        <v>0</v>
      </c>
      <c r="CN388" s="44">
        <v>0</v>
      </c>
      <c r="CO388" s="44">
        <v>0</v>
      </c>
      <c r="CP388" s="44">
        <v>0</v>
      </c>
      <c r="CQ388" s="44">
        <v>1</v>
      </c>
      <c r="CR388" s="44">
        <v>0</v>
      </c>
      <c r="CV388" s="44">
        <v>0</v>
      </c>
      <c r="CW388" s="44">
        <v>0</v>
      </c>
    </row>
    <row r="389" s="44" customFormat="1" customHeight="1" spans="1:101">
      <c r="A389" s="81">
        <v>6744</v>
      </c>
      <c r="B389" s="44" t="s">
        <v>596</v>
      </c>
      <c r="O389" s="77">
        <v>0</v>
      </c>
      <c r="P389" s="77">
        <v>0</v>
      </c>
      <c r="Q389" s="77">
        <v>0</v>
      </c>
      <c r="R389" s="77">
        <v>0</v>
      </c>
      <c r="S389" s="64">
        <v>0</v>
      </c>
      <c r="T389" s="64">
        <v>0</v>
      </c>
      <c r="U389" s="64">
        <v>0</v>
      </c>
      <c r="V389" s="64">
        <v>0</v>
      </c>
      <c r="W389" s="63">
        <v>0</v>
      </c>
      <c r="X389" s="63">
        <v>0</v>
      </c>
      <c r="Y389" s="63">
        <v>0</v>
      </c>
      <c r="Z389" s="63">
        <v>0</v>
      </c>
      <c r="AA389" s="78">
        <v>0</v>
      </c>
      <c r="AB389" s="78">
        <v>0</v>
      </c>
      <c r="AC389" s="78">
        <v>0</v>
      </c>
      <c r="AD389" s="78">
        <v>0</v>
      </c>
      <c r="AE389" s="48"/>
      <c r="AU389" s="62"/>
      <c r="BK389" s="62"/>
      <c r="CA389" s="44">
        <v>1000</v>
      </c>
      <c r="CB389" s="44">
        <v>1000</v>
      </c>
      <c r="CC389" s="44">
        <v>0</v>
      </c>
      <c r="CD389" s="44">
        <v>0</v>
      </c>
      <c r="CE389" s="44">
        <v>0</v>
      </c>
      <c r="CF389" s="44">
        <v>0</v>
      </c>
      <c r="CG389" s="44">
        <v>0</v>
      </c>
      <c r="CH389" s="44">
        <v>0</v>
      </c>
      <c r="CI389" s="44">
        <v>1</v>
      </c>
      <c r="CJ389" s="44">
        <v>0</v>
      </c>
      <c r="CK389" s="44">
        <v>0</v>
      </c>
      <c r="CL389" s="44">
        <v>0</v>
      </c>
      <c r="CM389" s="44">
        <v>0</v>
      </c>
      <c r="CN389" s="44">
        <v>0</v>
      </c>
      <c r="CO389" s="44">
        <v>0</v>
      </c>
      <c r="CP389" s="44">
        <v>0</v>
      </c>
      <c r="CQ389" s="44">
        <v>1</v>
      </c>
      <c r="CR389" s="44">
        <v>0</v>
      </c>
      <c r="CV389" s="44">
        <v>0</v>
      </c>
      <c r="CW389" s="44">
        <v>0</v>
      </c>
    </row>
    <row r="390" s="44" customFormat="1" customHeight="1" spans="1:101">
      <c r="A390" s="81">
        <v>6745</v>
      </c>
      <c r="B390" s="44" t="s">
        <v>597</v>
      </c>
      <c r="O390" s="77">
        <v>0</v>
      </c>
      <c r="P390" s="77">
        <v>0</v>
      </c>
      <c r="Q390" s="77">
        <v>0</v>
      </c>
      <c r="R390" s="77">
        <v>0</v>
      </c>
      <c r="S390" s="64">
        <v>0</v>
      </c>
      <c r="T390" s="64">
        <v>0</v>
      </c>
      <c r="U390" s="64">
        <v>0</v>
      </c>
      <c r="V390" s="64">
        <v>0</v>
      </c>
      <c r="W390" s="63">
        <v>0</v>
      </c>
      <c r="X390" s="63">
        <v>0</v>
      </c>
      <c r="Y390" s="63">
        <v>0</v>
      </c>
      <c r="Z390" s="63">
        <v>0</v>
      </c>
      <c r="AA390" s="78">
        <v>0</v>
      </c>
      <c r="AB390" s="78">
        <v>0</v>
      </c>
      <c r="AC390" s="78">
        <v>0</v>
      </c>
      <c r="AD390" s="78">
        <v>0</v>
      </c>
      <c r="AE390" s="48"/>
      <c r="AU390" s="62"/>
      <c r="BK390" s="62"/>
      <c r="CA390" s="44">
        <v>1000</v>
      </c>
      <c r="CB390" s="44">
        <v>1000</v>
      </c>
      <c r="CC390" s="44">
        <v>0</v>
      </c>
      <c r="CD390" s="44">
        <v>0</v>
      </c>
      <c r="CE390" s="44">
        <v>0</v>
      </c>
      <c r="CF390" s="44">
        <v>0</v>
      </c>
      <c r="CG390" s="44">
        <v>0</v>
      </c>
      <c r="CH390" s="44">
        <v>0</v>
      </c>
      <c r="CI390" s="44">
        <v>1</v>
      </c>
      <c r="CJ390" s="44">
        <v>0</v>
      </c>
      <c r="CK390" s="44">
        <v>0</v>
      </c>
      <c r="CL390" s="44">
        <v>0</v>
      </c>
      <c r="CM390" s="44">
        <v>0</v>
      </c>
      <c r="CN390" s="44">
        <v>0</v>
      </c>
      <c r="CO390" s="44">
        <v>0</v>
      </c>
      <c r="CP390" s="44">
        <v>0</v>
      </c>
      <c r="CQ390" s="44">
        <v>1</v>
      </c>
      <c r="CR390" s="44">
        <v>0</v>
      </c>
      <c r="CV390" s="44">
        <v>0</v>
      </c>
      <c r="CW390" s="44">
        <v>0</v>
      </c>
    </row>
    <row r="391" s="44" customFormat="1" customHeight="1" spans="1:101">
      <c r="A391" s="81">
        <v>6746</v>
      </c>
      <c r="B391" s="44" t="s">
        <v>598</v>
      </c>
      <c r="O391" s="77">
        <v>0</v>
      </c>
      <c r="P391" s="77">
        <v>0</v>
      </c>
      <c r="Q391" s="77">
        <v>0</v>
      </c>
      <c r="R391" s="77">
        <v>0</v>
      </c>
      <c r="S391" s="64">
        <v>0</v>
      </c>
      <c r="T391" s="64">
        <v>0</v>
      </c>
      <c r="U391" s="64">
        <v>0</v>
      </c>
      <c r="V391" s="64">
        <v>0</v>
      </c>
      <c r="W391" s="63">
        <v>0</v>
      </c>
      <c r="X391" s="63">
        <v>0</v>
      </c>
      <c r="Y391" s="63">
        <v>0</v>
      </c>
      <c r="Z391" s="63">
        <v>0</v>
      </c>
      <c r="AA391" s="78">
        <v>0</v>
      </c>
      <c r="AB391" s="78">
        <v>0</v>
      </c>
      <c r="AC391" s="78">
        <v>0</v>
      </c>
      <c r="AD391" s="78">
        <v>0</v>
      </c>
      <c r="AE391" s="48"/>
      <c r="AU391" s="62"/>
      <c r="BK391" s="62"/>
      <c r="CA391" s="44">
        <v>1000</v>
      </c>
      <c r="CB391" s="44">
        <v>1000</v>
      </c>
      <c r="CC391" s="44">
        <v>0</v>
      </c>
      <c r="CD391" s="44">
        <v>0</v>
      </c>
      <c r="CE391" s="44">
        <v>0</v>
      </c>
      <c r="CF391" s="44">
        <v>0</v>
      </c>
      <c r="CG391" s="44">
        <v>0</v>
      </c>
      <c r="CH391" s="44">
        <v>0</v>
      </c>
      <c r="CI391" s="44">
        <v>1</v>
      </c>
      <c r="CJ391" s="44">
        <v>0</v>
      </c>
      <c r="CK391" s="44">
        <v>0</v>
      </c>
      <c r="CL391" s="44">
        <v>0</v>
      </c>
      <c r="CM391" s="44">
        <v>0</v>
      </c>
      <c r="CN391" s="44">
        <v>0</v>
      </c>
      <c r="CO391" s="44">
        <v>0</v>
      </c>
      <c r="CP391" s="44">
        <v>0</v>
      </c>
      <c r="CQ391" s="44">
        <v>1</v>
      </c>
      <c r="CR391" s="44">
        <v>0</v>
      </c>
      <c r="CV391" s="44">
        <v>0</v>
      </c>
      <c r="CW391" s="44">
        <v>0</v>
      </c>
    </row>
    <row r="392" s="44" customFormat="1" customHeight="1" spans="1:101">
      <c r="A392" s="81">
        <v>6747</v>
      </c>
      <c r="B392" s="44" t="s">
        <v>599</v>
      </c>
      <c r="O392" s="77">
        <v>0</v>
      </c>
      <c r="P392" s="77">
        <v>0</v>
      </c>
      <c r="Q392" s="77">
        <v>0</v>
      </c>
      <c r="R392" s="77">
        <v>0</v>
      </c>
      <c r="S392" s="64">
        <v>0</v>
      </c>
      <c r="T392" s="64">
        <v>0</v>
      </c>
      <c r="U392" s="64">
        <v>0</v>
      </c>
      <c r="V392" s="64">
        <v>0</v>
      </c>
      <c r="W392" s="63">
        <v>0</v>
      </c>
      <c r="X392" s="63">
        <v>0</v>
      </c>
      <c r="Y392" s="63">
        <v>0</v>
      </c>
      <c r="Z392" s="63">
        <v>0</v>
      </c>
      <c r="AA392" s="78">
        <v>0</v>
      </c>
      <c r="AB392" s="78">
        <v>0</v>
      </c>
      <c r="AC392" s="78">
        <v>0</v>
      </c>
      <c r="AD392" s="78">
        <v>0</v>
      </c>
      <c r="AE392" s="48"/>
      <c r="AU392" s="62"/>
      <c r="BK392" s="62"/>
      <c r="CA392" s="44">
        <v>1000</v>
      </c>
      <c r="CB392" s="44">
        <v>1000</v>
      </c>
      <c r="CC392" s="44">
        <v>0</v>
      </c>
      <c r="CD392" s="44">
        <v>0</v>
      </c>
      <c r="CE392" s="44">
        <v>0</v>
      </c>
      <c r="CF392" s="44">
        <v>0</v>
      </c>
      <c r="CG392" s="44">
        <v>0</v>
      </c>
      <c r="CH392" s="44">
        <v>0</v>
      </c>
      <c r="CI392" s="44">
        <v>1</v>
      </c>
      <c r="CJ392" s="44">
        <v>0</v>
      </c>
      <c r="CK392" s="44">
        <v>0</v>
      </c>
      <c r="CL392" s="44">
        <v>0</v>
      </c>
      <c r="CM392" s="44">
        <v>0</v>
      </c>
      <c r="CN392" s="44">
        <v>0</v>
      </c>
      <c r="CO392" s="44">
        <v>0</v>
      </c>
      <c r="CP392" s="44">
        <v>0</v>
      </c>
      <c r="CQ392" s="44">
        <v>1</v>
      </c>
      <c r="CR392" s="44">
        <v>0</v>
      </c>
      <c r="CV392" s="44">
        <v>0</v>
      </c>
      <c r="CW392" s="44">
        <v>0</v>
      </c>
    </row>
    <row r="393" s="44" customFormat="1" customHeight="1" spans="1:101">
      <c r="A393" s="81">
        <v>6748</v>
      </c>
      <c r="B393" s="44" t="s">
        <v>600</v>
      </c>
      <c r="O393" s="77">
        <v>0</v>
      </c>
      <c r="P393" s="77">
        <v>0</v>
      </c>
      <c r="Q393" s="77">
        <v>0</v>
      </c>
      <c r="R393" s="77">
        <v>0</v>
      </c>
      <c r="S393" s="64">
        <v>0</v>
      </c>
      <c r="T393" s="64">
        <v>0</v>
      </c>
      <c r="U393" s="64">
        <v>0</v>
      </c>
      <c r="V393" s="64">
        <v>0</v>
      </c>
      <c r="W393" s="63">
        <v>0</v>
      </c>
      <c r="X393" s="63">
        <v>0</v>
      </c>
      <c r="Y393" s="63">
        <v>0</v>
      </c>
      <c r="Z393" s="63">
        <v>0</v>
      </c>
      <c r="AA393" s="78">
        <v>0</v>
      </c>
      <c r="AB393" s="78">
        <v>0</v>
      </c>
      <c r="AC393" s="78">
        <v>0</v>
      </c>
      <c r="AD393" s="78">
        <v>0</v>
      </c>
      <c r="AE393" s="48"/>
      <c r="AU393" s="62"/>
      <c r="BK393" s="62"/>
      <c r="CA393" s="44">
        <v>1000</v>
      </c>
      <c r="CB393" s="44">
        <v>1000</v>
      </c>
      <c r="CC393" s="44">
        <v>0</v>
      </c>
      <c r="CD393" s="44">
        <v>0</v>
      </c>
      <c r="CE393" s="44">
        <v>0</v>
      </c>
      <c r="CF393" s="44">
        <v>0</v>
      </c>
      <c r="CG393" s="44">
        <v>0</v>
      </c>
      <c r="CH393" s="44">
        <v>0</v>
      </c>
      <c r="CI393" s="44">
        <v>1</v>
      </c>
      <c r="CJ393" s="44">
        <v>0</v>
      </c>
      <c r="CK393" s="44">
        <v>0</v>
      </c>
      <c r="CL393" s="44">
        <v>0</v>
      </c>
      <c r="CM393" s="44">
        <v>0</v>
      </c>
      <c r="CN393" s="44">
        <v>0</v>
      </c>
      <c r="CO393" s="44">
        <v>0</v>
      </c>
      <c r="CP393" s="44">
        <v>0</v>
      </c>
      <c r="CQ393" s="44">
        <v>1</v>
      </c>
      <c r="CR393" s="44">
        <v>0</v>
      </c>
      <c r="CV393" s="44">
        <v>0</v>
      </c>
      <c r="CW393" s="44">
        <v>0</v>
      </c>
    </row>
    <row r="394" s="44" customFormat="1" customHeight="1" spans="1:101">
      <c r="A394" s="81">
        <v>6749</v>
      </c>
      <c r="B394" s="44" t="s">
        <v>601</v>
      </c>
      <c r="O394" s="77">
        <v>0</v>
      </c>
      <c r="P394" s="77">
        <v>0</v>
      </c>
      <c r="Q394" s="77">
        <v>0</v>
      </c>
      <c r="R394" s="77">
        <v>0</v>
      </c>
      <c r="S394" s="64">
        <v>0</v>
      </c>
      <c r="T394" s="64">
        <v>0</v>
      </c>
      <c r="U394" s="64">
        <v>0</v>
      </c>
      <c r="V394" s="64">
        <v>0</v>
      </c>
      <c r="W394" s="63">
        <v>0</v>
      </c>
      <c r="X394" s="63">
        <v>0</v>
      </c>
      <c r="Y394" s="63">
        <v>0</v>
      </c>
      <c r="Z394" s="63">
        <v>0</v>
      </c>
      <c r="AA394" s="78">
        <v>0</v>
      </c>
      <c r="AB394" s="78">
        <v>0</v>
      </c>
      <c r="AC394" s="78">
        <v>0</v>
      </c>
      <c r="AD394" s="78">
        <v>0</v>
      </c>
      <c r="AE394" s="48"/>
      <c r="AU394" s="62"/>
      <c r="BK394" s="62"/>
      <c r="CA394" s="44">
        <v>1000</v>
      </c>
      <c r="CB394" s="44">
        <v>1000</v>
      </c>
      <c r="CC394" s="44">
        <v>0</v>
      </c>
      <c r="CD394" s="44">
        <v>0</v>
      </c>
      <c r="CE394" s="44">
        <v>0</v>
      </c>
      <c r="CF394" s="44">
        <v>0</v>
      </c>
      <c r="CG394" s="44">
        <v>0</v>
      </c>
      <c r="CH394" s="44">
        <v>0</v>
      </c>
      <c r="CI394" s="44">
        <v>1</v>
      </c>
      <c r="CJ394" s="44">
        <v>0</v>
      </c>
      <c r="CK394" s="44">
        <v>0</v>
      </c>
      <c r="CL394" s="44">
        <v>0</v>
      </c>
      <c r="CM394" s="44">
        <v>0</v>
      </c>
      <c r="CN394" s="44">
        <v>0</v>
      </c>
      <c r="CO394" s="44">
        <v>0</v>
      </c>
      <c r="CP394" s="44">
        <v>0</v>
      </c>
      <c r="CQ394" s="44">
        <v>1</v>
      </c>
      <c r="CR394" s="44">
        <v>0</v>
      </c>
      <c r="CV394" s="44">
        <v>0</v>
      </c>
      <c r="CW394" s="44">
        <v>0</v>
      </c>
    </row>
    <row r="395" s="44" customFormat="1" customHeight="1" spans="1:101">
      <c r="A395" s="81">
        <v>6750</v>
      </c>
      <c r="B395" s="44" t="s">
        <v>602</v>
      </c>
      <c r="O395" s="77">
        <v>0</v>
      </c>
      <c r="P395" s="77">
        <v>0</v>
      </c>
      <c r="Q395" s="77">
        <v>0</v>
      </c>
      <c r="R395" s="77">
        <v>0</v>
      </c>
      <c r="S395" s="64">
        <v>0</v>
      </c>
      <c r="T395" s="64">
        <v>0</v>
      </c>
      <c r="U395" s="64">
        <v>0</v>
      </c>
      <c r="V395" s="64">
        <v>0</v>
      </c>
      <c r="W395" s="63">
        <v>0</v>
      </c>
      <c r="X395" s="63">
        <v>0</v>
      </c>
      <c r="Y395" s="63">
        <v>0</v>
      </c>
      <c r="Z395" s="63">
        <v>0</v>
      </c>
      <c r="AA395" s="78">
        <v>0</v>
      </c>
      <c r="AB395" s="78">
        <v>0</v>
      </c>
      <c r="AC395" s="78">
        <v>0</v>
      </c>
      <c r="AD395" s="78">
        <v>0</v>
      </c>
      <c r="AE395" s="48"/>
      <c r="AU395" s="62"/>
      <c r="BK395" s="62"/>
      <c r="CA395" s="44">
        <v>1000</v>
      </c>
      <c r="CB395" s="44">
        <v>1000</v>
      </c>
      <c r="CC395" s="44">
        <v>0</v>
      </c>
      <c r="CD395" s="44">
        <v>0</v>
      </c>
      <c r="CE395" s="44">
        <v>0</v>
      </c>
      <c r="CF395" s="44">
        <v>0</v>
      </c>
      <c r="CG395" s="44">
        <v>0</v>
      </c>
      <c r="CH395" s="44">
        <v>0</v>
      </c>
      <c r="CI395" s="44">
        <v>1</v>
      </c>
      <c r="CJ395" s="44">
        <v>0</v>
      </c>
      <c r="CK395" s="44">
        <v>0</v>
      </c>
      <c r="CL395" s="44">
        <v>0</v>
      </c>
      <c r="CM395" s="44">
        <v>0</v>
      </c>
      <c r="CN395" s="44">
        <v>0</v>
      </c>
      <c r="CO395" s="44">
        <v>0</v>
      </c>
      <c r="CP395" s="44">
        <v>0</v>
      </c>
      <c r="CQ395" s="44">
        <v>1</v>
      </c>
      <c r="CR395" s="44">
        <v>0</v>
      </c>
      <c r="CV395" s="44">
        <v>0</v>
      </c>
      <c r="CW395" s="44">
        <v>0</v>
      </c>
    </row>
    <row r="396" s="44" customFormat="1" customHeight="1" spans="1:101">
      <c r="A396" s="81">
        <v>6751</v>
      </c>
      <c r="B396" s="79" t="s">
        <v>603</v>
      </c>
      <c r="O396" s="77">
        <v>200177</v>
      </c>
      <c r="P396" s="77">
        <v>2</v>
      </c>
      <c r="Q396" s="77">
        <v>0</v>
      </c>
      <c r="R396" s="77">
        <v>0</v>
      </c>
      <c r="S396" s="64">
        <v>0</v>
      </c>
      <c r="T396" s="64">
        <v>0</v>
      </c>
      <c r="U396" s="64">
        <v>0</v>
      </c>
      <c r="V396" s="64">
        <v>0</v>
      </c>
      <c r="W396" s="63">
        <v>0</v>
      </c>
      <c r="X396" s="63">
        <v>0</v>
      </c>
      <c r="Y396" s="63">
        <v>0</v>
      </c>
      <c r="Z396" s="63">
        <v>0</v>
      </c>
      <c r="AA396" s="78">
        <v>0</v>
      </c>
      <c r="AB396" s="78">
        <v>0</v>
      </c>
      <c r="AC396" s="78">
        <v>0</v>
      </c>
      <c r="AD396" s="78">
        <v>0</v>
      </c>
      <c r="AE396" s="48"/>
      <c r="AU396" s="62"/>
      <c r="BK396" s="62"/>
      <c r="CA396" s="44">
        <v>1000</v>
      </c>
      <c r="CB396" s="44">
        <v>1000</v>
      </c>
      <c r="CC396" s="44">
        <v>0</v>
      </c>
      <c r="CD396" s="44">
        <v>0</v>
      </c>
      <c r="CE396" s="44">
        <v>0</v>
      </c>
      <c r="CF396" s="44">
        <v>0</v>
      </c>
      <c r="CG396" s="44">
        <v>0</v>
      </c>
      <c r="CH396" s="44">
        <v>0</v>
      </c>
      <c r="CI396" s="44">
        <v>1</v>
      </c>
      <c r="CJ396" s="44">
        <v>0</v>
      </c>
      <c r="CK396" s="44">
        <v>0</v>
      </c>
      <c r="CL396" s="44">
        <v>0</v>
      </c>
      <c r="CM396" s="44">
        <v>0</v>
      </c>
      <c r="CN396" s="44">
        <v>0</v>
      </c>
      <c r="CO396" s="44">
        <v>0</v>
      </c>
      <c r="CP396" s="44">
        <v>0</v>
      </c>
      <c r="CQ396" s="44">
        <v>1</v>
      </c>
      <c r="CR396" s="44">
        <v>0</v>
      </c>
      <c r="CV396" s="44">
        <v>0</v>
      </c>
      <c r="CW396" s="44">
        <v>0</v>
      </c>
    </row>
    <row r="397" s="44" customFormat="1" customHeight="1" spans="1:101">
      <c r="A397" s="81">
        <v>6752</v>
      </c>
      <c r="B397" s="79" t="s">
        <v>604</v>
      </c>
      <c r="O397" s="77">
        <v>200235</v>
      </c>
      <c r="P397" s="77">
        <v>2</v>
      </c>
      <c r="Q397" s="77">
        <v>0</v>
      </c>
      <c r="R397" s="77">
        <v>0</v>
      </c>
      <c r="S397" s="64">
        <v>0</v>
      </c>
      <c r="T397" s="64">
        <v>0</v>
      </c>
      <c r="U397" s="64">
        <v>0</v>
      </c>
      <c r="V397" s="64">
        <v>0</v>
      </c>
      <c r="W397" s="63">
        <v>0</v>
      </c>
      <c r="X397" s="63">
        <v>0</v>
      </c>
      <c r="Y397" s="63">
        <v>0</v>
      </c>
      <c r="Z397" s="63">
        <v>0</v>
      </c>
      <c r="AA397" s="78">
        <v>0</v>
      </c>
      <c r="AB397" s="78">
        <v>0</v>
      </c>
      <c r="AC397" s="78">
        <v>0</v>
      </c>
      <c r="AD397" s="78">
        <v>0</v>
      </c>
      <c r="AE397" s="48"/>
      <c r="AU397" s="62"/>
      <c r="BK397" s="62"/>
      <c r="CA397" s="44">
        <v>1000</v>
      </c>
      <c r="CB397" s="44">
        <v>1000</v>
      </c>
      <c r="CC397" s="44">
        <v>0</v>
      </c>
      <c r="CD397" s="44">
        <v>0</v>
      </c>
      <c r="CE397" s="44">
        <v>0</v>
      </c>
      <c r="CF397" s="44">
        <v>0</v>
      </c>
      <c r="CG397" s="44">
        <v>0</v>
      </c>
      <c r="CH397" s="44">
        <v>0</v>
      </c>
      <c r="CI397" s="44">
        <v>1</v>
      </c>
      <c r="CJ397" s="44">
        <v>0</v>
      </c>
      <c r="CK397" s="44">
        <v>0</v>
      </c>
      <c r="CL397" s="44">
        <v>0</v>
      </c>
      <c r="CM397" s="44">
        <v>0</v>
      </c>
      <c r="CN397" s="44">
        <v>0</v>
      </c>
      <c r="CO397" s="44">
        <v>0</v>
      </c>
      <c r="CP397" s="44">
        <v>0</v>
      </c>
      <c r="CQ397" s="44">
        <v>1</v>
      </c>
      <c r="CR397" s="44">
        <v>0</v>
      </c>
      <c r="CV397" s="44">
        <v>0</v>
      </c>
      <c r="CW397" s="44">
        <v>0</v>
      </c>
    </row>
    <row r="398" s="44" customFormat="1" customHeight="1" spans="1:101">
      <c r="A398" s="81">
        <v>6753</v>
      </c>
      <c r="B398" s="79" t="s">
        <v>605</v>
      </c>
      <c r="O398" s="77">
        <v>200236</v>
      </c>
      <c r="P398" s="77">
        <v>2</v>
      </c>
      <c r="Q398" s="77">
        <v>0</v>
      </c>
      <c r="R398" s="77">
        <v>0</v>
      </c>
      <c r="S398" s="64">
        <v>0</v>
      </c>
      <c r="T398" s="64">
        <v>0</v>
      </c>
      <c r="U398" s="64">
        <v>0</v>
      </c>
      <c r="V398" s="64">
        <v>0</v>
      </c>
      <c r="W398" s="63">
        <v>0</v>
      </c>
      <c r="X398" s="63">
        <v>0</v>
      </c>
      <c r="Y398" s="63">
        <v>0</v>
      </c>
      <c r="Z398" s="63">
        <v>0</v>
      </c>
      <c r="AA398" s="78">
        <v>0</v>
      </c>
      <c r="AB398" s="78">
        <v>0</v>
      </c>
      <c r="AC398" s="78">
        <v>0</v>
      </c>
      <c r="AD398" s="78">
        <v>0</v>
      </c>
      <c r="AE398" s="48"/>
      <c r="AU398" s="62"/>
      <c r="BK398" s="62"/>
      <c r="CA398" s="44">
        <v>1000</v>
      </c>
      <c r="CB398" s="44">
        <v>1000</v>
      </c>
      <c r="CC398" s="44">
        <v>0</v>
      </c>
      <c r="CD398" s="44">
        <v>0</v>
      </c>
      <c r="CE398" s="44">
        <v>0</v>
      </c>
      <c r="CF398" s="44">
        <v>0</v>
      </c>
      <c r="CG398" s="44">
        <v>0</v>
      </c>
      <c r="CH398" s="44">
        <v>0</v>
      </c>
      <c r="CI398" s="44">
        <v>1</v>
      </c>
      <c r="CJ398" s="44">
        <v>0</v>
      </c>
      <c r="CK398" s="44">
        <v>0</v>
      </c>
      <c r="CL398" s="44">
        <v>0</v>
      </c>
      <c r="CM398" s="44">
        <v>0</v>
      </c>
      <c r="CN398" s="44">
        <v>0</v>
      </c>
      <c r="CO398" s="44">
        <v>0</v>
      </c>
      <c r="CP398" s="44">
        <v>0</v>
      </c>
      <c r="CQ398" s="44">
        <v>1</v>
      </c>
      <c r="CR398" s="44">
        <v>0</v>
      </c>
      <c r="CV398" s="44">
        <v>0</v>
      </c>
      <c r="CW398" s="44">
        <v>0</v>
      </c>
    </row>
    <row r="399" s="44" customFormat="1" customHeight="1" spans="1:101">
      <c r="A399" s="81">
        <v>6754</v>
      </c>
      <c r="B399" s="79" t="s">
        <v>606</v>
      </c>
      <c r="O399" s="77">
        <v>201217</v>
      </c>
      <c r="P399" s="77">
        <v>1</v>
      </c>
      <c r="Q399" s="77">
        <v>0</v>
      </c>
      <c r="R399" s="77">
        <v>0</v>
      </c>
      <c r="S399" s="64">
        <v>0</v>
      </c>
      <c r="T399" s="64">
        <v>0</v>
      </c>
      <c r="U399" s="64">
        <v>0</v>
      </c>
      <c r="V399" s="64">
        <v>0</v>
      </c>
      <c r="W399" s="63">
        <v>0</v>
      </c>
      <c r="X399" s="63">
        <v>0</v>
      </c>
      <c r="Y399" s="63">
        <v>0</v>
      </c>
      <c r="Z399" s="63">
        <v>0</v>
      </c>
      <c r="AA399" s="78">
        <v>0</v>
      </c>
      <c r="AB399" s="78">
        <v>0</v>
      </c>
      <c r="AC399" s="78">
        <v>0</v>
      </c>
      <c r="AD399" s="78">
        <v>0</v>
      </c>
      <c r="AE399" s="48"/>
      <c r="AU399" s="62"/>
      <c r="BK399" s="62"/>
      <c r="CA399" s="44">
        <v>1000</v>
      </c>
      <c r="CB399" s="44">
        <v>1000</v>
      </c>
      <c r="CC399" s="44">
        <v>0</v>
      </c>
      <c r="CD399" s="44">
        <v>0</v>
      </c>
      <c r="CE399" s="44">
        <v>0</v>
      </c>
      <c r="CF399" s="44">
        <v>0</v>
      </c>
      <c r="CG399" s="44">
        <v>0</v>
      </c>
      <c r="CH399" s="44">
        <v>0</v>
      </c>
      <c r="CI399" s="44">
        <v>1</v>
      </c>
      <c r="CJ399" s="44">
        <v>0</v>
      </c>
      <c r="CK399" s="44">
        <v>0</v>
      </c>
      <c r="CL399" s="44">
        <v>0</v>
      </c>
      <c r="CM399" s="44">
        <v>0</v>
      </c>
      <c r="CN399" s="44">
        <v>0</v>
      </c>
      <c r="CO399" s="44">
        <v>0</v>
      </c>
      <c r="CP399" s="44">
        <v>0</v>
      </c>
      <c r="CQ399" s="44">
        <v>1</v>
      </c>
      <c r="CR399" s="44">
        <v>0</v>
      </c>
      <c r="CV399" s="44">
        <v>0</v>
      </c>
      <c r="CW399" s="44">
        <v>0</v>
      </c>
    </row>
    <row r="400" s="44" customFormat="1" customHeight="1" spans="1:101">
      <c r="A400" s="81">
        <v>6755</v>
      </c>
      <c r="B400" s="79" t="s">
        <v>607</v>
      </c>
      <c r="O400" s="77">
        <v>200237</v>
      </c>
      <c r="P400" s="77">
        <v>1</v>
      </c>
      <c r="Q400" s="77">
        <v>0</v>
      </c>
      <c r="R400" s="77">
        <v>0</v>
      </c>
      <c r="S400" s="64">
        <v>0</v>
      </c>
      <c r="T400" s="64">
        <v>0</v>
      </c>
      <c r="U400" s="64">
        <v>0</v>
      </c>
      <c r="V400" s="64">
        <v>0</v>
      </c>
      <c r="W400" s="63">
        <v>0</v>
      </c>
      <c r="X400" s="63">
        <v>0</v>
      </c>
      <c r="Y400" s="63">
        <v>0</v>
      </c>
      <c r="Z400" s="63">
        <v>0</v>
      </c>
      <c r="AA400" s="78">
        <v>0</v>
      </c>
      <c r="AB400" s="78">
        <v>0</v>
      </c>
      <c r="AC400" s="78">
        <v>0</v>
      </c>
      <c r="AD400" s="78">
        <v>0</v>
      </c>
      <c r="AE400" s="48"/>
      <c r="AU400" s="62"/>
      <c r="BK400" s="62"/>
      <c r="CA400" s="44">
        <v>1000</v>
      </c>
      <c r="CB400" s="44">
        <v>1000</v>
      </c>
      <c r="CC400" s="44">
        <v>0</v>
      </c>
      <c r="CD400" s="44">
        <v>0</v>
      </c>
      <c r="CE400" s="44">
        <v>0</v>
      </c>
      <c r="CF400" s="44">
        <v>0</v>
      </c>
      <c r="CG400" s="44">
        <v>0</v>
      </c>
      <c r="CH400" s="44">
        <v>0</v>
      </c>
      <c r="CI400" s="44">
        <v>1</v>
      </c>
      <c r="CJ400" s="44">
        <v>0</v>
      </c>
      <c r="CK400" s="44">
        <v>0</v>
      </c>
      <c r="CL400" s="44">
        <v>0</v>
      </c>
      <c r="CM400" s="44">
        <v>0</v>
      </c>
      <c r="CN400" s="44">
        <v>0</v>
      </c>
      <c r="CO400" s="44">
        <v>0</v>
      </c>
      <c r="CP400" s="44">
        <v>0</v>
      </c>
      <c r="CQ400" s="44">
        <v>1</v>
      </c>
      <c r="CR400" s="44">
        <v>0</v>
      </c>
      <c r="CV400" s="44">
        <v>0</v>
      </c>
      <c r="CW400" s="44">
        <v>0</v>
      </c>
    </row>
    <row r="401" s="44" customFormat="1" customHeight="1" spans="1:101">
      <c r="A401" s="81">
        <v>6756</v>
      </c>
      <c r="B401" s="44" t="s">
        <v>599</v>
      </c>
      <c r="O401" s="77">
        <v>0</v>
      </c>
      <c r="P401" s="77">
        <v>0</v>
      </c>
      <c r="Q401" s="77">
        <v>0</v>
      </c>
      <c r="R401" s="77">
        <v>0</v>
      </c>
      <c r="S401" s="64">
        <v>0</v>
      </c>
      <c r="T401" s="64">
        <v>0</v>
      </c>
      <c r="U401" s="64">
        <v>0</v>
      </c>
      <c r="V401" s="64">
        <v>0</v>
      </c>
      <c r="W401" s="63">
        <v>0</v>
      </c>
      <c r="X401" s="63">
        <v>0</v>
      </c>
      <c r="Y401" s="63">
        <v>0</v>
      </c>
      <c r="Z401" s="63">
        <v>0</v>
      </c>
      <c r="AA401" s="78">
        <v>0</v>
      </c>
      <c r="AB401" s="78">
        <v>0</v>
      </c>
      <c r="AC401" s="78">
        <v>0</v>
      </c>
      <c r="AD401" s="78">
        <v>0</v>
      </c>
      <c r="AE401" s="48"/>
      <c r="AU401" s="62"/>
      <c r="BK401" s="62"/>
      <c r="CA401" s="44">
        <v>1000</v>
      </c>
      <c r="CB401" s="44">
        <v>1000</v>
      </c>
      <c r="CC401" s="44">
        <v>0</v>
      </c>
      <c r="CD401" s="44">
        <v>0</v>
      </c>
      <c r="CE401" s="44">
        <v>0</v>
      </c>
      <c r="CF401" s="44">
        <v>0</v>
      </c>
      <c r="CG401" s="44">
        <v>0</v>
      </c>
      <c r="CH401" s="44">
        <v>0</v>
      </c>
      <c r="CI401" s="44">
        <v>1</v>
      </c>
      <c r="CJ401" s="44">
        <v>0</v>
      </c>
      <c r="CK401" s="44">
        <v>0</v>
      </c>
      <c r="CL401" s="44">
        <v>0</v>
      </c>
      <c r="CM401" s="44">
        <v>0</v>
      </c>
      <c r="CN401" s="44">
        <v>0</v>
      </c>
      <c r="CO401" s="44">
        <v>0</v>
      </c>
      <c r="CP401" s="44">
        <v>0</v>
      </c>
      <c r="CQ401" s="44">
        <v>1</v>
      </c>
      <c r="CR401" s="44">
        <v>0</v>
      </c>
      <c r="CV401" s="44">
        <v>0</v>
      </c>
      <c r="CW401" s="44">
        <v>0</v>
      </c>
    </row>
    <row r="402" s="48" customFormat="1" customHeight="1" spans="1:101">
      <c r="A402" s="95">
        <v>6902</v>
      </c>
      <c r="B402" s="80" t="s">
        <v>608</v>
      </c>
      <c r="N402" s="44"/>
      <c r="O402" s="77">
        <v>200464</v>
      </c>
      <c r="P402" s="77">
        <v>1</v>
      </c>
      <c r="Q402" s="77">
        <v>0</v>
      </c>
      <c r="R402" s="77">
        <v>0</v>
      </c>
      <c r="S402" s="64">
        <v>0</v>
      </c>
      <c r="T402" s="64">
        <v>0</v>
      </c>
      <c r="U402" s="64">
        <v>0</v>
      </c>
      <c r="V402" s="64">
        <v>0</v>
      </c>
      <c r="W402" s="63">
        <v>0</v>
      </c>
      <c r="X402" s="63">
        <v>0</v>
      </c>
      <c r="Y402" s="63">
        <v>0</v>
      </c>
      <c r="Z402" s="63">
        <v>0</v>
      </c>
      <c r="AA402" s="78">
        <v>0</v>
      </c>
      <c r="AB402" s="78">
        <v>0</v>
      </c>
      <c r="AC402" s="78">
        <v>0</v>
      </c>
      <c r="AD402" s="78">
        <v>0</v>
      </c>
      <c r="AU402" s="62"/>
      <c r="BK402" s="62"/>
      <c r="CA402" s="48">
        <v>1000</v>
      </c>
      <c r="CB402" s="48">
        <v>1000</v>
      </c>
      <c r="CC402" s="48">
        <v>0</v>
      </c>
      <c r="CD402" s="48">
        <v>0</v>
      </c>
      <c r="CE402" s="48">
        <v>0</v>
      </c>
      <c r="CF402" s="48">
        <v>191118</v>
      </c>
      <c r="CG402" s="48">
        <v>0</v>
      </c>
      <c r="CH402" s="48">
        <v>0</v>
      </c>
      <c r="CI402" s="48">
        <v>1</v>
      </c>
      <c r="CJ402" s="48">
        <v>0</v>
      </c>
      <c r="CK402" s="48">
        <v>0</v>
      </c>
      <c r="CL402" s="48">
        <v>0</v>
      </c>
      <c r="CM402" s="48">
        <v>0</v>
      </c>
      <c r="CN402" s="48">
        <v>0</v>
      </c>
      <c r="CO402" s="48">
        <v>0</v>
      </c>
      <c r="CP402" s="48">
        <v>0</v>
      </c>
      <c r="CQ402" s="48">
        <v>1</v>
      </c>
      <c r="CR402" s="48">
        <v>0</v>
      </c>
      <c r="CV402" s="48">
        <v>0</v>
      </c>
      <c r="CW402" s="48">
        <v>0</v>
      </c>
    </row>
    <row r="403" s="51" customFormat="1" customHeight="1" spans="1:101">
      <c r="A403" s="124">
        <v>6903</v>
      </c>
      <c r="B403" s="123" t="s">
        <v>609</v>
      </c>
      <c r="I403" s="51" t="s">
        <v>116</v>
      </c>
      <c r="K403" s="51" t="s">
        <v>116</v>
      </c>
      <c r="N403" s="44"/>
      <c r="O403" s="77"/>
      <c r="P403" s="77"/>
      <c r="Q403" s="77"/>
      <c r="R403" s="77"/>
      <c r="S403" s="64"/>
      <c r="T403" s="64"/>
      <c r="U403" s="64"/>
      <c r="V403" s="64"/>
      <c r="W403" s="63"/>
      <c r="X403" s="63"/>
      <c r="Y403" s="63"/>
      <c r="Z403" s="63"/>
      <c r="AA403" s="78"/>
      <c r="AB403" s="78"/>
      <c r="AC403" s="78"/>
      <c r="AD403" s="78"/>
      <c r="AE403" s="48"/>
      <c r="AU403" s="62"/>
      <c r="BK403" s="62"/>
      <c r="CA403" s="51">
        <v>1000</v>
      </c>
      <c r="CB403" s="51">
        <v>1000</v>
      </c>
      <c r="CC403" s="51">
        <v>0</v>
      </c>
      <c r="CD403" s="51">
        <v>0</v>
      </c>
      <c r="CE403" s="51">
        <v>0</v>
      </c>
      <c r="CF403" s="51">
        <v>0</v>
      </c>
      <c r="CG403" s="51">
        <v>0</v>
      </c>
      <c r="CH403" s="51">
        <v>0</v>
      </c>
      <c r="CI403" s="51">
        <v>1</v>
      </c>
      <c r="CJ403" s="51">
        <v>0</v>
      </c>
      <c r="CK403" s="51">
        <v>0</v>
      </c>
      <c r="CL403" s="51">
        <v>0</v>
      </c>
      <c r="CM403" s="51">
        <v>0</v>
      </c>
      <c r="CN403" s="51">
        <v>0</v>
      </c>
      <c r="CO403" s="51">
        <v>0</v>
      </c>
      <c r="CP403" s="51">
        <v>0</v>
      </c>
      <c r="CQ403" s="51">
        <v>1</v>
      </c>
      <c r="CR403" s="51">
        <v>0</v>
      </c>
      <c r="CV403" s="51">
        <v>0</v>
      </c>
      <c r="CW403" s="51">
        <v>0</v>
      </c>
    </row>
    <row r="404" s="51" customFormat="1" customHeight="1" spans="1:101">
      <c r="A404" s="124">
        <v>6904</v>
      </c>
      <c r="B404" s="123" t="s">
        <v>610</v>
      </c>
      <c r="I404" s="51" t="s">
        <v>116</v>
      </c>
      <c r="K404" s="51" t="s">
        <v>116</v>
      </c>
      <c r="N404" s="44"/>
      <c r="O404" s="77"/>
      <c r="P404" s="77"/>
      <c r="Q404" s="77"/>
      <c r="R404" s="77"/>
      <c r="S404" s="64"/>
      <c r="T404" s="64"/>
      <c r="U404" s="64"/>
      <c r="V404" s="64"/>
      <c r="W404" s="63"/>
      <c r="X404" s="63"/>
      <c r="Y404" s="63"/>
      <c r="Z404" s="63"/>
      <c r="AA404" s="78"/>
      <c r="AB404" s="78"/>
      <c r="AC404" s="78"/>
      <c r="AD404" s="78"/>
      <c r="AE404" s="48"/>
      <c r="AU404" s="62"/>
      <c r="BK404" s="62"/>
      <c r="CA404" s="51">
        <v>1000</v>
      </c>
      <c r="CB404" s="51">
        <v>1000</v>
      </c>
      <c r="CC404" s="51">
        <v>0</v>
      </c>
      <c r="CD404" s="51">
        <v>0</v>
      </c>
      <c r="CE404" s="51">
        <v>0</v>
      </c>
      <c r="CF404" s="51">
        <v>0</v>
      </c>
      <c r="CG404" s="51">
        <v>0</v>
      </c>
      <c r="CH404" s="51">
        <v>0</v>
      </c>
      <c r="CI404" s="51">
        <v>1</v>
      </c>
      <c r="CJ404" s="51">
        <v>0</v>
      </c>
      <c r="CK404" s="51">
        <v>0</v>
      </c>
      <c r="CL404" s="51">
        <v>0</v>
      </c>
      <c r="CM404" s="51">
        <v>0</v>
      </c>
      <c r="CN404" s="51">
        <v>0</v>
      </c>
      <c r="CO404" s="51">
        <v>0</v>
      </c>
      <c r="CP404" s="51">
        <v>0</v>
      </c>
      <c r="CQ404" s="51">
        <v>1</v>
      </c>
      <c r="CR404" s="51">
        <v>0</v>
      </c>
      <c r="CV404" s="51">
        <v>0</v>
      </c>
      <c r="CW404" s="51">
        <v>0</v>
      </c>
    </row>
    <row r="405" s="51" customFormat="1" customHeight="1" spans="1:101">
      <c r="A405" s="124">
        <v>6905</v>
      </c>
      <c r="B405" s="123" t="s">
        <v>611</v>
      </c>
      <c r="I405" s="51" t="s">
        <v>116</v>
      </c>
      <c r="K405" s="51" t="s">
        <v>116</v>
      </c>
      <c r="N405" s="44"/>
      <c r="O405" s="77"/>
      <c r="P405" s="77"/>
      <c r="Q405" s="77"/>
      <c r="R405" s="77"/>
      <c r="S405" s="64"/>
      <c r="T405" s="64"/>
      <c r="U405" s="64"/>
      <c r="V405" s="64"/>
      <c r="W405" s="63"/>
      <c r="X405" s="63"/>
      <c r="Y405" s="63"/>
      <c r="Z405" s="63"/>
      <c r="AA405" s="78"/>
      <c r="AB405" s="78"/>
      <c r="AC405" s="78"/>
      <c r="AD405" s="78"/>
      <c r="AE405" s="48"/>
      <c r="AU405" s="62"/>
      <c r="BK405" s="62"/>
      <c r="CA405" s="51">
        <v>1000</v>
      </c>
      <c r="CB405" s="51">
        <v>1000</v>
      </c>
      <c r="CC405" s="51">
        <v>0</v>
      </c>
      <c r="CD405" s="51">
        <v>0</v>
      </c>
      <c r="CE405" s="51">
        <v>0</v>
      </c>
      <c r="CF405" s="51">
        <v>0</v>
      </c>
      <c r="CG405" s="51">
        <v>0</v>
      </c>
      <c r="CH405" s="51">
        <v>0</v>
      </c>
      <c r="CI405" s="51">
        <v>1</v>
      </c>
      <c r="CJ405" s="51">
        <v>0</v>
      </c>
      <c r="CK405" s="51">
        <v>0</v>
      </c>
      <c r="CL405" s="51">
        <v>0</v>
      </c>
      <c r="CM405" s="51">
        <v>0</v>
      </c>
      <c r="CN405" s="51">
        <v>0</v>
      </c>
      <c r="CO405" s="51">
        <v>0</v>
      </c>
      <c r="CP405" s="51">
        <v>0</v>
      </c>
      <c r="CQ405" s="51">
        <v>1</v>
      </c>
      <c r="CR405" s="51">
        <v>0</v>
      </c>
      <c r="CV405" s="51">
        <v>0</v>
      </c>
      <c r="CW405" s="51">
        <v>0</v>
      </c>
    </row>
    <row r="406" s="44" customFormat="1" customHeight="1" spans="1:101">
      <c r="A406" s="45">
        <v>6930</v>
      </c>
      <c r="B406" s="79" t="s">
        <v>612</v>
      </c>
      <c r="O406" s="77">
        <v>0</v>
      </c>
      <c r="P406" s="77">
        <v>0</v>
      </c>
      <c r="Q406" s="77">
        <v>0</v>
      </c>
      <c r="R406" s="77">
        <v>0</v>
      </c>
      <c r="S406" s="64">
        <v>0</v>
      </c>
      <c r="T406" s="64">
        <v>0</v>
      </c>
      <c r="U406" s="64">
        <v>0</v>
      </c>
      <c r="V406" s="64">
        <v>0</v>
      </c>
      <c r="W406" s="63">
        <v>0</v>
      </c>
      <c r="X406" s="63">
        <v>0</v>
      </c>
      <c r="Y406" s="63">
        <v>0</v>
      </c>
      <c r="Z406" s="63">
        <v>0</v>
      </c>
      <c r="AA406" s="78">
        <v>0</v>
      </c>
      <c r="AB406" s="78">
        <v>0</v>
      </c>
      <c r="AC406" s="78">
        <v>0</v>
      </c>
      <c r="AD406" s="78">
        <v>0</v>
      </c>
      <c r="AE406" s="48">
        <v>200240</v>
      </c>
      <c r="AF406" s="44">
        <v>200240</v>
      </c>
      <c r="AG406" s="44">
        <v>200240</v>
      </c>
      <c r="AH406" s="44">
        <v>200561</v>
      </c>
      <c r="AI406" s="44">
        <v>200561</v>
      </c>
      <c r="AJ406" s="44">
        <v>200561</v>
      </c>
      <c r="AK406" s="44">
        <v>200553</v>
      </c>
      <c r="AL406" s="44">
        <v>200553</v>
      </c>
      <c r="AM406" s="44">
        <v>200553</v>
      </c>
      <c r="AU406" s="62">
        <v>1</v>
      </c>
      <c r="AV406" s="44">
        <v>2</v>
      </c>
      <c r="AW406" s="44">
        <v>3</v>
      </c>
      <c r="AX406" s="44">
        <v>1</v>
      </c>
      <c r="AY406" s="44">
        <v>2</v>
      </c>
      <c r="AZ406" s="44">
        <v>3</v>
      </c>
      <c r="BA406" s="44">
        <v>1</v>
      </c>
      <c r="BB406" s="44">
        <v>2</v>
      </c>
      <c r="BC406" s="44">
        <v>3</v>
      </c>
      <c r="BK406" s="62">
        <v>200</v>
      </c>
      <c r="BL406" s="44">
        <v>100</v>
      </c>
      <c r="BM406" s="44">
        <v>50</v>
      </c>
      <c r="BN406" s="44">
        <v>200</v>
      </c>
      <c r="BO406" s="44">
        <v>100</v>
      </c>
      <c r="BP406" s="44">
        <v>50</v>
      </c>
      <c r="BQ406" s="44">
        <v>200</v>
      </c>
      <c r="BR406" s="44">
        <v>100</v>
      </c>
      <c r="BS406" s="44">
        <v>50</v>
      </c>
      <c r="CA406" s="44">
        <v>300</v>
      </c>
      <c r="CB406" s="44">
        <v>1050</v>
      </c>
      <c r="CC406" s="44">
        <v>0</v>
      </c>
      <c r="CD406" s="44">
        <v>0</v>
      </c>
      <c r="CE406" s="44">
        <v>0</v>
      </c>
      <c r="CF406" s="44">
        <v>191117</v>
      </c>
      <c r="CG406" s="44">
        <v>0</v>
      </c>
      <c r="CH406" s="44">
        <v>0</v>
      </c>
      <c r="CI406" s="44">
        <v>1</v>
      </c>
      <c r="CJ406" s="44">
        <v>0</v>
      </c>
      <c r="CK406" s="44">
        <v>0</v>
      </c>
      <c r="CL406" s="44">
        <v>0</v>
      </c>
      <c r="CM406" s="44">
        <v>0</v>
      </c>
      <c r="CN406" s="44">
        <v>0</v>
      </c>
      <c r="CO406" s="44">
        <v>0</v>
      </c>
      <c r="CP406" s="44">
        <v>0</v>
      </c>
      <c r="CQ406" s="44">
        <v>1</v>
      </c>
      <c r="CR406" s="44">
        <v>0</v>
      </c>
      <c r="CV406" s="44">
        <v>0</v>
      </c>
      <c r="CW406" s="44">
        <v>0</v>
      </c>
    </row>
    <row r="407" s="44" customFormat="1" customHeight="1" spans="1:101">
      <c r="A407" s="45">
        <v>6946</v>
      </c>
      <c r="B407" s="79" t="s">
        <v>613</v>
      </c>
      <c r="H407" s="48">
        <v>1000</v>
      </c>
      <c r="O407" s="77">
        <v>200612</v>
      </c>
      <c r="P407" s="77">
        <v>1</v>
      </c>
      <c r="Q407" s="77">
        <v>0</v>
      </c>
      <c r="R407" s="77">
        <v>0</v>
      </c>
      <c r="S407" s="64">
        <v>200732</v>
      </c>
      <c r="T407" s="64">
        <v>1</v>
      </c>
      <c r="U407" s="64">
        <v>0</v>
      </c>
      <c r="V407" s="64">
        <v>0</v>
      </c>
      <c r="W407" s="63">
        <v>0</v>
      </c>
      <c r="X407" s="63">
        <v>0</v>
      </c>
      <c r="Y407" s="63">
        <v>0</v>
      </c>
      <c r="Z407" s="63">
        <v>0</v>
      </c>
      <c r="AA407" s="78">
        <v>0</v>
      </c>
      <c r="AB407" s="78">
        <v>0</v>
      </c>
      <c r="AC407" s="78">
        <v>0</v>
      </c>
      <c r="AD407" s="78">
        <v>0</v>
      </c>
      <c r="AE407" s="48"/>
      <c r="AU407" s="62"/>
      <c r="BK407" s="62"/>
      <c r="CA407" s="44">
        <v>300</v>
      </c>
      <c r="CB407" s="44">
        <v>300</v>
      </c>
      <c r="CC407" s="44">
        <v>0</v>
      </c>
      <c r="CD407" s="44">
        <v>0</v>
      </c>
      <c r="CE407" s="44">
        <v>0</v>
      </c>
      <c r="CF407" s="44">
        <v>0</v>
      </c>
      <c r="CG407" s="44">
        <v>0</v>
      </c>
      <c r="CH407" s="44">
        <v>0</v>
      </c>
      <c r="CI407" s="44">
        <v>1</v>
      </c>
      <c r="CJ407" s="44">
        <v>0</v>
      </c>
      <c r="CK407" s="44">
        <v>0</v>
      </c>
      <c r="CL407" s="44">
        <v>0</v>
      </c>
      <c r="CM407" s="44">
        <v>0</v>
      </c>
      <c r="CN407" s="44">
        <v>0</v>
      </c>
      <c r="CO407" s="44">
        <v>0</v>
      </c>
      <c r="CP407" s="44">
        <v>0</v>
      </c>
      <c r="CQ407" s="44">
        <v>1</v>
      </c>
      <c r="CR407" s="44">
        <v>0</v>
      </c>
      <c r="CV407" s="44">
        <v>0</v>
      </c>
      <c r="CW407" s="44">
        <v>0</v>
      </c>
    </row>
    <row r="408" s="44" customFormat="1" customHeight="1" spans="1:101">
      <c r="A408" s="45">
        <v>6953</v>
      </c>
      <c r="B408" s="79" t="s">
        <v>614</v>
      </c>
      <c r="H408" s="48">
        <v>1000</v>
      </c>
      <c r="I408" s="48">
        <v>1000</v>
      </c>
      <c r="O408" s="77">
        <v>200671</v>
      </c>
      <c r="P408" s="77">
        <v>1</v>
      </c>
      <c r="Q408" s="77">
        <v>0</v>
      </c>
      <c r="R408" s="77">
        <v>0</v>
      </c>
      <c r="S408" s="64">
        <v>0</v>
      </c>
      <c r="T408" s="64">
        <v>0</v>
      </c>
      <c r="U408" s="64">
        <v>0</v>
      </c>
      <c r="V408" s="64">
        <v>0</v>
      </c>
      <c r="W408" s="63">
        <v>0</v>
      </c>
      <c r="X408" s="63">
        <v>0</v>
      </c>
      <c r="Y408" s="63">
        <v>0</v>
      </c>
      <c r="Z408" s="63">
        <v>0</v>
      </c>
      <c r="AA408" s="78">
        <v>0</v>
      </c>
      <c r="AB408" s="78">
        <v>0</v>
      </c>
      <c r="AC408" s="78">
        <v>0</v>
      </c>
      <c r="AD408" s="78">
        <v>0</v>
      </c>
      <c r="AE408" s="48">
        <v>200671</v>
      </c>
      <c r="AF408" s="44">
        <v>200389</v>
      </c>
      <c r="AG408" s="44">
        <v>200687</v>
      </c>
      <c r="AH408" s="44">
        <v>200679</v>
      </c>
      <c r="AI408" s="44">
        <v>200680</v>
      </c>
      <c r="AU408" s="62">
        <v>1</v>
      </c>
      <c r="AV408" s="44">
        <v>1</v>
      </c>
      <c r="AW408" s="44">
        <v>1</v>
      </c>
      <c r="AX408" s="44">
        <v>1</v>
      </c>
      <c r="AY408" s="44">
        <v>1</v>
      </c>
      <c r="BK408" s="62">
        <v>200</v>
      </c>
      <c r="BL408" s="44">
        <v>100</v>
      </c>
      <c r="BM408" s="44">
        <v>100</v>
      </c>
      <c r="BN408" s="44">
        <v>20</v>
      </c>
      <c r="BO408" s="44">
        <v>80</v>
      </c>
      <c r="CA408" s="44">
        <v>500</v>
      </c>
      <c r="CB408" s="44">
        <v>500</v>
      </c>
      <c r="CC408" s="44">
        <v>0</v>
      </c>
      <c r="CD408" s="44">
        <v>0</v>
      </c>
      <c r="CE408" s="44">
        <v>0</v>
      </c>
      <c r="CF408" s="44">
        <v>0</v>
      </c>
      <c r="CG408" s="44">
        <v>1</v>
      </c>
      <c r="CH408" s="44">
        <v>0</v>
      </c>
      <c r="CI408" s="44">
        <v>1</v>
      </c>
      <c r="CJ408" s="44">
        <v>0</v>
      </c>
      <c r="CK408" s="44">
        <v>0</v>
      </c>
      <c r="CL408" s="44">
        <v>0</v>
      </c>
      <c r="CM408" s="44">
        <v>0</v>
      </c>
      <c r="CN408" s="44">
        <v>0</v>
      </c>
      <c r="CO408" s="44">
        <v>0</v>
      </c>
      <c r="CP408" s="44">
        <v>0</v>
      </c>
      <c r="CQ408" s="44">
        <v>1</v>
      </c>
      <c r="CR408" s="44">
        <v>0</v>
      </c>
      <c r="CV408" s="44">
        <v>0</v>
      </c>
      <c r="CW408" s="44">
        <v>0</v>
      </c>
    </row>
    <row r="409" s="44" customFormat="1" customHeight="1" spans="1:101">
      <c r="A409" s="45">
        <v>6954</v>
      </c>
      <c r="B409" s="79" t="s">
        <v>615</v>
      </c>
      <c r="H409" s="48">
        <v>1000</v>
      </c>
      <c r="I409" s="48">
        <v>1000</v>
      </c>
      <c r="O409" s="77">
        <v>200222</v>
      </c>
      <c r="P409" s="77">
        <v>1</v>
      </c>
      <c r="Q409" s="77">
        <v>0</v>
      </c>
      <c r="R409" s="77">
        <v>0</v>
      </c>
      <c r="S409" s="64">
        <v>0</v>
      </c>
      <c r="T409" s="64">
        <v>0</v>
      </c>
      <c r="U409" s="64">
        <v>0</v>
      </c>
      <c r="V409" s="64">
        <v>0</v>
      </c>
      <c r="W409" s="63">
        <v>0</v>
      </c>
      <c r="X409" s="63">
        <v>0</v>
      </c>
      <c r="Y409" s="63">
        <v>0</v>
      </c>
      <c r="Z409" s="63">
        <v>0</v>
      </c>
      <c r="AA409" s="78">
        <v>0</v>
      </c>
      <c r="AB409" s="78">
        <v>0</v>
      </c>
      <c r="AC409" s="78">
        <v>0</v>
      </c>
      <c r="AD409" s="78">
        <v>0</v>
      </c>
      <c r="AE409" s="48">
        <v>200222</v>
      </c>
      <c r="AF409" s="44">
        <v>200681</v>
      </c>
      <c r="AG409" s="44">
        <v>200679</v>
      </c>
      <c r="AH409" s="44">
        <v>200682</v>
      </c>
      <c r="AI409" s="44">
        <v>200685</v>
      </c>
      <c r="AJ409" s="44">
        <v>200674</v>
      </c>
      <c r="AU409" s="62">
        <v>1</v>
      </c>
      <c r="AV409" s="44">
        <v>1</v>
      </c>
      <c r="AW409" s="44">
        <v>1</v>
      </c>
      <c r="AX409" s="44">
        <v>1</v>
      </c>
      <c r="AY409" s="44">
        <v>1</v>
      </c>
      <c r="AZ409" s="44">
        <v>1</v>
      </c>
      <c r="BK409" s="62">
        <v>200</v>
      </c>
      <c r="BL409" s="44">
        <v>200</v>
      </c>
      <c r="BM409" s="44">
        <v>40</v>
      </c>
      <c r="BN409" s="44">
        <v>40</v>
      </c>
      <c r="BO409" s="44">
        <v>18</v>
      </c>
      <c r="BP409" s="44">
        <v>2</v>
      </c>
      <c r="CA409" s="44">
        <v>500</v>
      </c>
      <c r="CB409" s="44">
        <v>500</v>
      </c>
      <c r="CC409" s="44">
        <v>0</v>
      </c>
      <c r="CD409" s="44">
        <v>0</v>
      </c>
      <c r="CE409" s="44">
        <v>0</v>
      </c>
      <c r="CF409" s="44">
        <v>0</v>
      </c>
      <c r="CG409" s="44">
        <v>1</v>
      </c>
      <c r="CH409" s="44">
        <v>0</v>
      </c>
      <c r="CI409" s="44">
        <v>1</v>
      </c>
      <c r="CJ409" s="44">
        <v>0</v>
      </c>
      <c r="CK409" s="44">
        <v>0</v>
      </c>
      <c r="CL409" s="44">
        <v>0</v>
      </c>
      <c r="CM409" s="44">
        <v>0</v>
      </c>
      <c r="CN409" s="44">
        <v>0</v>
      </c>
      <c r="CO409" s="44">
        <v>0</v>
      </c>
      <c r="CP409" s="44">
        <v>0</v>
      </c>
      <c r="CQ409" s="44">
        <v>1</v>
      </c>
      <c r="CR409" s="44">
        <v>0</v>
      </c>
      <c r="CV409" s="44">
        <v>0</v>
      </c>
      <c r="CW409" s="44">
        <v>0</v>
      </c>
    </row>
    <row r="410" s="44" customFormat="1" customHeight="1" spans="1:101">
      <c r="A410" s="45">
        <v>6955</v>
      </c>
      <c r="B410" s="79" t="s">
        <v>616</v>
      </c>
      <c r="H410" s="48">
        <v>1000</v>
      </c>
      <c r="I410" s="48">
        <v>1000</v>
      </c>
      <c r="O410" s="77">
        <v>200222</v>
      </c>
      <c r="P410" s="77">
        <v>2</v>
      </c>
      <c r="Q410" s="77">
        <v>0</v>
      </c>
      <c r="R410" s="77">
        <v>0</v>
      </c>
      <c r="S410" s="64">
        <v>0</v>
      </c>
      <c r="T410" s="64">
        <v>0</v>
      </c>
      <c r="U410" s="64">
        <v>0</v>
      </c>
      <c r="V410" s="64">
        <v>0</v>
      </c>
      <c r="W410" s="63">
        <v>0</v>
      </c>
      <c r="X410" s="63">
        <v>0</v>
      </c>
      <c r="Y410" s="63">
        <v>0</v>
      </c>
      <c r="Z410" s="63">
        <v>0</v>
      </c>
      <c r="AA410" s="78">
        <v>0</v>
      </c>
      <c r="AB410" s="78">
        <v>0</v>
      </c>
      <c r="AC410" s="78">
        <v>0</v>
      </c>
      <c r="AD410" s="78">
        <v>0</v>
      </c>
      <c r="AE410" s="48">
        <v>200222</v>
      </c>
      <c r="AF410" s="44">
        <v>200682</v>
      </c>
      <c r="AG410" s="44">
        <v>200679</v>
      </c>
      <c r="AH410" s="44">
        <v>200684</v>
      </c>
      <c r="AI410" s="44">
        <v>200686</v>
      </c>
      <c r="AJ410" s="44">
        <v>200674</v>
      </c>
      <c r="AU410" s="62">
        <v>2</v>
      </c>
      <c r="AV410" s="44">
        <v>1</v>
      </c>
      <c r="AW410" s="44">
        <v>1</v>
      </c>
      <c r="AX410" s="44">
        <v>1</v>
      </c>
      <c r="AY410" s="44">
        <v>1</v>
      </c>
      <c r="AZ410" s="44">
        <v>1</v>
      </c>
      <c r="BK410" s="62">
        <v>200</v>
      </c>
      <c r="BL410" s="44">
        <v>200</v>
      </c>
      <c r="BM410" s="44">
        <v>40</v>
      </c>
      <c r="BN410" s="44">
        <v>50</v>
      </c>
      <c r="BO410" s="44">
        <v>5</v>
      </c>
      <c r="BP410" s="44">
        <v>5</v>
      </c>
      <c r="CA410" s="44">
        <v>500</v>
      </c>
      <c r="CB410" s="44">
        <v>500</v>
      </c>
      <c r="CC410" s="44">
        <v>0</v>
      </c>
      <c r="CD410" s="44">
        <v>0</v>
      </c>
      <c r="CE410" s="44">
        <v>0</v>
      </c>
      <c r="CF410" s="44">
        <v>0</v>
      </c>
      <c r="CG410" s="44">
        <v>1</v>
      </c>
      <c r="CH410" s="44">
        <v>0</v>
      </c>
      <c r="CI410" s="44">
        <v>1</v>
      </c>
      <c r="CJ410" s="44">
        <v>0</v>
      </c>
      <c r="CK410" s="44">
        <v>0</v>
      </c>
      <c r="CL410" s="44">
        <v>0</v>
      </c>
      <c r="CM410" s="44">
        <v>0</v>
      </c>
      <c r="CN410" s="44">
        <v>0</v>
      </c>
      <c r="CO410" s="44">
        <v>0</v>
      </c>
      <c r="CP410" s="44">
        <v>0</v>
      </c>
      <c r="CQ410" s="44">
        <v>1</v>
      </c>
      <c r="CR410" s="44">
        <v>0</v>
      </c>
      <c r="CV410" s="44">
        <v>0</v>
      </c>
      <c r="CW410" s="44">
        <v>0</v>
      </c>
    </row>
    <row r="411" s="44" customFormat="1" customHeight="1" spans="1:101">
      <c r="A411" s="45">
        <v>6967</v>
      </c>
      <c r="B411" s="79" t="s">
        <v>614</v>
      </c>
      <c r="H411" s="48">
        <v>1000</v>
      </c>
      <c r="I411" s="48">
        <v>1000</v>
      </c>
      <c r="O411" s="77">
        <v>200671</v>
      </c>
      <c r="P411" s="77">
        <v>1</v>
      </c>
      <c r="Q411" s="77">
        <v>0</v>
      </c>
      <c r="R411" s="77">
        <v>0</v>
      </c>
      <c r="S411" s="64">
        <v>0</v>
      </c>
      <c r="T411" s="64">
        <v>0</v>
      </c>
      <c r="U411" s="64">
        <v>0</v>
      </c>
      <c r="V411" s="64">
        <v>0</v>
      </c>
      <c r="W411" s="63">
        <v>0</v>
      </c>
      <c r="X411" s="63">
        <v>0</v>
      </c>
      <c r="Y411" s="63">
        <v>0</v>
      </c>
      <c r="Z411" s="63">
        <v>0</v>
      </c>
      <c r="AA411" s="78">
        <v>0</v>
      </c>
      <c r="AB411" s="78">
        <v>0</v>
      </c>
      <c r="AC411" s="78">
        <v>0</v>
      </c>
      <c r="AD411" s="78">
        <v>0</v>
      </c>
      <c r="AE411" s="48">
        <v>200672</v>
      </c>
      <c r="AF411" s="44">
        <v>200673</v>
      </c>
      <c r="AG411" s="44">
        <v>200675</v>
      </c>
      <c r="AJ411" s="132"/>
      <c r="AU411" s="62">
        <v>1</v>
      </c>
      <c r="AV411" s="44">
        <v>1</v>
      </c>
      <c r="AW411" s="44">
        <v>1</v>
      </c>
      <c r="AY411" s="132"/>
      <c r="BK411" s="62">
        <v>200</v>
      </c>
      <c r="BL411" s="44">
        <v>200</v>
      </c>
      <c r="BM411" s="44">
        <v>100</v>
      </c>
      <c r="CA411" s="44">
        <f t="shared" ref="CA411:CA416" si="144">SUM(BK411:BZ411)</f>
        <v>500</v>
      </c>
      <c r="CB411" s="44">
        <f t="shared" ref="CB411:CB417" si="145">SUM(BK411:BZ411)</f>
        <v>500</v>
      </c>
      <c r="CC411" s="44">
        <v>0</v>
      </c>
      <c r="CD411" s="44">
        <v>0</v>
      </c>
      <c r="CE411" s="44">
        <v>0</v>
      </c>
      <c r="CF411" s="44">
        <v>0</v>
      </c>
      <c r="CG411" s="44">
        <v>1</v>
      </c>
      <c r="CH411" s="44">
        <v>0</v>
      </c>
      <c r="CI411" s="44">
        <v>1</v>
      </c>
      <c r="CJ411" s="44">
        <v>0</v>
      </c>
      <c r="CK411" s="44">
        <v>0</v>
      </c>
      <c r="CL411" s="44">
        <v>0</v>
      </c>
      <c r="CM411" s="44">
        <v>0</v>
      </c>
      <c r="CN411" s="44">
        <v>0</v>
      </c>
      <c r="CO411" s="44">
        <v>0</v>
      </c>
      <c r="CP411" s="44">
        <v>0</v>
      </c>
      <c r="CQ411" s="44">
        <v>1</v>
      </c>
      <c r="CR411" s="44">
        <v>0</v>
      </c>
      <c r="CV411" s="44">
        <v>0</v>
      </c>
      <c r="CW411" s="44">
        <v>0</v>
      </c>
    </row>
    <row r="412" s="44" customFormat="1" customHeight="1" spans="1:101">
      <c r="A412" s="45">
        <v>6968</v>
      </c>
      <c r="B412" s="79" t="s">
        <v>615</v>
      </c>
      <c r="H412" s="48">
        <v>1000</v>
      </c>
      <c r="I412" s="48">
        <v>1000</v>
      </c>
      <c r="O412" s="77">
        <v>200222</v>
      </c>
      <c r="P412" s="77">
        <v>1</v>
      </c>
      <c r="Q412" s="77">
        <v>0</v>
      </c>
      <c r="R412" s="77">
        <v>0</v>
      </c>
      <c r="S412" s="64">
        <v>0</v>
      </c>
      <c r="T412" s="64">
        <v>0</v>
      </c>
      <c r="U412" s="64">
        <v>0</v>
      </c>
      <c r="V412" s="64">
        <v>0</v>
      </c>
      <c r="W412" s="63">
        <v>0</v>
      </c>
      <c r="X412" s="63">
        <v>0</v>
      </c>
      <c r="Y412" s="63">
        <v>0</v>
      </c>
      <c r="Z412" s="63">
        <v>0</v>
      </c>
      <c r="AA412" s="78">
        <v>0</v>
      </c>
      <c r="AB412" s="78">
        <v>0</v>
      </c>
      <c r="AC412" s="78">
        <v>0</v>
      </c>
      <c r="AD412" s="78">
        <v>0</v>
      </c>
      <c r="AE412" s="48">
        <v>200505</v>
      </c>
      <c r="AF412" s="44">
        <v>200689</v>
      </c>
      <c r="AG412" s="44">
        <v>200673</v>
      </c>
      <c r="AH412" s="44">
        <v>200678</v>
      </c>
      <c r="AJ412" s="132"/>
      <c r="AU412" s="62">
        <v>1</v>
      </c>
      <c r="AV412" s="44">
        <v>1</v>
      </c>
      <c r="AW412" s="44">
        <v>1</v>
      </c>
      <c r="AX412" s="44">
        <v>1</v>
      </c>
      <c r="AY412" s="132"/>
      <c r="BK412" s="62">
        <v>200</v>
      </c>
      <c r="BL412" s="44">
        <v>200</v>
      </c>
      <c r="BM412" s="44">
        <v>100</v>
      </c>
      <c r="BN412" s="44">
        <v>100</v>
      </c>
      <c r="CA412" s="44">
        <f t="shared" si="144"/>
        <v>600</v>
      </c>
      <c r="CB412" s="44">
        <f t="shared" si="145"/>
        <v>600</v>
      </c>
      <c r="CC412" s="44">
        <v>0</v>
      </c>
      <c r="CD412" s="44">
        <v>0</v>
      </c>
      <c r="CE412" s="44">
        <v>0</v>
      </c>
      <c r="CF412" s="44">
        <v>0</v>
      </c>
      <c r="CG412" s="44">
        <v>1</v>
      </c>
      <c r="CH412" s="44">
        <v>0</v>
      </c>
      <c r="CI412" s="44">
        <v>1</v>
      </c>
      <c r="CJ412" s="44">
        <v>0</v>
      </c>
      <c r="CK412" s="44">
        <v>0</v>
      </c>
      <c r="CL412" s="44">
        <v>0</v>
      </c>
      <c r="CM412" s="44">
        <v>0</v>
      </c>
      <c r="CN412" s="44">
        <v>0</v>
      </c>
      <c r="CO412" s="44">
        <v>0</v>
      </c>
      <c r="CP412" s="44">
        <v>0</v>
      </c>
      <c r="CQ412" s="44">
        <v>1</v>
      </c>
      <c r="CR412" s="44">
        <v>0</v>
      </c>
      <c r="CV412" s="44">
        <v>0</v>
      </c>
      <c r="CW412" s="44">
        <v>0</v>
      </c>
    </row>
    <row r="413" s="44" customFormat="1" customHeight="1" spans="1:101">
      <c r="A413" s="45">
        <v>6969</v>
      </c>
      <c r="B413" s="79" t="s">
        <v>616</v>
      </c>
      <c r="H413" s="48">
        <v>1000</v>
      </c>
      <c r="I413" s="48">
        <v>1000</v>
      </c>
      <c r="O413" s="77">
        <v>200222</v>
      </c>
      <c r="P413" s="77">
        <v>2</v>
      </c>
      <c r="Q413" s="77">
        <v>0</v>
      </c>
      <c r="R413" s="77">
        <v>0</v>
      </c>
      <c r="S413" s="64">
        <v>0</v>
      </c>
      <c r="T413" s="64">
        <v>0</v>
      </c>
      <c r="U413" s="64">
        <v>0</v>
      </c>
      <c r="V413" s="64">
        <v>0</v>
      </c>
      <c r="W413" s="63">
        <v>0</v>
      </c>
      <c r="X413" s="63">
        <v>0</v>
      </c>
      <c r="Y413" s="63">
        <v>0</v>
      </c>
      <c r="Z413" s="63">
        <v>0</v>
      </c>
      <c r="AA413" s="78">
        <v>0</v>
      </c>
      <c r="AB413" s="78">
        <v>0</v>
      </c>
      <c r="AC413" s="78">
        <v>0</v>
      </c>
      <c r="AD413" s="78">
        <v>0</v>
      </c>
      <c r="AE413" s="48">
        <v>200690</v>
      </c>
      <c r="AF413" s="44">
        <v>200673</v>
      </c>
      <c r="AG413" s="44">
        <v>200679</v>
      </c>
      <c r="AH413" s="44">
        <v>200674</v>
      </c>
      <c r="AJ413" s="132"/>
      <c r="AU413" s="62">
        <v>1</v>
      </c>
      <c r="AV413" s="44">
        <v>1</v>
      </c>
      <c r="AW413" s="44">
        <v>1</v>
      </c>
      <c r="AX413" s="44">
        <v>1</v>
      </c>
      <c r="AY413" s="132"/>
      <c r="BK413" s="62">
        <v>200</v>
      </c>
      <c r="BL413" s="44">
        <v>290</v>
      </c>
      <c r="BM413" s="44">
        <v>8</v>
      </c>
      <c r="BN413" s="44">
        <v>2</v>
      </c>
      <c r="CA413" s="44">
        <f t="shared" si="144"/>
        <v>500</v>
      </c>
      <c r="CB413" s="44">
        <f t="shared" si="145"/>
        <v>500</v>
      </c>
      <c r="CC413" s="44">
        <v>0</v>
      </c>
      <c r="CD413" s="44">
        <v>0</v>
      </c>
      <c r="CE413" s="44">
        <v>0</v>
      </c>
      <c r="CF413" s="44">
        <v>0</v>
      </c>
      <c r="CG413" s="44">
        <v>1</v>
      </c>
      <c r="CH413" s="44">
        <v>0</v>
      </c>
      <c r="CI413" s="44">
        <v>1</v>
      </c>
      <c r="CJ413" s="44">
        <v>0</v>
      </c>
      <c r="CK413" s="44">
        <v>0</v>
      </c>
      <c r="CL413" s="44">
        <v>0</v>
      </c>
      <c r="CM413" s="44">
        <v>0</v>
      </c>
      <c r="CN413" s="44">
        <v>0</v>
      </c>
      <c r="CO413" s="44">
        <v>0</v>
      </c>
      <c r="CP413" s="44">
        <v>0</v>
      </c>
      <c r="CQ413" s="44">
        <v>1</v>
      </c>
      <c r="CR413" s="44">
        <v>0</v>
      </c>
      <c r="CV413" s="44">
        <v>0</v>
      </c>
      <c r="CW413" s="44">
        <v>0</v>
      </c>
    </row>
    <row r="414" s="44" customFormat="1" customHeight="1" spans="1:101">
      <c r="A414" s="45">
        <v>6970</v>
      </c>
      <c r="B414" s="79" t="s">
        <v>614</v>
      </c>
      <c r="H414" s="48">
        <v>1000</v>
      </c>
      <c r="I414" s="48">
        <v>1000</v>
      </c>
      <c r="O414" s="77">
        <v>200671</v>
      </c>
      <c r="P414" s="77">
        <v>1</v>
      </c>
      <c r="Q414" s="77">
        <v>0</v>
      </c>
      <c r="R414" s="77">
        <v>0</v>
      </c>
      <c r="S414" s="64">
        <v>0</v>
      </c>
      <c r="T414" s="64">
        <v>0</v>
      </c>
      <c r="U414" s="64">
        <v>0</v>
      </c>
      <c r="V414" s="64">
        <v>0</v>
      </c>
      <c r="W414" s="63">
        <v>0</v>
      </c>
      <c r="X414" s="63">
        <v>0</v>
      </c>
      <c r="Y414" s="63">
        <v>0</v>
      </c>
      <c r="Z414" s="63">
        <v>0</v>
      </c>
      <c r="AA414" s="78">
        <v>0</v>
      </c>
      <c r="AB414" s="78">
        <v>0</v>
      </c>
      <c r="AC414" s="78">
        <v>0</v>
      </c>
      <c r="AD414" s="78">
        <v>0</v>
      </c>
      <c r="AE414" s="48">
        <v>200691</v>
      </c>
      <c r="AF414" s="44">
        <v>200673</v>
      </c>
      <c r="AG414" s="44">
        <v>200692</v>
      </c>
      <c r="AU414" s="62">
        <v>1</v>
      </c>
      <c r="AV414" s="44">
        <v>1</v>
      </c>
      <c r="AW414" s="44">
        <v>1</v>
      </c>
      <c r="BK414" s="62">
        <v>200</v>
      </c>
      <c r="BL414" s="44">
        <v>200</v>
      </c>
      <c r="BM414" s="44">
        <v>100</v>
      </c>
      <c r="CA414" s="44">
        <f t="shared" si="144"/>
        <v>500</v>
      </c>
      <c r="CB414" s="44">
        <f t="shared" si="145"/>
        <v>500</v>
      </c>
      <c r="CC414" s="44">
        <v>0</v>
      </c>
      <c r="CD414" s="44">
        <v>0</v>
      </c>
      <c r="CE414" s="44">
        <v>0</v>
      </c>
      <c r="CF414" s="44">
        <v>0</v>
      </c>
      <c r="CG414" s="44">
        <v>1</v>
      </c>
      <c r="CH414" s="44">
        <v>0</v>
      </c>
      <c r="CI414" s="44">
        <v>1</v>
      </c>
      <c r="CJ414" s="44">
        <v>0</v>
      </c>
      <c r="CK414" s="44">
        <v>0</v>
      </c>
      <c r="CL414" s="44">
        <v>0</v>
      </c>
      <c r="CM414" s="44">
        <v>0</v>
      </c>
      <c r="CN414" s="44">
        <v>0</v>
      </c>
      <c r="CO414" s="44">
        <v>0</v>
      </c>
      <c r="CP414" s="44">
        <v>0</v>
      </c>
      <c r="CQ414" s="44">
        <v>1</v>
      </c>
      <c r="CR414" s="44">
        <v>0</v>
      </c>
      <c r="CV414" s="44">
        <v>0</v>
      </c>
      <c r="CW414" s="44">
        <v>0</v>
      </c>
    </row>
    <row r="415" s="44" customFormat="1" customHeight="1" spans="1:101">
      <c r="A415" s="45">
        <v>6971</v>
      </c>
      <c r="B415" s="79" t="s">
        <v>615</v>
      </c>
      <c r="H415" s="48">
        <v>1000</v>
      </c>
      <c r="I415" s="48">
        <v>1000</v>
      </c>
      <c r="O415" s="77">
        <v>200222</v>
      </c>
      <c r="P415" s="77">
        <v>1</v>
      </c>
      <c r="Q415" s="77">
        <v>0</v>
      </c>
      <c r="R415" s="77">
        <v>0</v>
      </c>
      <c r="S415" s="64">
        <v>0</v>
      </c>
      <c r="T415" s="64">
        <v>0</v>
      </c>
      <c r="U415" s="64">
        <v>0</v>
      </c>
      <c r="V415" s="64">
        <v>0</v>
      </c>
      <c r="W415" s="63">
        <v>0</v>
      </c>
      <c r="X415" s="63">
        <v>0</v>
      </c>
      <c r="Y415" s="63">
        <v>0</v>
      </c>
      <c r="Z415" s="63">
        <v>0</v>
      </c>
      <c r="AA415" s="78">
        <v>0</v>
      </c>
      <c r="AB415" s="78">
        <v>0</v>
      </c>
      <c r="AC415" s="78">
        <v>0</v>
      </c>
      <c r="AD415" s="78">
        <v>0</v>
      </c>
      <c r="AE415" s="48">
        <v>200681</v>
      </c>
      <c r="AF415" s="44">
        <v>200673</v>
      </c>
      <c r="AG415" s="44">
        <v>200684</v>
      </c>
      <c r="AH415" s="44">
        <v>200679</v>
      </c>
      <c r="AI415" s="44">
        <v>200674</v>
      </c>
      <c r="AU415" s="62">
        <v>1</v>
      </c>
      <c r="AV415" s="44">
        <v>1</v>
      </c>
      <c r="AW415" s="44">
        <v>1</v>
      </c>
      <c r="AX415" s="44">
        <v>1</v>
      </c>
      <c r="AY415" s="44">
        <v>1</v>
      </c>
      <c r="BK415" s="62">
        <v>200</v>
      </c>
      <c r="BL415" s="44">
        <v>200</v>
      </c>
      <c r="BM415" s="44">
        <v>90</v>
      </c>
      <c r="BN415" s="44">
        <v>8</v>
      </c>
      <c r="BO415" s="44">
        <v>2</v>
      </c>
      <c r="CA415" s="44">
        <f t="shared" si="144"/>
        <v>500</v>
      </c>
      <c r="CB415" s="44">
        <f t="shared" si="145"/>
        <v>500</v>
      </c>
      <c r="CC415" s="44">
        <v>0</v>
      </c>
      <c r="CD415" s="44">
        <v>0</v>
      </c>
      <c r="CE415" s="44">
        <v>0</v>
      </c>
      <c r="CF415" s="44">
        <v>0</v>
      </c>
      <c r="CG415" s="44">
        <v>1</v>
      </c>
      <c r="CH415" s="44">
        <v>0</v>
      </c>
      <c r="CI415" s="44">
        <v>1</v>
      </c>
      <c r="CJ415" s="44">
        <v>0</v>
      </c>
      <c r="CK415" s="44">
        <v>0</v>
      </c>
      <c r="CL415" s="44">
        <v>0</v>
      </c>
      <c r="CM415" s="44">
        <v>0</v>
      </c>
      <c r="CN415" s="44">
        <v>0</v>
      </c>
      <c r="CO415" s="44">
        <v>0</v>
      </c>
      <c r="CP415" s="44">
        <v>0</v>
      </c>
      <c r="CQ415" s="44">
        <v>1</v>
      </c>
      <c r="CR415" s="44">
        <v>0</v>
      </c>
      <c r="CV415" s="44">
        <v>0</v>
      </c>
      <c r="CW415" s="44">
        <v>0</v>
      </c>
    </row>
    <row r="416" s="44" customFormat="1" customHeight="1" spans="1:101">
      <c r="A416" s="45">
        <v>6972</v>
      </c>
      <c r="B416" s="79" t="s">
        <v>616</v>
      </c>
      <c r="H416" s="48">
        <v>1000</v>
      </c>
      <c r="I416" s="48">
        <v>1000</v>
      </c>
      <c r="O416" s="77">
        <v>200222</v>
      </c>
      <c r="P416" s="77">
        <v>2</v>
      </c>
      <c r="Q416" s="77">
        <v>0</v>
      </c>
      <c r="R416" s="77">
        <v>0</v>
      </c>
      <c r="S416" s="64">
        <v>0</v>
      </c>
      <c r="T416" s="64">
        <v>0</v>
      </c>
      <c r="U416" s="64">
        <v>0</v>
      </c>
      <c r="V416" s="64">
        <v>0</v>
      </c>
      <c r="W416" s="63">
        <v>0</v>
      </c>
      <c r="X416" s="63">
        <v>0</v>
      </c>
      <c r="Y416" s="63">
        <v>0</v>
      </c>
      <c r="Z416" s="63">
        <v>0</v>
      </c>
      <c r="AA416" s="78">
        <v>0</v>
      </c>
      <c r="AB416" s="78">
        <v>0</v>
      </c>
      <c r="AC416" s="78">
        <v>0</v>
      </c>
      <c r="AD416" s="78">
        <v>0</v>
      </c>
      <c r="AE416" s="48">
        <v>200682</v>
      </c>
      <c r="AF416" s="44">
        <v>200673</v>
      </c>
      <c r="AG416" s="44">
        <v>200684</v>
      </c>
      <c r="AH416" s="44">
        <v>200685</v>
      </c>
      <c r="AI416" s="44">
        <v>200679</v>
      </c>
      <c r="AJ416" s="44">
        <v>200674</v>
      </c>
      <c r="AU416" s="62">
        <v>1</v>
      </c>
      <c r="AV416" s="44">
        <v>1</v>
      </c>
      <c r="AW416" s="44">
        <v>1</v>
      </c>
      <c r="AX416" s="44">
        <v>1</v>
      </c>
      <c r="AY416" s="44">
        <v>1</v>
      </c>
      <c r="AZ416" s="44">
        <v>1</v>
      </c>
      <c r="BK416" s="62">
        <v>190</v>
      </c>
      <c r="BL416" s="44">
        <v>200</v>
      </c>
      <c r="BM416" s="44">
        <v>50</v>
      </c>
      <c r="BN416" s="44">
        <v>8</v>
      </c>
      <c r="BO416" s="44">
        <v>50</v>
      </c>
      <c r="BP416" s="44">
        <v>2</v>
      </c>
      <c r="CA416" s="44">
        <f t="shared" si="144"/>
        <v>500</v>
      </c>
      <c r="CB416" s="44">
        <f t="shared" si="145"/>
        <v>500</v>
      </c>
      <c r="CC416" s="44">
        <v>0</v>
      </c>
      <c r="CD416" s="44">
        <v>0</v>
      </c>
      <c r="CE416" s="44">
        <v>0</v>
      </c>
      <c r="CF416" s="44">
        <v>0</v>
      </c>
      <c r="CG416" s="44">
        <v>1</v>
      </c>
      <c r="CH416" s="44">
        <v>0</v>
      </c>
      <c r="CI416" s="44">
        <v>1</v>
      </c>
      <c r="CJ416" s="44">
        <v>0</v>
      </c>
      <c r="CK416" s="44">
        <v>0</v>
      </c>
      <c r="CL416" s="44">
        <v>0</v>
      </c>
      <c r="CM416" s="44">
        <v>0</v>
      </c>
      <c r="CN416" s="44">
        <v>0</v>
      </c>
      <c r="CO416" s="44">
        <v>0</v>
      </c>
      <c r="CP416" s="44">
        <v>0</v>
      </c>
      <c r="CQ416" s="44">
        <v>1</v>
      </c>
      <c r="CR416" s="44">
        <v>0</v>
      </c>
      <c r="CV416" s="44">
        <v>0</v>
      </c>
      <c r="CW416" s="44">
        <v>0</v>
      </c>
    </row>
    <row r="417" s="48" customFormat="1" customHeight="1" spans="1:101">
      <c r="A417" s="95">
        <v>6973</v>
      </c>
      <c r="B417" s="80" t="s">
        <v>617</v>
      </c>
      <c r="H417" s="48">
        <v>1000</v>
      </c>
      <c r="I417" s="48">
        <v>1000</v>
      </c>
      <c r="N417" s="44"/>
      <c r="O417" s="77">
        <v>200222</v>
      </c>
      <c r="P417" s="77">
        <v>2</v>
      </c>
      <c r="Q417" s="77">
        <v>0</v>
      </c>
      <c r="R417" s="77">
        <v>0</v>
      </c>
      <c r="S417" s="64">
        <v>200693</v>
      </c>
      <c r="T417" s="64">
        <v>1</v>
      </c>
      <c r="U417" s="64">
        <v>0</v>
      </c>
      <c r="V417" s="64">
        <v>0</v>
      </c>
      <c r="W417" s="63">
        <v>0</v>
      </c>
      <c r="X417" s="63">
        <v>0</v>
      </c>
      <c r="Y417" s="63">
        <v>0</v>
      </c>
      <c r="Z417" s="63">
        <v>0</v>
      </c>
      <c r="AA417" s="78">
        <v>0</v>
      </c>
      <c r="AB417" s="78">
        <v>0</v>
      </c>
      <c r="AC417" s="78">
        <v>0</v>
      </c>
      <c r="AD417" s="78">
        <v>0</v>
      </c>
      <c r="AE417" s="48">
        <v>200651</v>
      </c>
      <c r="AF417" s="48">
        <v>200222</v>
      </c>
      <c r="AG417" s="48">
        <v>200684</v>
      </c>
      <c r="AH417" s="48">
        <v>200679</v>
      </c>
      <c r="AI417" s="48">
        <v>200685</v>
      </c>
      <c r="AJ417" s="48">
        <v>200686</v>
      </c>
      <c r="AK417" s="48">
        <v>200674</v>
      </c>
      <c r="AL417" s="48">
        <v>200683</v>
      </c>
      <c r="AU417" s="62">
        <v>5</v>
      </c>
      <c r="AV417" s="48">
        <v>2</v>
      </c>
      <c r="AW417" s="48">
        <v>1</v>
      </c>
      <c r="AX417" s="48">
        <v>1</v>
      </c>
      <c r="AY417" s="48">
        <v>1</v>
      </c>
      <c r="AZ417" s="48">
        <v>1</v>
      </c>
      <c r="BA417" s="48">
        <v>1</v>
      </c>
      <c r="BB417" s="48">
        <v>1</v>
      </c>
      <c r="BK417" s="62">
        <v>200</v>
      </c>
      <c r="BL417" s="48">
        <v>100</v>
      </c>
      <c r="BM417" s="48">
        <v>100</v>
      </c>
      <c r="BN417" s="48">
        <v>100</v>
      </c>
      <c r="BO417" s="48">
        <v>50</v>
      </c>
      <c r="BP417" s="48">
        <v>50</v>
      </c>
      <c r="BQ417" s="48">
        <v>9</v>
      </c>
      <c r="BR417" s="48">
        <v>5</v>
      </c>
      <c r="CA417" s="48">
        <v>300</v>
      </c>
      <c r="CB417" s="48">
        <f t="shared" si="145"/>
        <v>614</v>
      </c>
      <c r="CC417" s="48">
        <v>0</v>
      </c>
      <c r="CD417" s="48">
        <v>0</v>
      </c>
      <c r="CE417" s="48">
        <v>0</v>
      </c>
      <c r="CF417" s="48">
        <v>0</v>
      </c>
      <c r="CG417" s="48">
        <v>1</v>
      </c>
      <c r="CH417" s="48">
        <v>0</v>
      </c>
      <c r="CI417" s="48">
        <v>1</v>
      </c>
      <c r="CJ417" s="48">
        <v>0</v>
      </c>
      <c r="CK417" s="48">
        <v>0</v>
      </c>
      <c r="CL417" s="48">
        <v>0</v>
      </c>
      <c r="CM417" s="48">
        <v>0</v>
      </c>
      <c r="CN417" s="48">
        <v>0</v>
      </c>
      <c r="CO417" s="48">
        <v>0</v>
      </c>
      <c r="CP417" s="48">
        <v>0</v>
      </c>
      <c r="CQ417" s="48">
        <v>1</v>
      </c>
      <c r="CR417" s="48">
        <v>0</v>
      </c>
      <c r="CV417" s="48">
        <v>0</v>
      </c>
      <c r="CW417" s="48">
        <v>0</v>
      </c>
    </row>
    <row r="418" s="48" customFormat="1" customHeight="1" spans="1:101">
      <c r="A418" s="95">
        <v>6974</v>
      </c>
      <c r="B418" s="80" t="s">
        <v>618</v>
      </c>
      <c r="H418" s="48">
        <v>1000</v>
      </c>
      <c r="I418" s="48">
        <v>1000</v>
      </c>
      <c r="N418" s="44"/>
      <c r="O418" s="77">
        <v>200694</v>
      </c>
      <c r="P418" s="77">
        <v>2</v>
      </c>
      <c r="Q418" s="77">
        <v>0</v>
      </c>
      <c r="R418" s="77">
        <v>0</v>
      </c>
      <c r="S418" s="64">
        <v>200240</v>
      </c>
      <c r="T418" s="64">
        <v>999</v>
      </c>
      <c r="U418" s="64">
        <v>0</v>
      </c>
      <c r="V418" s="64">
        <v>0</v>
      </c>
      <c r="W418" s="63">
        <v>200695</v>
      </c>
      <c r="X418" s="63">
        <v>2</v>
      </c>
      <c r="Y418" s="63">
        <v>0</v>
      </c>
      <c r="Z418" s="63">
        <v>0</v>
      </c>
      <c r="AA418" s="78">
        <v>0</v>
      </c>
      <c r="AB418" s="78">
        <v>0</v>
      </c>
      <c r="AC418" s="78">
        <v>0</v>
      </c>
      <c r="AD418" s="78">
        <v>0</v>
      </c>
      <c r="AE418" s="48">
        <v>200679</v>
      </c>
      <c r="AF418" s="48">
        <v>200675</v>
      </c>
      <c r="AG418" s="48">
        <v>200684</v>
      </c>
      <c r="AH418" s="48">
        <v>200674</v>
      </c>
      <c r="AI418" s="48">
        <v>200696</v>
      </c>
      <c r="AJ418" s="48">
        <v>200682</v>
      </c>
      <c r="AK418" s="48">
        <v>200684</v>
      </c>
      <c r="AL418" s="48">
        <v>200685</v>
      </c>
      <c r="AM418" s="48">
        <v>200701</v>
      </c>
      <c r="AN418" s="48">
        <v>200702</v>
      </c>
      <c r="AO418" s="48">
        <v>200684</v>
      </c>
      <c r="AU418" s="62">
        <v>1</v>
      </c>
      <c r="AV418" s="48">
        <v>999</v>
      </c>
      <c r="AW418" s="48">
        <v>1</v>
      </c>
      <c r="AX418" s="48">
        <v>1</v>
      </c>
      <c r="AY418" s="48">
        <v>1</v>
      </c>
      <c r="AZ418" s="48">
        <v>1</v>
      </c>
      <c r="BA418" s="48">
        <v>10</v>
      </c>
      <c r="BB418" s="48">
        <v>1</v>
      </c>
      <c r="BC418" s="48">
        <v>1</v>
      </c>
      <c r="BD418" s="48">
        <v>1</v>
      </c>
      <c r="BE418" s="48">
        <v>2</v>
      </c>
      <c r="BK418" s="62">
        <v>200</v>
      </c>
      <c r="BL418" s="48">
        <v>100</v>
      </c>
      <c r="BM418" s="48">
        <v>100</v>
      </c>
      <c r="BN418" s="48">
        <v>4</v>
      </c>
      <c r="BO418" s="48">
        <v>50</v>
      </c>
      <c r="BP418" s="48">
        <v>100</v>
      </c>
      <c r="BQ418" s="48">
        <v>50</v>
      </c>
      <c r="BR418" s="48">
        <v>100</v>
      </c>
      <c r="BS418" s="48">
        <v>200</v>
      </c>
      <c r="BT418" s="48">
        <v>1</v>
      </c>
      <c r="BU418" s="48">
        <v>45</v>
      </c>
      <c r="CA418" s="48">
        <v>300</v>
      </c>
      <c r="CB418" s="48">
        <f>SUM(BK418:BY418)</f>
        <v>950</v>
      </c>
      <c r="CC418" s="48">
        <v>0</v>
      </c>
      <c r="CD418" s="48">
        <v>0</v>
      </c>
      <c r="CE418" s="48">
        <v>0</v>
      </c>
      <c r="CF418" s="48">
        <v>0</v>
      </c>
      <c r="CG418" s="48">
        <v>1</v>
      </c>
      <c r="CH418" s="48">
        <v>0</v>
      </c>
      <c r="CI418" s="48">
        <v>1</v>
      </c>
      <c r="CJ418" s="48">
        <v>0</v>
      </c>
      <c r="CK418" s="48">
        <v>0</v>
      </c>
      <c r="CL418" s="48">
        <v>0</v>
      </c>
      <c r="CM418" s="48">
        <v>0</v>
      </c>
      <c r="CN418" s="48">
        <v>0</v>
      </c>
      <c r="CO418" s="48">
        <v>0</v>
      </c>
      <c r="CP418" s="48">
        <v>0</v>
      </c>
      <c r="CQ418" s="48">
        <v>1</v>
      </c>
      <c r="CR418" s="48">
        <v>0</v>
      </c>
      <c r="CV418" s="48">
        <v>0</v>
      </c>
      <c r="CW418" s="48">
        <v>0</v>
      </c>
    </row>
    <row r="419" s="48" customFormat="1" customHeight="1" spans="1:101">
      <c r="A419" s="95">
        <v>6975</v>
      </c>
      <c r="B419" s="48" t="s">
        <v>619</v>
      </c>
      <c r="H419" s="48">
        <v>1000</v>
      </c>
      <c r="I419" s="48">
        <v>1000</v>
      </c>
      <c r="N419" s="44"/>
      <c r="O419" s="77">
        <v>200651</v>
      </c>
      <c r="P419" s="77">
        <v>5</v>
      </c>
      <c r="Q419" s="77">
        <v>0</v>
      </c>
      <c r="R419" s="77">
        <v>0</v>
      </c>
      <c r="S419" s="64">
        <v>0</v>
      </c>
      <c r="T419" s="64">
        <v>0</v>
      </c>
      <c r="U419" s="64">
        <v>0</v>
      </c>
      <c r="V419" s="64">
        <v>0</v>
      </c>
      <c r="W419" s="63">
        <v>0</v>
      </c>
      <c r="X419" s="63">
        <v>0</v>
      </c>
      <c r="Y419" s="63">
        <v>0</v>
      </c>
      <c r="Z419" s="63">
        <v>0</v>
      </c>
      <c r="AA419" s="78">
        <v>0</v>
      </c>
      <c r="AB419" s="78">
        <v>0</v>
      </c>
      <c r="AC419" s="78">
        <v>0</v>
      </c>
      <c r="AD419" s="78">
        <v>0</v>
      </c>
      <c r="AU419" s="62"/>
      <c r="BK419" s="62"/>
      <c r="CA419" s="48">
        <v>1000</v>
      </c>
      <c r="CB419" s="48">
        <v>1000</v>
      </c>
      <c r="CC419" s="48">
        <v>0</v>
      </c>
      <c r="CD419" s="48">
        <v>0</v>
      </c>
      <c r="CE419" s="48">
        <v>0</v>
      </c>
      <c r="CF419" s="48">
        <v>0</v>
      </c>
      <c r="CG419" s="48">
        <v>0</v>
      </c>
      <c r="CH419" s="48">
        <v>0</v>
      </c>
      <c r="CI419" s="48">
        <v>1</v>
      </c>
      <c r="CJ419" s="48">
        <v>0</v>
      </c>
      <c r="CK419" s="48">
        <v>0</v>
      </c>
      <c r="CL419" s="48">
        <v>0</v>
      </c>
      <c r="CM419" s="48">
        <v>0</v>
      </c>
      <c r="CN419" s="48">
        <v>0</v>
      </c>
      <c r="CO419" s="48">
        <v>0</v>
      </c>
      <c r="CP419" s="48">
        <v>0</v>
      </c>
      <c r="CQ419" s="48">
        <v>1</v>
      </c>
      <c r="CR419" s="48">
        <v>0</v>
      </c>
      <c r="CV419" s="48">
        <v>0</v>
      </c>
      <c r="CW419" s="48">
        <v>0</v>
      </c>
    </row>
    <row r="420" s="44" customFormat="1" customHeight="1" spans="1:101">
      <c r="A420" s="45">
        <v>6976</v>
      </c>
      <c r="B420" s="44" t="s">
        <v>620</v>
      </c>
      <c r="I420" s="48">
        <v>1000</v>
      </c>
      <c r="O420" s="77">
        <v>200651</v>
      </c>
      <c r="P420" s="77">
        <v>1</v>
      </c>
      <c r="Q420" s="77">
        <v>0</v>
      </c>
      <c r="R420" s="77">
        <v>0</v>
      </c>
      <c r="S420" s="64">
        <v>0</v>
      </c>
      <c r="T420" s="64">
        <v>0</v>
      </c>
      <c r="U420" s="64">
        <v>0</v>
      </c>
      <c r="V420" s="64">
        <v>0</v>
      </c>
      <c r="W420" s="63">
        <v>0</v>
      </c>
      <c r="X420" s="63">
        <v>0</v>
      </c>
      <c r="Y420" s="63">
        <v>0</v>
      </c>
      <c r="Z420" s="63">
        <v>0</v>
      </c>
      <c r="AA420" s="78">
        <v>0</v>
      </c>
      <c r="AB420" s="78">
        <v>0</v>
      </c>
      <c r="AC420" s="78">
        <v>0</v>
      </c>
      <c r="AD420" s="78">
        <v>0</v>
      </c>
      <c r="AE420" s="48"/>
      <c r="AU420" s="62"/>
      <c r="BK420" s="62"/>
      <c r="CA420" s="44">
        <v>1000</v>
      </c>
      <c r="CB420" s="44">
        <v>1000</v>
      </c>
      <c r="CC420" s="44">
        <v>0</v>
      </c>
      <c r="CD420" s="44">
        <v>0</v>
      </c>
      <c r="CE420" s="44">
        <v>0</v>
      </c>
      <c r="CF420" s="44">
        <v>0</v>
      </c>
      <c r="CG420" s="44">
        <v>0</v>
      </c>
      <c r="CH420" s="44">
        <v>0</v>
      </c>
      <c r="CI420" s="44">
        <v>1</v>
      </c>
      <c r="CJ420" s="44">
        <v>0</v>
      </c>
      <c r="CK420" s="44">
        <v>0</v>
      </c>
      <c r="CL420" s="44">
        <v>0</v>
      </c>
      <c r="CM420" s="44">
        <v>0</v>
      </c>
      <c r="CN420" s="44">
        <v>0</v>
      </c>
      <c r="CO420" s="44">
        <v>0</v>
      </c>
      <c r="CP420" s="44">
        <v>0</v>
      </c>
      <c r="CQ420" s="44">
        <v>1</v>
      </c>
      <c r="CR420" s="44">
        <v>0</v>
      </c>
      <c r="CV420" s="44">
        <v>0</v>
      </c>
      <c r="CW420" s="44">
        <v>0</v>
      </c>
    </row>
    <row r="421" s="44" customFormat="1" customHeight="1" spans="1:101">
      <c r="A421" s="45">
        <v>6977</v>
      </c>
      <c r="B421" s="79" t="s">
        <v>621</v>
      </c>
      <c r="H421" s="48">
        <v>1000</v>
      </c>
      <c r="O421" s="77">
        <v>200679</v>
      </c>
      <c r="P421" s="77">
        <v>1</v>
      </c>
      <c r="Q421" s="77">
        <v>0</v>
      </c>
      <c r="R421" s="77">
        <v>0</v>
      </c>
      <c r="S421" s="64">
        <v>0</v>
      </c>
      <c r="T421" s="64">
        <v>0</v>
      </c>
      <c r="U421" s="64">
        <v>0</v>
      </c>
      <c r="V421" s="64">
        <v>0</v>
      </c>
      <c r="W421" s="63">
        <v>0</v>
      </c>
      <c r="X421" s="63">
        <v>0</v>
      </c>
      <c r="Y421" s="63">
        <v>0</v>
      </c>
      <c r="Z421" s="63">
        <v>0</v>
      </c>
      <c r="AA421" s="78">
        <v>0</v>
      </c>
      <c r="AB421" s="78">
        <v>0</v>
      </c>
      <c r="AC421" s="78">
        <v>0</v>
      </c>
      <c r="AD421" s="78">
        <v>0</v>
      </c>
      <c r="AE421" s="48">
        <v>200651</v>
      </c>
      <c r="AF421" s="44">
        <v>200652</v>
      </c>
      <c r="AG421" s="44">
        <v>200653</v>
      </c>
      <c r="AH421" s="44">
        <v>200220</v>
      </c>
      <c r="AI421" s="44">
        <v>200679</v>
      </c>
      <c r="AJ421" s="44">
        <v>200679</v>
      </c>
      <c r="AK421" s="44">
        <v>200679</v>
      </c>
      <c r="AL421" s="44">
        <v>200651</v>
      </c>
      <c r="AM421" s="44">
        <v>200652</v>
      </c>
      <c r="AN421" s="44">
        <v>200653</v>
      </c>
      <c r="AO421" s="44">
        <v>200220</v>
      </c>
      <c r="AP421" s="44">
        <v>200679</v>
      </c>
      <c r="AQ421" s="44">
        <v>200679</v>
      </c>
      <c r="AR421" s="44">
        <v>200679</v>
      </c>
      <c r="AU421" s="62">
        <v>1</v>
      </c>
      <c r="AV421" s="44">
        <v>1</v>
      </c>
      <c r="AW421" s="44">
        <v>1</v>
      </c>
      <c r="AX421" s="44">
        <v>1</v>
      </c>
      <c r="AY421" s="44">
        <v>1</v>
      </c>
      <c r="AZ421" s="44">
        <v>1</v>
      </c>
      <c r="BA421" s="44">
        <v>1</v>
      </c>
      <c r="BB421" s="44">
        <v>1</v>
      </c>
      <c r="BC421" s="44">
        <v>1</v>
      </c>
      <c r="BD421" s="44">
        <v>1</v>
      </c>
      <c r="BE421" s="44">
        <v>1</v>
      </c>
      <c r="BF421" s="44">
        <v>1</v>
      </c>
      <c r="BG421" s="44">
        <v>1</v>
      </c>
      <c r="BH421" s="44">
        <v>1</v>
      </c>
      <c r="BK421" s="62">
        <v>100</v>
      </c>
      <c r="BL421" s="44">
        <v>100</v>
      </c>
      <c r="BM421" s="44">
        <v>100</v>
      </c>
      <c r="BN421" s="44">
        <v>100</v>
      </c>
      <c r="BO421" s="44">
        <v>100</v>
      </c>
      <c r="BP421" s="44">
        <v>100</v>
      </c>
      <c r="BQ421" s="44">
        <v>100</v>
      </c>
      <c r="BR421" s="44">
        <v>100</v>
      </c>
      <c r="BS421" s="44">
        <v>100</v>
      </c>
      <c r="BT421" s="44">
        <v>100</v>
      </c>
      <c r="BU421" s="44">
        <v>100</v>
      </c>
      <c r="BV421" s="44">
        <v>100</v>
      </c>
      <c r="BW421" s="44">
        <v>100</v>
      </c>
      <c r="BX421" s="44">
        <v>100</v>
      </c>
      <c r="CA421" s="44">
        <f>SUM(BK421:BY421)</f>
        <v>1400</v>
      </c>
      <c r="CB421" s="44">
        <f>SUM(BK421:BZ421)</f>
        <v>1400</v>
      </c>
      <c r="CC421" s="44">
        <v>0</v>
      </c>
      <c r="CD421" s="44">
        <v>0</v>
      </c>
      <c r="CE421" s="44">
        <v>0</v>
      </c>
      <c r="CF421" s="44">
        <v>0</v>
      </c>
      <c r="CG421" s="44">
        <v>1</v>
      </c>
      <c r="CH421" s="44">
        <v>0</v>
      </c>
      <c r="CI421" s="44">
        <v>1</v>
      </c>
      <c r="CJ421" s="44">
        <v>0</v>
      </c>
      <c r="CK421" s="44">
        <v>0</v>
      </c>
      <c r="CL421" s="44">
        <v>0</v>
      </c>
      <c r="CM421" s="44">
        <v>0</v>
      </c>
      <c r="CN421" s="44">
        <v>0</v>
      </c>
      <c r="CO421" s="44">
        <v>0</v>
      </c>
      <c r="CP421" s="44">
        <v>0</v>
      </c>
      <c r="CQ421" s="44">
        <v>1</v>
      </c>
      <c r="CR421" s="44">
        <v>0</v>
      </c>
      <c r="CV421" s="44">
        <v>0</v>
      </c>
      <c r="CW421" s="44">
        <v>0</v>
      </c>
    </row>
    <row r="422" s="44" customFormat="1" customHeight="1" spans="1:101">
      <c r="A422" s="45">
        <v>6978</v>
      </c>
      <c r="B422" s="79" t="s">
        <v>622</v>
      </c>
      <c r="O422" s="77">
        <v>0</v>
      </c>
      <c r="P422" s="77">
        <v>0</v>
      </c>
      <c r="Q422" s="77">
        <v>0</v>
      </c>
      <c r="R422" s="77">
        <v>0</v>
      </c>
      <c r="S422" s="64">
        <v>0</v>
      </c>
      <c r="T422" s="64">
        <v>0</v>
      </c>
      <c r="U422" s="64">
        <v>0</v>
      </c>
      <c r="V422" s="64">
        <v>0</v>
      </c>
      <c r="W422" s="63">
        <v>0</v>
      </c>
      <c r="X422" s="63">
        <v>0</v>
      </c>
      <c r="Y422" s="63">
        <v>0</v>
      </c>
      <c r="Z422" s="63">
        <v>0</v>
      </c>
      <c r="AA422" s="78">
        <v>0</v>
      </c>
      <c r="AB422" s="78">
        <v>0</v>
      </c>
      <c r="AC422" s="78">
        <v>0</v>
      </c>
      <c r="AD422" s="78">
        <v>0</v>
      </c>
      <c r="AE422" s="48">
        <v>200051</v>
      </c>
      <c r="AU422" s="62">
        <v>1</v>
      </c>
      <c r="BK422" s="62">
        <v>100</v>
      </c>
      <c r="CA422" s="44">
        <v>100</v>
      </c>
      <c r="CB422" s="44">
        <v>100</v>
      </c>
      <c r="CC422" s="44">
        <v>0</v>
      </c>
      <c r="CD422" s="44">
        <v>0</v>
      </c>
      <c r="CE422" s="44">
        <v>0</v>
      </c>
      <c r="CF422" s="44">
        <v>0</v>
      </c>
      <c r="CG422" s="44">
        <v>1</v>
      </c>
      <c r="CH422" s="44">
        <v>0</v>
      </c>
      <c r="CI422" s="44">
        <v>1</v>
      </c>
      <c r="CJ422" s="44">
        <v>0</v>
      </c>
      <c r="CK422" s="44">
        <v>0</v>
      </c>
      <c r="CL422" s="44">
        <v>0</v>
      </c>
      <c r="CM422" s="44">
        <v>0</v>
      </c>
      <c r="CN422" s="44">
        <v>0</v>
      </c>
      <c r="CO422" s="44">
        <v>0</v>
      </c>
      <c r="CP422" s="44">
        <v>0</v>
      </c>
      <c r="CQ422" s="44">
        <v>1</v>
      </c>
      <c r="CR422" s="44">
        <v>0</v>
      </c>
      <c r="CV422" s="44">
        <v>0</v>
      </c>
      <c r="CW422" s="44">
        <v>0</v>
      </c>
    </row>
    <row r="423" s="44" customFormat="1" customHeight="1" spans="1:101">
      <c r="A423" s="45">
        <v>6979</v>
      </c>
      <c r="B423" s="44" t="s">
        <v>623</v>
      </c>
      <c r="H423" s="48">
        <v>1000</v>
      </c>
      <c r="I423" s="44" t="s">
        <v>116</v>
      </c>
      <c r="O423" s="77">
        <v>0</v>
      </c>
      <c r="P423" s="77">
        <v>0</v>
      </c>
      <c r="Q423" s="77">
        <v>0</v>
      </c>
      <c r="R423" s="77">
        <v>0</v>
      </c>
      <c r="S423" s="64">
        <v>0</v>
      </c>
      <c r="T423" s="64">
        <v>0</v>
      </c>
      <c r="U423" s="64">
        <v>0</v>
      </c>
      <c r="V423" s="64">
        <v>0</v>
      </c>
      <c r="W423" s="63">
        <v>0</v>
      </c>
      <c r="X423" s="63">
        <v>0</v>
      </c>
      <c r="Y423" s="63">
        <v>0</v>
      </c>
      <c r="Z423" s="63">
        <v>0</v>
      </c>
      <c r="AA423" s="78">
        <v>0</v>
      </c>
      <c r="AB423" s="78">
        <v>0</v>
      </c>
      <c r="AC423" s="78">
        <v>0</v>
      </c>
      <c r="AD423" s="78">
        <v>0</v>
      </c>
      <c r="AE423" s="48"/>
      <c r="AU423" s="62"/>
      <c r="BK423" s="62"/>
      <c r="CA423" s="44">
        <v>1000</v>
      </c>
      <c r="CB423" s="44">
        <v>1000</v>
      </c>
      <c r="CC423" s="44">
        <v>0</v>
      </c>
      <c r="CD423" s="44">
        <v>0</v>
      </c>
      <c r="CE423" s="44">
        <v>0</v>
      </c>
      <c r="CF423" s="44">
        <v>191118</v>
      </c>
      <c r="CG423" s="44">
        <v>0</v>
      </c>
      <c r="CH423" s="44">
        <v>0</v>
      </c>
      <c r="CI423" s="44">
        <v>1</v>
      </c>
      <c r="CJ423" s="44">
        <v>0</v>
      </c>
      <c r="CK423" s="44">
        <v>0</v>
      </c>
      <c r="CL423" s="44">
        <v>0</v>
      </c>
      <c r="CM423" s="44">
        <v>0</v>
      </c>
      <c r="CN423" s="44">
        <v>0</v>
      </c>
      <c r="CO423" s="44">
        <v>0</v>
      </c>
      <c r="CP423" s="44">
        <v>0</v>
      </c>
      <c r="CQ423" s="44">
        <v>1</v>
      </c>
      <c r="CR423" s="44">
        <v>0</v>
      </c>
      <c r="CV423" s="44">
        <v>0</v>
      </c>
      <c r="CW423" s="44">
        <v>0</v>
      </c>
    </row>
    <row r="424" s="44" customFormat="1" customHeight="1" spans="1:101">
      <c r="A424" s="45">
        <v>6980</v>
      </c>
      <c r="B424" s="44" t="s">
        <v>624</v>
      </c>
      <c r="H424" s="48">
        <v>1000</v>
      </c>
      <c r="I424" s="44" t="s">
        <v>116</v>
      </c>
      <c r="O424" s="77">
        <v>0</v>
      </c>
      <c r="P424" s="77">
        <v>0</v>
      </c>
      <c r="Q424" s="77">
        <v>0</v>
      </c>
      <c r="R424" s="77">
        <v>0</v>
      </c>
      <c r="S424" s="64">
        <v>0</v>
      </c>
      <c r="T424" s="64">
        <v>0</v>
      </c>
      <c r="U424" s="64">
        <v>0</v>
      </c>
      <c r="V424" s="64">
        <v>0</v>
      </c>
      <c r="W424" s="63">
        <v>0</v>
      </c>
      <c r="X424" s="63">
        <v>0</v>
      </c>
      <c r="Y424" s="63">
        <v>0</v>
      </c>
      <c r="Z424" s="63">
        <v>0</v>
      </c>
      <c r="AA424" s="78">
        <v>0</v>
      </c>
      <c r="AB424" s="78">
        <v>0</v>
      </c>
      <c r="AC424" s="78">
        <v>0</v>
      </c>
      <c r="AD424" s="78">
        <v>0</v>
      </c>
      <c r="AE424" s="48"/>
      <c r="AU424" s="62"/>
      <c r="BK424" s="62"/>
      <c r="CA424" s="44">
        <v>1000</v>
      </c>
      <c r="CB424" s="44">
        <v>1000</v>
      </c>
      <c r="CC424" s="44">
        <v>0</v>
      </c>
      <c r="CD424" s="44">
        <v>0</v>
      </c>
      <c r="CE424" s="44">
        <v>0</v>
      </c>
      <c r="CF424" s="44">
        <v>191118</v>
      </c>
      <c r="CG424" s="44">
        <v>0</v>
      </c>
      <c r="CH424" s="44">
        <v>0</v>
      </c>
      <c r="CI424" s="44">
        <v>1</v>
      </c>
      <c r="CJ424" s="44">
        <v>0</v>
      </c>
      <c r="CK424" s="44">
        <v>0</v>
      </c>
      <c r="CL424" s="44">
        <v>0</v>
      </c>
      <c r="CM424" s="44">
        <v>0</v>
      </c>
      <c r="CN424" s="44">
        <v>0</v>
      </c>
      <c r="CO424" s="44">
        <v>0</v>
      </c>
      <c r="CP424" s="44">
        <v>0</v>
      </c>
      <c r="CQ424" s="44">
        <v>1</v>
      </c>
      <c r="CR424" s="44">
        <v>0</v>
      </c>
      <c r="CV424" s="44">
        <v>0</v>
      </c>
      <c r="CW424" s="44">
        <v>0</v>
      </c>
    </row>
    <row r="425" s="44" customFormat="1" customHeight="1" spans="1:101">
      <c r="A425" s="45">
        <v>6981</v>
      </c>
      <c r="B425" s="44" t="s">
        <v>625</v>
      </c>
      <c r="I425" s="44" t="s">
        <v>116</v>
      </c>
      <c r="O425" s="77">
        <v>0</v>
      </c>
      <c r="P425" s="77">
        <v>0</v>
      </c>
      <c r="Q425" s="77">
        <v>0</v>
      </c>
      <c r="R425" s="77">
        <v>0</v>
      </c>
      <c r="S425" s="64">
        <v>0</v>
      </c>
      <c r="T425" s="64">
        <v>0</v>
      </c>
      <c r="U425" s="64">
        <v>0</v>
      </c>
      <c r="V425" s="64">
        <v>0</v>
      </c>
      <c r="W425" s="63">
        <v>0</v>
      </c>
      <c r="X425" s="63">
        <v>0</v>
      </c>
      <c r="Y425" s="63">
        <v>0</v>
      </c>
      <c r="Z425" s="63">
        <v>0</v>
      </c>
      <c r="AA425" s="78">
        <v>0</v>
      </c>
      <c r="AB425" s="78">
        <v>0</v>
      </c>
      <c r="AC425" s="78">
        <v>0</v>
      </c>
      <c r="AD425" s="78">
        <v>0</v>
      </c>
      <c r="AE425" s="48"/>
      <c r="AU425" s="62"/>
      <c r="BK425" s="62"/>
      <c r="CA425" s="44">
        <v>1000</v>
      </c>
      <c r="CB425" s="44">
        <v>1000</v>
      </c>
      <c r="CC425" s="44">
        <v>0</v>
      </c>
      <c r="CD425" s="44">
        <v>0</v>
      </c>
      <c r="CE425" s="44">
        <v>0</v>
      </c>
      <c r="CF425" s="44">
        <v>191118</v>
      </c>
      <c r="CG425" s="44">
        <v>0</v>
      </c>
      <c r="CH425" s="44">
        <v>0</v>
      </c>
      <c r="CI425" s="44">
        <v>1</v>
      </c>
      <c r="CJ425" s="44">
        <v>0</v>
      </c>
      <c r="CK425" s="44">
        <v>0</v>
      </c>
      <c r="CL425" s="44">
        <v>0</v>
      </c>
      <c r="CM425" s="44">
        <v>0</v>
      </c>
      <c r="CN425" s="44">
        <v>0</v>
      </c>
      <c r="CO425" s="44">
        <v>0</v>
      </c>
      <c r="CP425" s="44">
        <v>0</v>
      </c>
      <c r="CQ425" s="44">
        <v>1</v>
      </c>
      <c r="CR425" s="44">
        <v>0</v>
      </c>
      <c r="CV425" s="44">
        <v>0</v>
      </c>
      <c r="CW425" s="44">
        <v>0</v>
      </c>
    </row>
    <row r="426" s="44" customFormat="1" customHeight="1" spans="1:101">
      <c r="A426" s="45">
        <v>6982</v>
      </c>
      <c r="B426" s="44" t="s">
        <v>626</v>
      </c>
      <c r="I426" s="44" t="s">
        <v>116</v>
      </c>
      <c r="O426" s="77">
        <v>0</v>
      </c>
      <c r="P426" s="77">
        <v>0</v>
      </c>
      <c r="Q426" s="77">
        <v>0</v>
      </c>
      <c r="R426" s="77">
        <v>0</v>
      </c>
      <c r="S426" s="64">
        <v>0</v>
      </c>
      <c r="T426" s="64">
        <v>0</v>
      </c>
      <c r="U426" s="64">
        <v>0</v>
      </c>
      <c r="V426" s="64">
        <v>0</v>
      </c>
      <c r="W426" s="63">
        <v>0</v>
      </c>
      <c r="X426" s="63">
        <v>0</v>
      </c>
      <c r="Y426" s="63">
        <v>0</v>
      </c>
      <c r="Z426" s="63">
        <v>0</v>
      </c>
      <c r="AA426" s="78">
        <v>0</v>
      </c>
      <c r="AB426" s="78">
        <v>0</v>
      </c>
      <c r="AC426" s="78">
        <v>0</v>
      </c>
      <c r="AD426" s="78">
        <v>0</v>
      </c>
      <c r="AE426" s="48"/>
      <c r="AU426" s="62"/>
      <c r="BK426" s="62"/>
      <c r="CA426" s="44">
        <v>1000</v>
      </c>
      <c r="CB426" s="44">
        <v>1000</v>
      </c>
      <c r="CC426" s="44">
        <v>0</v>
      </c>
      <c r="CD426" s="44">
        <v>0</v>
      </c>
      <c r="CE426" s="44">
        <v>0</v>
      </c>
      <c r="CF426" s="44">
        <v>191118</v>
      </c>
      <c r="CG426" s="44">
        <v>0</v>
      </c>
      <c r="CH426" s="44">
        <v>0</v>
      </c>
      <c r="CI426" s="44">
        <v>1</v>
      </c>
      <c r="CJ426" s="44">
        <v>0</v>
      </c>
      <c r="CK426" s="44">
        <v>0</v>
      </c>
      <c r="CL426" s="44">
        <v>0</v>
      </c>
      <c r="CM426" s="44">
        <v>0</v>
      </c>
      <c r="CN426" s="44">
        <v>0</v>
      </c>
      <c r="CO426" s="44">
        <v>0</v>
      </c>
      <c r="CP426" s="44">
        <v>0</v>
      </c>
      <c r="CQ426" s="44">
        <v>1</v>
      </c>
      <c r="CR426" s="44">
        <v>0</v>
      </c>
      <c r="CV426" s="44">
        <v>0</v>
      </c>
      <c r="CW426" s="44">
        <v>0</v>
      </c>
    </row>
    <row r="427" s="44" customFormat="1" customHeight="1" spans="1:101">
      <c r="A427" s="45">
        <v>6983</v>
      </c>
      <c r="B427" s="44" t="s">
        <v>627</v>
      </c>
      <c r="I427" s="44" t="s">
        <v>116</v>
      </c>
      <c r="O427" s="77">
        <v>0</v>
      </c>
      <c r="P427" s="77">
        <v>0</v>
      </c>
      <c r="Q427" s="77">
        <v>0</v>
      </c>
      <c r="R427" s="77">
        <v>0</v>
      </c>
      <c r="S427" s="64">
        <v>0</v>
      </c>
      <c r="T427" s="64">
        <v>0</v>
      </c>
      <c r="U427" s="64">
        <v>0</v>
      </c>
      <c r="V427" s="64">
        <v>0</v>
      </c>
      <c r="W427" s="63">
        <v>0</v>
      </c>
      <c r="X427" s="63">
        <v>0</v>
      </c>
      <c r="Y427" s="63">
        <v>0</v>
      </c>
      <c r="Z427" s="63">
        <v>0</v>
      </c>
      <c r="AA427" s="78">
        <v>0</v>
      </c>
      <c r="AB427" s="78">
        <v>0</v>
      </c>
      <c r="AC427" s="78">
        <v>0</v>
      </c>
      <c r="AD427" s="78">
        <v>0</v>
      </c>
      <c r="AE427" s="48"/>
      <c r="AU427" s="62"/>
      <c r="BK427" s="62"/>
      <c r="CA427" s="44">
        <v>1000</v>
      </c>
      <c r="CB427" s="44">
        <v>1000</v>
      </c>
      <c r="CC427" s="44">
        <v>0</v>
      </c>
      <c r="CD427" s="44">
        <v>0</v>
      </c>
      <c r="CE427" s="44">
        <v>0</v>
      </c>
      <c r="CF427" s="44">
        <v>191118</v>
      </c>
      <c r="CG427" s="44">
        <v>0</v>
      </c>
      <c r="CH427" s="44">
        <v>0</v>
      </c>
      <c r="CI427" s="44">
        <v>1</v>
      </c>
      <c r="CJ427" s="44">
        <v>0</v>
      </c>
      <c r="CK427" s="44">
        <v>0</v>
      </c>
      <c r="CL427" s="44">
        <v>0</v>
      </c>
      <c r="CM427" s="44">
        <v>0</v>
      </c>
      <c r="CN427" s="44">
        <v>0</v>
      </c>
      <c r="CO427" s="44">
        <v>0</v>
      </c>
      <c r="CP427" s="44">
        <v>0</v>
      </c>
      <c r="CQ427" s="44">
        <v>1</v>
      </c>
      <c r="CR427" s="44">
        <v>0</v>
      </c>
      <c r="CV427" s="44">
        <v>0</v>
      </c>
      <c r="CW427" s="44">
        <v>0</v>
      </c>
    </row>
    <row r="428" s="48" customFormat="1" customHeight="1" spans="1:101">
      <c r="A428" s="95">
        <v>6984</v>
      </c>
      <c r="B428" s="80" t="s">
        <v>628</v>
      </c>
      <c r="H428" s="48">
        <v>1000</v>
      </c>
      <c r="K428" s="48">
        <v>1000</v>
      </c>
      <c r="N428" s="44"/>
      <c r="O428" s="77">
        <v>0</v>
      </c>
      <c r="P428" s="77">
        <v>0</v>
      </c>
      <c r="Q428" s="77">
        <v>0</v>
      </c>
      <c r="R428" s="77">
        <v>0</v>
      </c>
      <c r="S428" s="64">
        <v>0</v>
      </c>
      <c r="T428" s="64">
        <v>0</v>
      </c>
      <c r="U428" s="64">
        <v>0</v>
      </c>
      <c r="V428" s="64">
        <v>0</v>
      </c>
      <c r="W428" s="63">
        <v>0</v>
      </c>
      <c r="X428" s="63">
        <v>0</v>
      </c>
      <c r="Y428" s="63">
        <v>0</v>
      </c>
      <c r="Z428" s="63">
        <v>0</v>
      </c>
      <c r="AA428" s="78">
        <v>0</v>
      </c>
      <c r="AB428" s="78">
        <v>0</v>
      </c>
      <c r="AC428" s="78">
        <v>0</v>
      </c>
      <c r="AD428" s="78">
        <v>0</v>
      </c>
      <c r="AE428" s="48">
        <v>200630</v>
      </c>
      <c r="AF428" s="48">
        <v>200630</v>
      </c>
      <c r="AG428" s="48">
        <v>200630</v>
      </c>
      <c r="AH428" s="48">
        <v>200714</v>
      </c>
      <c r="AU428" s="62">
        <v>1</v>
      </c>
      <c r="AV428" s="48">
        <v>1</v>
      </c>
      <c r="AW428" s="48">
        <v>1</v>
      </c>
      <c r="AX428" s="48">
        <v>1</v>
      </c>
      <c r="AY428" s="48"/>
      <c r="AZ428" s="48"/>
      <c r="BA428" s="48"/>
      <c r="BB428" s="48"/>
      <c r="BK428" s="62">
        <v>100</v>
      </c>
      <c r="BL428" s="48">
        <v>100</v>
      </c>
      <c r="BM428" s="48">
        <v>100</v>
      </c>
      <c r="BN428" s="48">
        <v>5</v>
      </c>
      <c r="CA428" s="48">
        <v>200</v>
      </c>
      <c r="CB428" s="48">
        <v>305</v>
      </c>
      <c r="CC428" s="48">
        <v>0</v>
      </c>
      <c r="CD428" s="48">
        <v>0</v>
      </c>
      <c r="CE428" s="48">
        <v>0</v>
      </c>
      <c r="CF428" s="48">
        <v>191170</v>
      </c>
      <c r="CG428" s="48">
        <v>1</v>
      </c>
      <c r="CH428" s="48">
        <v>1</v>
      </c>
      <c r="CI428" s="48">
        <v>1</v>
      </c>
      <c r="CJ428" s="48">
        <v>0</v>
      </c>
      <c r="CK428" s="48">
        <v>0</v>
      </c>
      <c r="CL428" s="48">
        <v>0</v>
      </c>
      <c r="CM428" s="48">
        <v>0</v>
      </c>
      <c r="CN428" s="48">
        <v>0</v>
      </c>
      <c r="CO428" s="48">
        <v>0</v>
      </c>
      <c r="CP428" s="48">
        <v>0</v>
      </c>
      <c r="CQ428" s="48">
        <v>0</v>
      </c>
      <c r="CR428" s="48">
        <v>0</v>
      </c>
      <c r="CV428" s="48">
        <v>0</v>
      </c>
      <c r="CW428" s="48">
        <v>0</v>
      </c>
    </row>
    <row r="429" s="44" customFormat="1" customHeight="1" spans="1:101">
      <c r="A429" s="45">
        <v>6985</v>
      </c>
      <c r="B429" s="79" t="s">
        <v>629</v>
      </c>
      <c r="H429" s="48">
        <v>1000</v>
      </c>
      <c r="K429" s="48">
        <v>1000</v>
      </c>
      <c r="O429" s="77">
        <v>0</v>
      </c>
      <c r="P429" s="77">
        <v>0</v>
      </c>
      <c r="Q429" s="77">
        <v>0</v>
      </c>
      <c r="R429" s="77">
        <v>0</v>
      </c>
      <c r="S429" s="64">
        <v>0</v>
      </c>
      <c r="T429" s="64">
        <v>0</v>
      </c>
      <c r="U429" s="64">
        <v>0</v>
      </c>
      <c r="V429" s="64">
        <v>0</v>
      </c>
      <c r="W429" s="63">
        <v>0</v>
      </c>
      <c r="X429" s="63">
        <v>0</v>
      </c>
      <c r="Y429" s="63">
        <v>0</v>
      </c>
      <c r="Z429" s="63">
        <v>0</v>
      </c>
      <c r="AA429" s="78">
        <v>0</v>
      </c>
      <c r="AB429" s="78">
        <v>0</v>
      </c>
      <c r="AC429" s="78">
        <v>0</v>
      </c>
      <c r="AD429" s="78">
        <v>0</v>
      </c>
      <c r="AE429" s="48">
        <v>200547</v>
      </c>
      <c r="AF429" s="44">
        <v>200547</v>
      </c>
      <c r="AG429" s="44">
        <v>200547</v>
      </c>
      <c r="AH429" s="44">
        <v>200715</v>
      </c>
      <c r="AI429" s="44">
        <v>200547</v>
      </c>
      <c r="AJ429" s="44">
        <v>200547</v>
      </c>
      <c r="AU429" s="62">
        <v>1</v>
      </c>
      <c r="AV429" s="44">
        <v>2</v>
      </c>
      <c r="AW429" s="44">
        <v>3</v>
      </c>
      <c r="AX429" s="44">
        <v>1</v>
      </c>
      <c r="AY429" s="44">
        <v>1</v>
      </c>
      <c r="AZ429" s="44">
        <v>1</v>
      </c>
      <c r="BA429" s="44"/>
      <c r="BB429" s="44"/>
      <c r="BK429" s="62">
        <v>200</v>
      </c>
      <c r="BL429" s="44">
        <v>100</v>
      </c>
      <c r="BM429" s="44">
        <v>100</v>
      </c>
      <c r="BN429" s="44">
        <v>5</v>
      </c>
      <c r="BO429" s="44">
        <v>100</v>
      </c>
      <c r="BP429" s="44">
        <v>100</v>
      </c>
      <c r="CA429" s="44">
        <v>200</v>
      </c>
      <c r="CB429" s="44">
        <v>605</v>
      </c>
      <c r="CC429" s="44">
        <v>0</v>
      </c>
      <c r="CD429" s="44">
        <v>0</v>
      </c>
      <c r="CE429" s="44">
        <v>0</v>
      </c>
      <c r="CF429" s="44">
        <v>191170</v>
      </c>
      <c r="CG429" s="44">
        <v>1</v>
      </c>
      <c r="CH429" s="44">
        <v>1</v>
      </c>
      <c r="CI429" s="44">
        <v>1</v>
      </c>
      <c r="CJ429" s="44">
        <v>0</v>
      </c>
      <c r="CK429" s="44">
        <v>0</v>
      </c>
      <c r="CL429" s="44">
        <v>0</v>
      </c>
      <c r="CM429" s="44">
        <v>0</v>
      </c>
      <c r="CN429" s="44">
        <v>0</v>
      </c>
      <c r="CO429" s="44">
        <v>0</v>
      </c>
      <c r="CP429" s="44">
        <v>0</v>
      </c>
      <c r="CQ429" s="44">
        <v>0</v>
      </c>
      <c r="CR429" s="44">
        <v>0</v>
      </c>
      <c r="CV429" s="44">
        <v>0</v>
      </c>
      <c r="CW429" s="44">
        <v>0</v>
      </c>
    </row>
    <row r="430" s="44" customFormat="1" customHeight="1" spans="1:101">
      <c r="A430" s="45">
        <v>6986</v>
      </c>
      <c r="B430" s="79" t="s">
        <v>630</v>
      </c>
      <c r="H430" s="48">
        <v>1000</v>
      </c>
      <c r="K430" s="48">
        <v>1000</v>
      </c>
      <c r="O430" s="77">
        <v>0</v>
      </c>
      <c r="P430" s="77">
        <v>0</v>
      </c>
      <c r="Q430" s="77">
        <v>0</v>
      </c>
      <c r="R430" s="77">
        <v>0</v>
      </c>
      <c r="S430" s="64">
        <v>0</v>
      </c>
      <c r="T430" s="64">
        <v>0</v>
      </c>
      <c r="U430" s="64">
        <v>0</v>
      </c>
      <c r="V430" s="64">
        <v>0</v>
      </c>
      <c r="W430" s="63">
        <v>0</v>
      </c>
      <c r="X430" s="63">
        <v>0</v>
      </c>
      <c r="Y430" s="63">
        <v>0</v>
      </c>
      <c r="Z430" s="63">
        <v>0</v>
      </c>
      <c r="AA430" s="78">
        <v>0</v>
      </c>
      <c r="AB430" s="78">
        <v>0</v>
      </c>
      <c r="AC430" s="78">
        <v>0</v>
      </c>
      <c r="AD430" s="78">
        <v>0</v>
      </c>
      <c r="AE430" s="48">
        <v>200716</v>
      </c>
      <c r="AF430" s="44">
        <v>200716</v>
      </c>
      <c r="AG430" s="44">
        <v>200716</v>
      </c>
      <c r="AH430" s="44">
        <v>200717</v>
      </c>
      <c r="AU430" s="62">
        <v>1</v>
      </c>
      <c r="AV430" s="44">
        <v>2</v>
      </c>
      <c r="AW430" s="44">
        <v>3</v>
      </c>
      <c r="AX430" s="44">
        <v>1</v>
      </c>
      <c r="AY430" s="44"/>
      <c r="AZ430" s="44"/>
      <c r="BA430" s="44"/>
      <c r="BB430" s="44"/>
      <c r="BK430" s="62">
        <v>100</v>
      </c>
      <c r="BL430" s="44">
        <v>100</v>
      </c>
      <c r="BM430" s="44">
        <v>100</v>
      </c>
      <c r="BN430" s="44">
        <v>5</v>
      </c>
      <c r="CA430" s="44">
        <v>200</v>
      </c>
      <c r="CB430" s="44">
        <v>305</v>
      </c>
      <c r="CC430" s="44">
        <v>0</v>
      </c>
      <c r="CD430" s="44">
        <v>0</v>
      </c>
      <c r="CE430" s="44">
        <v>0</v>
      </c>
      <c r="CF430" s="44">
        <v>191170</v>
      </c>
      <c r="CG430" s="44">
        <v>1</v>
      </c>
      <c r="CH430" s="44">
        <v>1</v>
      </c>
      <c r="CI430" s="44">
        <v>1</v>
      </c>
      <c r="CJ430" s="44">
        <v>0</v>
      </c>
      <c r="CK430" s="44">
        <v>0</v>
      </c>
      <c r="CL430" s="44">
        <v>0</v>
      </c>
      <c r="CM430" s="44">
        <v>0</v>
      </c>
      <c r="CN430" s="44">
        <v>0</v>
      </c>
      <c r="CO430" s="44">
        <v>0</v>
      </c>
      <c r="CP430" s="44">
        <v>0</v>
      </c>
      <c r="CQ430" s="44">
        <v>0</v>
      </c>
      <c r="CR430" s="44">
        <v>0</v>
      </c>
      <c r="CV430" s="44">
        <v>0</v>
      </c>
      <c r="CW430" s="44">
        <v>0</v>
      </c>
    </row>
    <row r="431" s="44" customFormat="1" customHeight="1" spans="1:101">
      <c r="A431" s="45">
        <v>6987</v>
      </c>
      <c r="B431" s="79" t="s">
        <v>631</v>
      </c>
      <c r="H431" s="48">
        <v>1000</v>
      </c>
      <c r="K431" s="48">
        <v>1000</v>
      </c>
      <c r="O431" s="77">
        <v>0</v>
      </c>
      <c r="P431" s="77">
        <v>0</v>
      </c>
      <c r="Q431" s="77">
        <v>0</v>
      </c>
      <c r="R431" s="77">
        <v>0</v>
      </c>
      <c r="S431" s="64">
        <v>0</v>
      </c>
      <c r="T431" s="64">
        <v>0</v>
      </c>
      <c r="U431" s="64">
        <v>0</v>
      </c>
      <c r="V431" s="64">
        <v>0</v>
      </c>
      <c r="W431" s="63">
        <v>0</v>
      </c>
      <c r="X431" s="63">
        <v>0</v>
      </c>
      <c r="Y431" s="63">
        <v>0</v>
      </c>
      <c r="Z431" s="63">
        <v>0</v>
      </c>
      <c r="AA431" s="78">
        <v>0</v>
      </c>
      <c r="AB431" s="78">
        <v>0</v>
      </c>
      <c r="AC431" s="78">
        <v>0</v>
      </c>
      <c r="AD431" s="78">
        <v>0</v>
      </c>
      <c r="AE431" s="48">
        <v>200630</v>
      </c>
      <c r="AF431" s="44">
        <v>200630</v>
      </c>
      <c r="AG431" s="44">
        <v>200630</v>
      </c>
      <c r="AH431" s="44">
        <v>200718</v>
      </c>
      <c r="AU431" s="62">
        <v>1</v>
      </c>
      <c r="AV431" s="44">
        <v>1</v>
      </c>
      <c r="AW431" s="44">
        <v>1</v>
      </c>
      <c r="AX431" s="44">
        <v>1</v>
      </c>
      <c r="AY431" s="44"/>
      <c r="AZ431" s="44"/>
      <c r="BA431" s="44"/>
      <c r="BB431" s="44"/>
      <c r="BK431" s="62">
        <v>100</v>
      </c>
      <c r="BL431" s="44">
        <v>100</v>
      </c>
      <c r="BM431" s="44">
        <v>100</v>
      </c>
      <c r="BN431" s="44">
        <v>5</v>
      </c>
      <c r="CA431" s="44">
        <v>200</v>
      </c>
      <c r="CB431" s="44">
        <v>305</v>
      </c>
      <c r="CC431" s="44">
        <v>0</v>
      </c>
      <c r="CD431" s="44">
        <v>0</v>
      </c>
      <c r="CE431" s="44">
        <v>0</v>
      </c>
      <c r="CF431" s="44">
        <v>191170</v>
      </c>
      <c r="CG431" s="44">
        <v>1</v>
      </c>
      <c r="CH431" s="44">
        <v>1</v>
      </c>
      <c r="CI431" s="44">
        <v>1</v>
      </c>
      <c r="CJ431" s="44">
        <v>0</v>
      </c>
      <c r="CK431" s="44">
        <v>0</v>
      </c>
      <c r="CL431" s="44">
        <v>0</v>
      </c>
      <c r="CM431" s="44">
        <v>0</v>
      </c>
      <c r="CN431" s="44">
        <v>0</v>
      </c>
      <c r="CO431" s="44">
        <v>0</v>
      </c>
      <c r="CP431" s="44">
        <v>0</v>
      </c>
      <c r="CQ431" s="44">
        <v>0</v>
      </c>
      <c r="CR431" s="44">
        <v>0</v>
      </c>
      <c r="CV431" s="44">
        <v>0</v>
      </c>
      <c r="CW431" s="44">
        <v>0</v>
      </c>
    </row>
    <row r="432" s="44" customFormat="1" customHeight="1" spans="1:101">
      <c r="A432" s="45">
        <v>6988</v>
      </c>
      <c r="B432" s="79" t="s">
        <v>632</v>
      </c>
      <c r="H432" s="48">
        <v>1000</v>
      </c>
      <c r="O432" s="77"/>
      <c r="P432" s="77"/>
      <c r="Q432" s="77">
        <v>0</v>
      </c>
      <c r="R432" s="77">
        <v>0</v>
      </c>
      <c r="S432" s="64"/>
      <c r="T432" s="64"/>
      <c r="U432" s="64">
        <v>0</v>
      </c>
      <c r="V432" s="64">
        <v>0</v>
      </c>
      <c r="W432" s="63">
        <v>0</v>
      </c>
      <c r="X432" s="63">
        <v>0</v>
      </c>
      <c r="Y432" s="63">
        <v>0</v>
      </c>
      <c r="Z432" s="63">
        <v>0</v>
      </c>
      <c r="AA432" s="78">
        <v>0</v>
      </c>
      <c r="AB432" s="78">
        <v>0</v>
      </c>
      <c r="AC432" s="78">
        <v>0</v>
      </c>
      <c r="AD432" s="78">
        <v>0</v>
      </c>
      <c r="AE432" s="48">
        <v>200708</v>
      </c>
      <c r="AF432" s="44">
        <v>200240</v>
      </c>
      <c r="AG432" s="44">
        <v>200561</v>
      </c>
      <c r="AH432" s="44">
        <v>200546</v>
      </c>
      <c r="AI432" s="44">
        <v>200631</v>
      </c>
      <c r="AJ432" s="44">
        <v>200631</v>
      </c>
      <c r="AK432" s="44">
        <v>200673</v>
      </c>
      <c r="AL432" s="44">
        <v>200673</v>
      </c>
      <c r="AM432" s="44">
        <v>200649</v>
      </c>
      <c r="AN432" s="44">
        <v>200649</v>
      </c>
      <c r="AO432" s="44">
        <v>200684</v>
      </c>
      <c r="AP432" s="44">
        <v>200684</v>
      </c>
      <c r="AU432" s="62">
        <v>2</v>
      </c>
      <c r="AV432" s="44">
        <v>99</v>
      </c>
      <c r="AW432" s="44">
        <v>99</v>
      </c>
      <c r="AX432" s="44">
        <v>10</v>
      </c>
      <c r="AY432" s="44">
        <v>5</v>
      </c>
      <c r="AZ432" s="44">
        <v>10</v>
      </c>
      <c r="BA432" s="44">
        <v>3</v>
      </c>
      <c r="BB432" s="44">
        <v>5</v>
      </c>
      <c r="BC432" s="44">
        <v>1</v>
      </c>
      <c r="BD432" s="44">
        <v>5</v>
      </c>
      <c r="BE432" s="44">
        <v>1</v>
      </c>
      <c r="BF432" s="44">
        <v>5</v>
      </c>
      <c r="BK432" s="62">
        <v>100</v>
      </c>
      <c r="BL432" s="44">
        <v>100</v>
      </c>
      <c r="BM432" s="44">
        <v>100</v>
      </c>
      <c r="BN432" s="44">
        <v>100</v>
      </c>
      <c r="BO432" s="44">
        <v>100</v>
      </c>
      <c r="BP432" s="44">
        <v>50</v>
      </c>
      <c r="BQ432" s="44">
        <v>100</v>
      </c>
      <c r="BR432" s="44">
        <v>50</v>
      </c>
      <c r="BS432" s="44">
        <v>100</v>
      </c>
      <c r="BT432" s="44">
        <v>50</v>
      </c>
      <c r="BU432" s="44">
        <v>100</v>
      </c>
      <c r="BV432" s="44">
        <v>50</v>
      </c>
      <c r="CA432" s="44">
        <f t="shared" ref="CA432:CA438" si="146">SUM(BK432:BV432)</f>
        <v>1000</v>
      </c>
      <c r="CB432" s="44">
        <v>1000</v>
      </c>
      <c r="CC432" s="44">
        <v>0</v>
      </c>
      <c r="CD432" s="44">
        <v>0</v>
      </c>
      <c r="CE432" s="44">
        <v>0</v>
      </c>
      <c r="CF432" s="44">
        <v>191283</v>
      </c>
      <c r="CG432" s="44">
        <v>1</v>
      </c>
      <c r="CH432" s="44">
        <v>1</v>
      </c>
      <c r="CI432" s="44">
        <v>1</v>
      </c>
      <c r="CJ432" s="44">
        <v>0</v>
      </c>
      <c r="CK432" s="44">
        <v>0</v>
      </c>
      <c r="CL432" s="44">
        <v>0</v>
      </c>
      <c r="CM432" s="44">
        <v>0</v>
      </c>
      <c r="CN432" s="44">
        <v>0</v>
      </c>
      <c r="CO432" s="44">
        <v>0</v>
      </c>
      <c r="CP432" s="44">
        <v>0</v>
      </c>
      <c r="CQ432" s="44">
        <v>0</v>
      </c>
      <c r="CR432" s="44">
        <v>0</v>
      </c>
      <c r="CV432" s="44">
        <v>0</v>
      </c>
      <c r="CW432" s="44">
        <v>0</v>
      </c>
    </row>
    <row r="433" s="44" customFormat="1" customHeight="1" spans="1:101">
      <c r="A433" s="45">
        <v>6989</v>
      </c>
      <c r="B433" s="79" t="s">
        <v>633</v>
      </c>
      <c r="H433" s="48">
        <v>1000</v>
      </c>
      <c r="O433" s="77">
        <v>200733</v>
      </c>
      <c r="P433" s="77">
        <v>1</v>
      </c>
      <c r="Q433" s="77">
        <v>0</v>
      </c>
      <c r="R433" s="77">
        <v>0</v>
      </c>
      <c r="S433" s="64">
        <v>200734</v>
      </c>
      <c r="T433" s="64">
        <v>1</v>
      </c>
      <c r="U433" s="64">
        <v>0</v>
      </c>
      <c r="V433" s="64">
        <v>0</v>
      </c>
      <c r="W433" s="63">
        <v>0</v>
      </c>
      <c r="X433" s="63">
        <v>0</v>
      </c>
      <c r="Y433" s="63">
        <v>0</v>
      </c>
      <c r="Z433" s="63">
        <v>0</v>
      </c>
      <c r="AA433" s="78">
        <v>0</v>
      </c>
      <c r="AB433" s="78">
        <v>0</v>
      </c>
      <c r="AC433" s="78">
        <v>0</v>
      </c>
      <c r="AD433" s="78">
        <v>0</v>
      </c>
      <c r="AE433" s="48"/>
      <c r="AU433" s="62">
        <v>2</v>
      </c>
      <c r="AV433" s="44">
        <v>99</v>
      </c>
      <c r="AW433" s="44">
        <v>99</v>
      </c>
      <c r="AX433" s="44">
        <v>10</v>
      </c>
      <c r="AY433" s="44">
        <v>5</v>
      </c>
      <c r="AZ433" s="44">
        <v>10</v>
      </c>
      <c r="BA433" s="44">
        <v>3</v>
      </c>
      <c r="BB433" s="44">
        <v>5</v>
      </c>
      <c r="BC433" s="44">
        <v>1</v>
      </c>
      <c r="BD433" s="44">
        <v>5</v>
      </c>
      <c r="BE433" s="44">
        <v>1</v>
      </c>
      <c r="BF433" s="44">
        <v>5</v>
      </c>
      <c r="BK433" s="62">
        <v>100</v>
      </c>
      <c r="BL433" s="44">
        <v>100</v>
      </c>
      <c r="BM433" s="44">
        <v>100</v>
      </c>
      <c r="BN433" s="44">
        <v>100</v>
      </c>
      <c r="BO433" s="44">
        <v>100</v>
      </c>
      <c r="BP433" s="44">
        <v>50</v>
      </c>
      <c r="BQ433" s="44">
        <v>100</v>
      </c>
      <c r="BR433" s="44">
        <v>50</v>
      </c>
      <c r="BS433" s="44">
        <v>100</v>
      </c>
      <c r="BT433" s="44">
        <v>50</v>
      </c>
      <c r="BU433" s="44">
        <v>100</v>
      </c>
      <c r="BV433" s="44">
        <v>50</v>
      </c>
      <c r="CA433" s="44">
        <f t="shared" si="146"/>
        <v>1000</v>
      </c>
      <c r="CB433" s="44">
        <v>1000</v>
      </c>
      <c r="CC433" s="44">
        <v>0</v>
      </c>
      <c r="CD433" s="44">
        <v>0</v>
      </c>
      <c r="CE433" s="44">
        <v>0</v>
      </c>
      <c r="CF433" s="44">
        <v>191283</v>
      </c>
      <c r="CG433" s="44">
        <v>1</v>
      </c>
      <c r="CH433" s="44">
        <v>1</v>
      </c>
      <c r="CI433" s="44">
        <v>1</v>
      </c>
      <c r="CJ433" s="44">
        <v>0</v>
      </c>
      <c r="CK433" s="44">
        <v>0</v>
      </c>
      <c r="CL433" s="44">
        <v>0</v>
      </c>
      <c r="CM433" s="44">
        <v>0</v>
      </c>
      <c r="CN433" s="44">
        <v>0</v>
      </c>
      <c r="CO433" s="44">
        <v>0</v>
      </c>
      <c r="CP433" s="44">
        <v>0</v>
      </c>
      <c r="CQ433" s="44">
        <v>0</v>
      </c>
      <c r="CR433" s="44">
        <v>0</v>
      </c>
      <c r="CV433" s="44">
        <v>0</v>
      </c>
      <c r="CW433" s="44">
        <v>0</v>
      </c>
    </row>
    <row r="434" s="53" customFormat="1" customHeight="1" spans="1:96">
      <c r="A434" s="53">
        <v>6990</v>
      </c>
      <c r="B434" s="129" t="s">
        <v>634</v>
      </c>
      <c r="N434" s="44"/>
      <c r="O434" s="77">
        <v>200684</v>
      </c>
      <c r="P434" s="77">
        <v>1</v>
      </c>
      <c r="Q434" s="77">
        <v>0</v>
      </c>
      <c r="R434" s="77">
        <v>0</v>
      </c>
      <c r="S434" s="64">
        <v>0</v>
      </c>
      <c r="T434" s="64">
        <v>0</v>
      </c>
      <c r="U434" s="64">
        <v>0</v>
      </c>
      <c r="V434" s="64">
        <v>0</v>
      </c>
      <c r="W434" s="63">
        <v>0</v>
      </c>
      <c r="X434" s="63">
        <v>0</v>
      </c>
      <c r="Y434" s="63">
        <v>0</v>
      </c>
      <c r="Z434" s="63">
        <v>0</v>
      </c>
      <c r="AA434" s="78">
        <v>0</v>
      </c>
      <c r="AB434" s="78">
        <v>0</v>
      </c>
      <c r="AC434" s="78">
        <v>0</v>
      </c>
      <c r="AD434" s="78">
        <v>0</v>
      </c>
      <c r="AE434" s="48"/>
      <c r="AU434" s="62"/>
      <c r="BK434" s="62"/>
      <c r="CA434" s="53">
        <f t="shared" si="146"/>
        <v>0</v>
      </c>
      <c r="CB434" s="53">
        <v>1000</v>
      </c>
      <c r="CC434" s="53">
        <v>0</v>
      </c>
      <c r="CD434" s="53">
        <v>0</v>
      </c>
      <c r="CE434" s="53">
        <v>0</v>
      </c>
      <c r="CF434" s="53">
        <v>191283</v>
      </c>
      <c r="CG434" s="53">
        <v>1</v>
      </c>
      <c r="CH434" s="53">
        <v>1</v>
      </c>
      <c r="CI434" s="53">
        <v>1</v>
      </c>
      <c r="CJ434" s="53">
        <v>0</v>
      </c>
      <c r="CK434" s="53">
        <v>0</v>
      </c>
      <c r="CL434" s="53">
        <v>0</v>
      </c>
      <c r="CM434" s="53">
        <v>0</v>
      </c>
      <c r="CN434" s="53">
        <v>0</v>
      </c>
      <c r="CO434" s="53">
        <v>0</v>
      </c>
      <c r="CP434" s="53">
        <v>0</v>
      </c>
      <c r="CQ434" s="53">
        <v>0</v>
      </c>
      <c r="CR434" s="53">
        <v>0</v>
      </c>
    </row>
    <row r="435" s="53" customFormat="1" customHeight="1" spans="1:96">
      <c r="A435" s="53">
        <v>6991</v>
      </c>
      <c r="B435" s="129" t="s">
        <v>635</v>
      </c>
      <c r="N435" s="44"/>
      <c r="O435" s="77">
        <v>200685</v>
      </c>
      <c r="P435" s="77">
        <v>1</v>
      </c>
      <c r="Q435" s="77">
        <v>0</v>
      </c>
      <c r="R435" s="77">
        <v>0</v>
      </c>
      <c r="S435" s="64">
        <v>0</v>
      </c>
      <c r="T435" s="64">
        <v>0</v>
      </c>
      <c r="U435" s="64">
        <v>0</v>
      </c>
      <c r="V435" s="64">
        <v>0</v>
      </c>
      <c r="W435" s="63">
        <v>0</v>
      </c>
      <c r="X435" s="63">
        <v>0</v>
      </c>
      <c r="Y435" s="63">
        <v>0</v>
      </c>
      <c r="Z435" s="63">
        <v>0</v>
      </c>
      <c r="AA435" s="78">
        <v>0</v>
      </c>
      <c r="AB435" s="78">
        <v>0</v>
      </c>
      <c r="AC435" s="78">
        <v>0</v>
      </c>
      <c r="AD435" s="78">
        <v>0</v>
      </c>
      <c r="AE435" s="48"/>
      <c r="AU435" s="62"/>
      <c r="BK435" s="62"/>
      <c r="CA435" s="53">
        <f t="shared" si="146"/>
        <v>0</v>
      </c>
      <c r="CB435" s="53">
        <v>1000</v>
      </c>
      <c r="CC435" s="53">
        <v>0</v>
      </c>
      <c r="CD435" s="53">
        <v>0</v>
      </c>
      <c r="CE435" s="53">
        <v>0</v>
      </c>
      <c r="CF435" s="53">
        <v>191283</v>
      </c>
      <c r="CG435" s="53">
        <v>1</v>
      </c>
      <c r="CH435" s="53">
        <v>1</v>
      </c>
      <c r="CI435" s="53">
        <v>1</v>
      </c>
      <c r="CJ435" s="53">
        <v>0</v>
      </c>
      <c r="CK435" s="53">
        <v>0</v>
      </c>
      <c r="CL435" s="53">
        <v>0</v>
      </c>
      <c r="CM435" s="53">
        <v>0</v>
      </c>
      <c r="CN435" s="53">
        <v>0</v>
      </c>
      <c r="CO435" s="53">
        <v>0</v>
      </c>
      <c r="CP435" s="53">
        <v>0</v>
      </c>
      <c r="CQ435" s="53">
        <v>0</v>
      </c>
      <c r="CR435" s="53">
        <v>0</v>
      </c>
    </row>
    <row r="436" s="53" customFormat="1" customHeight="1" spans="1:96">
      <c r="A436" s="53">
        <v>6992</v>
      </c>
      <c r="B436" s="129" t="s">
        <v>636</v>
      </c>
      <c r="N436" s="44"/>
      <c r="O436" s="77">
        <v>200686</v>
      </c>
      <c r="P436" s="77">
        <v>1</v>
      </c>
      <c r="Q436" s="77">
        <v>0</v>
      </c>
      <c r="R436" s="77">
        <v>0</v>
      </c>
      <c r="S436" s="64">
        <v>0</v>
      </c>
      <c r="T436" s="64">
        <v>0</v>
      </c>
      <c r="U436" s="64">
        <v>0</v>
      </c>
      <c r="V436" s="64">
        <v>0</v>
      </c>
      <c r="W436" s="63">
        <v>0</v>
      </c>
      <c r="X436" s="63">
        <v>0</v>
      </c>
      <c r="Y436" s="63">
        <v>0</v>
      </c>
      <c r="Z436" s="63">
        <v>0</v>
      </c>
      <c r="AA436" s="78">
        <v>0</v>
      </c>
      <c r="AB436" s="78">
        <v>0</v>
      </c>
      <c r="AC436" s="78">
        <v>0</v>
      </c>
      <c r="AD436" s="78">
        <v>0</v>
      </c>
      <c r="AE436" s="48"/>
      <c r="AU436" s="62"/>
      <c r="BK436" s="62"/>
      <c r="CA436" s="53">
        <f t="shared" si="146"/>
        <v>0</v>
      </c>
      <c r="CB436" s="53">
        <v>1000</v>
      </c>
      <c r="CC436" s="53">
        <v>0</v>
      </c>
      <c r="CD436" s="53">
        <v>0</v>
      </c>
      <c r="CE436" s="53">
        <v>0</v>
      </c>
      <c r="CF436" s="53">
        <v>191283</v>
      </c>
      <c r="CG436" s="53">
        <v>1</v>
      </c>
      <c r="CH436" s="53">
        <v>1</v>
      </c>
      <c r="CI436" s="53">
        <v>1</v>
      </c>
      <c r="CJ436" s="53">
        <v>0</v>
      </c>
      <c r="CK436" s="53">
        <v>0</v>
      </c>
      <c r="CL436" s="53">
        <v>0</v>
      </c>
      <c r="CM436" s="53">
        <v>0</v>
      </c>
      <c r="CN436" s="53">
        <v>0</v>
      </c>
      <c r="CO436" s="53">
        <v>0</v>
      </c>
      <c r="CP436" s="53">
        <v>0</v>
      </c>
      <c r="CQ436" s="53">
        <v>0</v>
      </c>
      <c r="CR436" s="53">
        <v>0</v>
      </c>
    </row>
    <row r="437" s="54" customFormat="1" customHeight="1" spans="1:96">
      <c r="A437" s="54">
        <v>6993</v>
      </c>
      <c r="B437" s="54" t="s">
        <v>637</v>
      </c>
      <c r="H437" s="54" t="s">
        <v>638</v>
      </c>
      <c r="I437" s="54" t="s">
        <v>639</v>
      </c>
      <c r="J437" s="54">
        <v>50000</v>
      </c>
      <c r="K437" s="131" t="s">
        <v>640</v>
      </c>
      <c r="O437" s="54" t="s">
        <v>329</v>
      </c>
      <c r="P437" s="54" t="s">
        <v>329</v>
      </c>
      <c r="Q437" s="54">
        <v>0</v>
      </c>
      <c r="R437" s="54">
        <v>0</v>
      </c>
      <c r="S437" s="109">
        <v>0</v>
      </c>
      <c r="T437" s="109">
        <v>0</v>
      </c>
      <c r="U437" s="109">
        <v>0</v>
      </c>
      <c r="V437" s="109">
        <v>0</v>
      </c>
      <c r="W437" s="54">
        <v>0</v>
      </c>
      <c r="X437" s="54">
        <v>0</v>
      </c>
      <c r="Y437" s="54">
        <v>0</v>
      </c>
      <c r="Z437" s="54">
        <v>0</v>
      </c>
      <c r="AA437" s="54">
        <v>0</v>
      </c>
      <c r="AB437" s="54">
        <v>0</v>
      </c>
      <c r="AC437" s="54">
        <v>0</v>
      </c>
      <c r="AD437" s="54">
        <v>0</v>
      </c>
      <c r="AE437" s="54" t="s">
        <v>641</v>
      </c>
      <c r="AU437" s="54" t="s">
        <v>319</v>
      </c>
      <c r="BK437" s="54" t="s">
        <v>320</v>
      </c>
      <c r="CA437" s="54">
        <v>100</v>
      </c>
      <c r="CB437" s="54" t="s">
        <v>642</v>
      </c>
      <c r="CC437" s="54">
        <v>0</v>
      </c>
      <c r="CD437" s="54">
        <v>0</v>
      </c>
      <c r="CE437" s="54">
        <v>0</v>
      </c>
      <c r="CF437" s="54">
        <v>125500</v>
      </c>
      <c r="CG437" s="54">
        <v>1</v>
      </c>
      <c r="CH437" s="54">
        <v>1</v>
      </c>
      <c r="CI437" s="54">
        <v>1</v>
      </c>
      <c r="CJ437" s="54">
        <v>0</v>
      </c>
      <c r="CK437" s="54">
        <v>0</v>
      </c>
      <c r="CL437" s="54">
        <v>0</v>
      </c>
      <c r="CM437" s="54">
        <v>0</v>
      </c>
      <c r="CN437" s="54">
        <v>0</v>
      </c>
      <c r="CO437" s="54">
        <v>0</v>
      </c>
      <c r="CP437" s="54">
        <v>0</v>
      </c>
      <c r="CQ437" s="54">
        <v>0</v>
      </c>
      <c r="CR437" s="54">
        <v>0</v>
      </c>
    </row>
    <row r="438" s="54" customFormat="1" customHeight="1" spans="1:96">
      <c r="A438" s="54">
        <v>6994</v>
      </c>
      <c r="B438" s="54" t="s">
        <v>643</v>
      </c>
      <c r="H438" s="54" t="s">
        <v>470</v>
      </c>
      <c r="I438" s="54" t="s">
        <v>639</v>
      </c>
      <c r="J438" s="54">
        <v>60000</v>
      </c>
      <c r="K438" s="54" t="s">
        <v>644</v>
      </c>
      <c r="O438" s="54" t="s">
        <v>329</v>
      </c>
      <c r="P438" s="54" t="s">
        <v>329</v>
      </c>
      <c r="Q438" s="54">
        <v>0</v>
      </c>
      <c r="R438" s="54">
        <v>0</v>
      </c>
      <c r="S438" s="109">
        <v>0</v>
      </c>
      <c r="T438" s="109">
        <v>0</v>
      </c>
      <c r="U438" s="109">
        <v>0</v>
      </c>
      <c r="V438" s="109">
        <v>0</v>
      </c>
      <c r="W438" s="54">
        <v>0</v>
      </c>
      <c r="X438" s="54">
        <v>0</v>
      </c>
      <c r="Y438" s="54">
        <v>0</v>
      </c>
      <c r="Z438" s="54">
        <v>0</v>
      </c>
      <c r="AA438" s="54">
        <v>0</v>
      </c>
      <c r="AB438" s="54">
        <v>0</v>
      </c>
      <c r="AC438" s="54">
        <v>0</v>
      </c>
      <c r="AD438" s="54">
        <v>0</v>
      </c>
      <c r="AE438" s="54" t="s">
        <v>641</v>
      </c>
      <c r="AU438" s="54" t="s">
        <v>319</v>
      </c>
      <c r="BK438" s="54" t="s">
        <v>320</v>
      </c>
      <c r="CA438" s="54">
        <v>100</v>
      </c>
      <c r="CB438" s="54" t="s">
        <v>645</v>
      </c>
      <c r="CC438" s="54">
        <v>0</v>
      </c>
      <c r="CD438" s="54">
        <v>0</v>
      </c>
      <c r="CE438" s="54">
        <v>0</v>
      </c>
      <c r="CF438" s="54">
        <v>125500</v>
      </c>
      <c r="CG438" s="54">
        <v>1</v>
      </c>
      <c r="CH438" s="54">
        <v>1</v>
      </c>
      <c r="CI438" s="54">
        <v>1</v>
      </c>
      <c r="CJ438" s="54">
        <v>0</v>
      </c>
      <c r="CK438" s="54">
        <v>0</v>
      </c>
      <c r="CL438" s="54">
        <v>0</v>
      </c>
      <c r="CM438" s="54">
        <v>0</v>
      </c>
      <c r="CN438" s="54">
        <v>0</v>
      </c>
      <c r="CO438" s="54">
        <v>0</v>
      </c>
      <c r="CP438" s="54">
        <v>0</v>
      </c>
      <c r="CQ438" s="54">
        <v>0</v>
      </c>
      <c r="CR438" s="54">
        <v>0</v>
      </c>
    </row>
    <row r="439" s="54" customFormat="1" customHeight="1" spans="1:96">
      <c r="A439" s="54">
        <v>6995</v>
      </c>
      <c r="B439" s="54" t="s">
        <v>646</v>
      </c>
      <c r="H439" s="54" t="s">
        <v>647</v>
      </c>
      <c r="I439" s="54" t="s">
        <v>639</v>
      </c>
      <c r="J439" s="54">
        <v>70000</v>
      </c>
      <c r="K439" s="54" t="s">
        <v>648</v>
      </c>
      <c r="O439" s="54" t="s">
        <v>329</v>
      </c>
      <c r="P439" s="54" t="s">
        <v>329</v>
      </c>
      <c r="Q439" s="54">
        <v>0</v>
      </c>
      <c r="R439" s="54">
        <v>0</v>
      </c>
      <c r="S439" s="109">
        <v>0</v>
      </c>
      <c r="T439" s="109">
        <v>0</v>
      </c>
      <c r="U439" s="109">
        <v>0</v>
      </c>
      <c r="V439" s="109">
        <v>0</v>
      </c>
      <c r="W439" s="54">
        <v>0</v>
      </c>
      <c r="X439" s="54">
        <v>0</v>
      </c>
      <c r="Y439" s="54">
        <v>0</v>
      </c>
      <c r="Z439" s="54">
        <v>0</v>
      </c>
      <c r="AA439" s="54">
        <v>0</v>
      </c>
      <c r="AB439" s="54">
        <v>0</v>
      </c>
      <c r="AC439" s="54">
        <v>0</v>
      </c>
      <c r="AD439" s="54">
        <v>0</v>
      </c>
      <c r="AE439" s="54" t="s">
        <v>641</v>
      </c>
      <c r="AU439" s="54" t="s">
        <v>319</v>
      </c>
      <c r="BK439" s="54" t="s">
        <v>320</v>
      </c>
      <c r="CA439" s="54">
        <v>100</v>
      </c>
      <c r="CB439" s="54">
        <v>150</v>
      </c>
      <c r="CC439" s="54">
        <v>0</v>
      </c>
      <c r="CD439" s="54">
        <v>0</v>
      </c>
      <c r="CE439" s="54">
        <v>0</v>
      </c>
      <c r="CF439" s="54">
        <v>125500</v>
      </c>
      <c r="CG439" s="54">
        <v>1</v>
      </c>
      <c r="CH439" s="54">
        <v>1</v>
      </c>
      <c r="CI439" s="54">
        <v>1</v>
      </c>
      <c r="CJ439" s="54">
        <v>0</v>
      </c>
      <c r="CK439" s="54">
        <v>0</v>
      </c>
      <c r="CL439" s="54">
        <v>0</v>
      </c>
      <c r="CM439" s="54">
        <v>0</v>
      </c>
      <c r="CN439" s="54">
        <v>0</v>
      </c>
      <c r="CO439" s="54">
        <v>0</v>
      </c>
      <c r="CP439" s="54">
        <v>0</v>
      </c>
      <c r="CQ439" s="54">
        <v>0</v>
      </c>
      <c r="CR439" s="54">
        <v>0</v>
      </c>
    </row>
    <row r="440" s="54" customFormat="1" customHeight="1" spans="1:96">
      <c r="A440" s="54">
        <v>6996</v>
      </c>
      <c r="B440" s="54" t="s">
        <v>649</v>
      </c>
      <c r="H440" s="54" t="s">
        <v>650</v>
      </c>
      <c r="I440" s="54" t="s">
        <v>639</v>
      </c>
      <c r="J440" s="54">
        <v>80000</v>
      </c>
      <c r="K440" s="54" t="s">
        <v>651</v>
      </c>
      <c r="O440" s="54" t="s">
        <v>329</v>
      </c>
      <c r="P440" s="54" t="s">
        <v>329</v>
      </c>
      <c r="Q440" s="54">
        <v>0</v>
      </c>
      <c r="R440" s="54">
        <v>0</v>
      </c>
      <c r="S440" s="109">
        <v>0</v>
      </c>
      <c r="T440" s="109">
        <v>0</v>
      </c>
      <c r="U440" s="109">
        <v>0</v>
      </c>
      <c r="V440" s="109">
        <v>0</v>
      </c>
      <c r="W440" s="54">
        <v>0</v>
      </c>
      <c r="X440" s="54">
        <v>0</v>
      </c>
      <c r="Y440" s="54">
        <v>0</v>
      </c>
      <c r="Z440" s="54">
        <v>0</v>
      </c>
      <c r="AA440" s="54">
        <v>0</v>
      </c>
      <c r="AB440" s="54">
        <v>0</v>
      </c>
      <c r="AC440" s="54">
        <v>0</v>
      </c>
      <c r="AD440" s="54">
        <v>0</v>
      </c>
      <c r="AE440" s="54" t="s">
        <v>641</v>
      </c>
      <c r="AU440" s="54" t="s">
        <v>319</v>
      </c>
      <c r="BK440" s="54" t="s">
        <v>320</v>
      </c>
      <c r="CA440" s="54">
        <v>100</v>
      </c>
      <c r="CB440" s="54" t="s">
        <v>320</v>
      </c>
      <c r="CC440" s="54">
        <v>0</v>
      </c>
      <c r="CD440" s="54">
        <v>0</v>
      </c>
      <c r="CE440" s="54">
        <v>0</v>
      </c>
      <c r="CF440" s="54">
        <v>125500</v>
      </c>
      <c r="CG440" s="54">
        <v>1</v>
      </c>
      <c r="CH440" s="54">
        <v>1</v>
      </c>
      <c r="CI440" s="54">
        <v>1</v>
      </c>
      <c r="CJ440" s="54">
        <v>0</v>
      </c>
      <c r="CK440" s="54">
        <v>0</v>
      </c>
      <c r="CL440" s="54">
        <v>0</v>
      </c>
      <c r="CM440" s="54">
        <v>0</v>
      </c>
      <c r="CN440" s="54">
        <v>0</v>
      </c>
      <c r="CO440" s="54">
        <v>0</v>
      </c>
      <c r="CP440" s="54">
        <v>0</v>
      </c>
      <c r="CQ440" s="54">
        <v>0</v>
      </c>
      <c r="CR440" s="54">
        <v>0</v>
      </c>
    </row>
    <row r="441" s="54" customFormat="1" customHeight="1" spans="1:96">
      <c r="A441" s="54">
        <v>6997</v>
      </c>
      <c r="B441" s="54" t="s">
        <v>652</v>
      </c>
      <c r="H441" s="54" t="s">
        <v>653</v>
      </c>
      <c r="I441" s="54" t="s">
        <v>639</v>
      </c>
      <c r="J441" s="54">
        <v>100000</v>
      </c>
      <c r="K441" s="54" t="s">
        <v>511</v>
      </c>
      <c r="O441" s="54" t="s">
        <v>329</v>
      </c>
      <c r="P441" s="54" t="s">
        <v>329</v>
      </c>
      <c r="Q441" s="54">
        <v>0</v>
      </c>
      <c r="R441" s="54">
        <v>0</v>
      </c>
      <c r="S441" s="109">
        <v>0</v>
      </c>
      <c r="T441" s="109">
        <v>0</v>
      </c>
      <c r="U441" s="109">
        <v>0</v>
      </c>
      <c r="V441" s="109">
        <v>0</v>
      </c>
      <c r="W441" s="54">
        <v>0</v>
      </c>
      <c r="X441" s="54">
        <v>0</v>
      </c>
      <c r="Y441" s="54">
        <v>0</v>
      </c>
      <c r="Z441" s="54">
        <v>0</v>
      </c>
      <c r="AA441" s="54">
        <v>0</v>
      </c>
      <c r="AB441" s="54">
        <v>0</v>
      </c>
      <c r="AC441" s="54">
        <v>0</v>
      </c>
      <c r="AD441" s="54">
        <v>0</v>
      </c>
      <c r="AE441" s="54" t="s">
        <v>641</v>
      </c>
      <c r="AU441" s="54" t="s">
        <v>654</v>
      </c>
      <c r="BK441" s="54" t="s">
        <v>320</v>
      </c>
      <c r="CA441" s="54">
        <v>100</v>
      </c>
      <c r="CB441" s="54" t="s">
        <v>320</v>
      </c>
      <c r="CC441" s="54">
        <v>0</v>
      </c>
      <c r="CD441" s="54">
        <v>0</v>
      </c>
      <c r="CE441" s="54">
        <v>0</v>
      </c>
      <c r="CF441" s="54">
        <v>125500</v>
      </c>
      <c r="CG441" s="54">
        <v>1</v>
      </c>
      <c r="CH441" s="54">
        <v>1</v>
      </c>
      <c r="CI441" s="54">
        <v>1</v>
      </c>
      <c r="CJ441" s="54">
        <v>0</v>
      </c>
      <c r="CK441" s="54">
        <v>0</v>
      </c>
      <c r="CL441" s="54">
        <v>0</v>
      </c>
      <c r="CM441" s="54">
        <v>0</v>
      </c>
      <c r="CN441" s="54">
        <v>0</v>
      </c>
      <c r="CO441" s="54">
        <v>0</v>
      </c>
      <c r="CP441" s="54">
        <v>0</v>
      </c>
      <c r="CQ441" s="54">
        <v>0</v>
      </c>
      <c r="CR441" s="54">
        <v>0</v>
      </c>
    </row>
    <row r="442" s="54" customFormat="1" customHeight="1" spans="1:96">
      <c r="A442" s="54">
        <v>6998</v>
      </c>
      <c r="B442" s="54" t="s">
        <v>655</v>
      </c>
      <c r="H442" s="54">
        <v>120000</v>
      </c>
      <c r="I442" s="54" t="s">
        <v>639</v>
      </c>
      <c r="J442" s="54">
        <v>30000</v>
      </c>
      <c r="K442" s="54" t="s">
        <v>640</v>
      </c>
      <c r="O442" s="54" t="s">
        <v>329</v>
      </c>
      <c r="P442" s="54" t="s">
        <v>329</v>
      </c>
      <c r="Q442" s="54">
        <v>0</v>
      </c>
      <c r="R442" s="54">
        <v>0</v>
      </c>
      <c r="S442" s="109">
        <v>0</v>
      </c>
      <c r="T442" s="109">
        <v>0</v>
      </c>
      <c r="U442" s="109">
        <v>0</v>
      </c>
      <c r="V442" s="109">
        <v>0</v>
      </c>
      <c r="W442" s="54">
        <v>0</v>
      </c>
      <c r="X442" s="54">
        <v>0</v>
      </c>
      <c r="Y442" s="54">
        <v>0</v>
      </c>
      <c r="Z442" s="54">
        <v>0</v>
      </c>
      <c r="AA442" s="54">
        <v>0</v>
      </c>
      <c r="AB442" s="54">
        <v>0</v>
      </c>
      <c r="AC442" s="54">
        <v>0</v>
      </c>
      <c r="AD442" s="54">
        <v>0</v>
      </c>
      <c r="AE442" s="54" t="s">
        <v>656</v>
      </c>
      <c r="AF442" s="54" t="s">
        <v>657</v>
      </c>
      <c r="AG442" s="54" t="s">
        <v>658</v>
      </c>
      <c r="AH442" s="54" t="s">
        <v>659</v>
      </c>
      <c r="AI442" s="54" t="s">
        <v>660</v>
      </c>
      <c r="AU442" s="54">
        <v>1</v>
      </c>
      <c r="AV442" s="54" t="s">
        <v>319</v>
      </c>
      <c r="AW442" s="54" t="s">
        <v>319</v>
      </c>
      <c r="AX442" s="54" t="s">
        <v>319</v>
      </c>
      <c r="AY442" s="54" t="s">
        <v>319</v>
      </c>
      <c r="BK442" s="54" t="s">
        <v>320</v>
      </c>
      <c r="BL442" s="54" t="s">
        <v>320</v>
      </c>
      <c r="BM442" s="54" t="s">
        <v>320</v>
      </c>
      <c r="BN442" s="54" t="s">
        <v>321</v>
      </c>
      <c r="BO442" s="54" t="s">
        <v>661</v>
      </c>
      <c r="BP442" s="54" t="s">
        <v>662</v>
      </c>
      <c r="CA442" s="54" t="s">
        <v>663</v>
      </c>
      <c r="CB442" s="54" t="s">
        <v>663</v>
      </c>
      <c r="CC442" s="54">
        <v>0</v>
      </c>
      <c r="CD442" s="54">
        <v>0</v>
      </c>
      <c r="CE442" s="54">
        <v>0</v>
      </c>
      <c r="CF442" s="54">
        <v>125501</v>
      </c>
      <c r="CG442" s="54">
        <v>1</v>
      </c>
      <c r="CH442" s="54">
        <v>1</v>
      </c>
      <c r="CI442" s="54">
        <v>1</v>
      </c>
      <c r="CJ442" s="54">
        <v>0</v>
      </c>
      <c r="CK442" s="54">
        <v>0</v>
      </c>
      <c r="CL442" s="54">
        <v>0</v>
      </c>
      <c r="CM442" s="54">
        <v>0</v>
      </c>
      <c r="CN442" s="54">
        <v>0</v>
      </c>
      <c r="CO442" s="54">
        <v>0</v>
      </c>
      <c r="CP442" s="54">
        <v>0</v>
      </c>
      <c r="CQ442" s="54">
        <v>0</v>
      </c>
      <c r="CR442" s="54">
        <v>0</v>
      </c>
    </row>
    <row r="443" s="54" customFormat="1" customHeight="1" spans="1:96">
      <c r="A443" s="54">
        <v>6999</v>
      </c>
      <c r="B443" s="54" t="s">
        <v>664</v>
      </c>
      <c r="H443" s="54" t="s">
        <v>470</v>
      </c>
      <c r="I443" s="54" t="s">
        <v>639</v>
      </c>
      <c r="J443" s="54">
        <v>90000</v>
      </c>
      <c r="K443" s="54" t="s">
        <v>651</v>
      </c>
      <c r="O443" s="54" t="s">
        <v>329</v>
      </c>
      <c r="P443" s="54" t="s">
        <v>329</v>
      </c>
      <c r="Q443" s="54">
        <v>0</v>
      </c>
      <c r="R443" s="54">
        <v>0</v>
      </c>
      <c r="S443" s="109">
        <v>0</v>
      </c>
      <c r="T443" s="109">
        <v>0</v>
      </c>
      <c r="U443" s="109">
        <v>0</v>
      </c>
      <c r="V443" s="109">
        <v>0</v>
      </c>
      <c r="W443" s="54">
        <v>0</v>
      </c>
      <c r="X443" s="54">
        <v>0</v>
      </c>
      <c r="Y443" s="54">
        <v>0</v>
      </c>
      <c r="Z443" s="54">
        <v>0</v>
      </c>
      <c r="AA443" s="54">
        <v>0</v>
      </c>
      <c r="AB443" s="54">
        <v>0</v>
      </c>
      <c r="AC443" s="54">
        <v>0</v>
      </c>
      <c r="AD443" s="54">
        <v>0</v>
      </c>
      <c r="AE443" s="54" t="s">
        <v>665</v>
      </c>
      <c r="AF443" s="54" t="s">
        <v>666</v>
      </c>
      <c r="AG443" s="54" t="s">
        <v>657</v>
      </c>
      <c r="AH443" s="54" t="s">
        <v>667</v>
      </c>
      <c r="AI443" s="54" t="s">
        <v>668</v>
      </c>
      <c r="AJ443" s="54"/>
      <c r="AU443" s="54" t="s">
        <v>669</v>
      </c>
      <c r="AV443" s="54">
        <v>1</v>
      </c>
      <c r="AW443" s="54">
        <v>1</v>
      </c>
      <c r="AX443" s="54">
        <v>1</v>
      </c>
      <c r="AY443" s="54" t="s">
        <v>670</v>
      </c>
      <c r="AZ443" s="54"/>
      <c r="BK443" s="54" t="s">
        <v>320</v>
      </c>
      <c r="BL443" s="54" t="s">
        <v>320</v>
      </c>
      <c r="BM443" s="54" t="s">
        <v>320</v>
      </c>
      <c r="BN443" s="54" t="s">
        <v>320</v>
      </c>
      <c r="BO443" s="54" t="s">
        <v>320</v>
      </c>
      <c r="BP443" s="54"/>
      <c r="CA443" s="54" t="s">
        <v>671</v>
      </c>
      <c r="CB443" s="54" t="s">
        <v>671</v>
      </c>
      <c r="CC443" s="54">
        <v>0</v>
      </c>
      <c r="CD443" s="54">
        <v>0</v>
      </c>
      <c r="CE443" s="54">
        <v>0</v>
      </c>
      <c r="CF443" s="54">
        <v>125502</v>
      </c>
      <c r="CG443" s="54">
        <v>1</v>
      </c>
      <c r="CH443" s="54">
        <v>1</v>
      </c>
      <c r="CI443" s="54">
        <v>1</v>
      </c>
      <c r="CJ443" s="54">
        <v>0</v>
      </c>
      <c r="CK443" s="54">
        <v>0</v>
      </c>
      <c r="CL443" s="54">
        <v>0</v>
      </c>
      <c r="CM443" s="54">
        <v>0</v>
      </c>
      <c r="CN443" s="54">
        <v>0</v>
      </c>
      <c r="CO443" s="54">
        <v>0</v>
      </c>
      <c r="CP443" s="54">
        <v>0</v>
      </c>
      <c r="CQ443" s="54">
        <v>0</v>
      </c>
      <c r="CR443" s="54">
        <v>0</v>
      </c>
    </row>
    <row r="444" s="54" customFormat="1" customHeight="1" spans="1:96">
      <c r="A444" s="54">
        <v>7000</v>
      </c>
      <c r="B444" s="54" t="s">
        <v>672</v>
      </c>
      <c r="H444" s="54" t="s">
        <v>647</v>
      </c>
      <c r="I444" s="54" t="s">
        <v>639</v>
      </c>
      <c r="J444" s="54">
        <v>80000</v>
      </c>
      <c r="K444" s="54" t="s">
        <v>511</v>
      </c>
      <c r="O444" s="54" t="s">
        <v>329</v>
      </c>
      <c r="P444" s="54" t="s">
        <v>329</v>
      </c>
      <c r="Q444" s="54">
        <v>0</v>
      </c>
      <c r="R444" s="54">
        <v>0</v>
      </c>
      <c r="S444" s="109">
        <v>0</v>
      </c>
      <c r="T444" s="109">
        <v>0</v>
      </c>
      <c r="U444" s="109">
        <v>0</v>
      </c>
      <c r="V444" s="109">
        <v>0</v>
      </c>
      <c r="W444" s="54">
        <v>0</v>
      </c>
      <c r="X444" s="54">
        <v>0</v>
      </c>
      <c r="Y444" s="54">
        <v>0</v>
      </c>
      <c r="Z444" s="54">
        <v>0</v>
      </c>
      <c r="AA444" s="54">
        <v>0</v>
      </c>
      <c r="AB444" s="54">
        <v>0</v>
      </c>
      <c r="AC444" s="54">
        <v>0</v>
      </c>
      <c r="AD444" s="54">
        <v>0</v>
      </c>
      <c r="AE444" s="54" t="s">
        <v>665</v>
      </c>
      <c r="AF444" s="54" t="s">
        <v>666</v>
      </c>
      <c r="AG444" s="54" t="s">
        <v>657</v>
      </c>
      <c r="AH444" s="54" t="s">
        <v>667</v>
      </c>
      <c r="AI444" s="54" t="s">
        <v>668</v>
      </c>
      <c r="AJ444" s="54"/>
      <c r="AU444" s="54" t="s">
        <v>673</v>
      </c>
      <c r="AV444" s="54" t="s">
        <v>654</v>
      </c>
      <c r="AW444" s="54">
        <v>1</v>
      </c>
      <c r="AX444" s="54">
        <v>1</v>
      </c>
      <c r="AY444" s="54" t="s">
        <v>674</v>
      </c>
      <c r="AZ444" s="54"/>
      <c r="BK444" s="54" t="s">
        <v>320</v>
      </c>
      <c r="BL444" s="54" t="s">
        <v>320</v>
      </c>
      <c r="BM444" s="54" t="s">
        <v>320</v>
      </c>
      <c r="BN444" s="54" t="s">
        <v>320</v>
      </c>
      <c r="BO444" s="54" t="s">
        <v>320</v>
      </c>
      <c r="BP444" s="54"/>
      <c r="CA444" s="54" t="s">
        <v>671</v>
      </c>
      <c r="CB444" s="54" t="s">
        <v>671</v>
      </c>
      <c r="CC444" s="54">
        <v>0</v>
      </c>
      <c r="CD444" s="54">
        <v>0</v>
      </c>
      <c r="CE444" s="54">
        <v>0</v>
      </c>
      <c r="CF444" s="54">
        <v>125503</v>
      </c>
      <c r="CG444" s="54">
        <v>1</v>
      </c>
      <c r="CH444" s="54">
        <v>1</v>
      </c>
      <c r="CI444" s="54">
        <v>1</v>
      </c>
      <c r="CJ444" s="54">
        <v>0</v>
      </c>
      <c r="CK444" s="54">
        <v>0</v>
      </c>
      <c r="CL444" s="54">
        <v>0</v>
      </c>
      <c r="CM444" s="54">
        <v>0</v>
      </c>
      <c r="CN444" s="54">
        <v>0</v>
      </c>
      <c r="CO444" s="54">
        <v>0</v>
      </c>
      <c r="CP444" s="54">
        <v>0</v>
      </c>
      <c r="CQ444" s="54">
        <v>0</v>
      </c>
      <c r="CR444" s="54">
        <v>0</v>
      </c>
    </row>
    <row r="445" s="54" customFormat="1" customHeight="1" spans="1:96">
      <c r="A445" s="54">
        <v>7001</v>
      </c>
      <c r="B445" s="54" t="s">
        <v>675</v>
      </c>
      <c r="H445" s="54" t="s">
        <v>650</v>
      </c>
      <c r="I445" s="54" t="s">
        <v>639</v>
      </c>
      <c r="J445" s="54">
        <v>100000</v>
      </c>
      <c r="K445" s="54" t="s">
        <v>676</v>
      </c>
      <c r="O445" s="54" t="s">
        <v>329</v>
      </c>
      <c r="P445" s="54" t="s">
        <v>329</v>
      </c>
      <c r="Q445" s="54">
        <v>0</v>
      </c>
      <c r="R445" s="54">
        <v>0</v>
      </c>
      <c r="S445" s="109">
        <v>0</v>
      </c>
      <c r="T445" s="109">
        <v>0</v>
      </c>
      <c r="U445" s="109">
        <v>0</v>
      </c>
      <c r="V445" s="109">
        <v>0</v>
      </c>
      <c r="W445" s="54">
        <v>0</v>
      </c>
      <c r="X445" s="54">
        <v>0</v>
      </c>
      <c r="Y445" s="54">
        <v>0</v>
      </c>
      <c r="Z445" s="54">
        <v>0</v>
      </c>
      <c r="AA445" s="54">
        <v>0</v>
      </c>
      <c r="AB445" s="54">
        <v>0</v>
      </c>
      <c r="AC445" s="54">
        <v>0</v>
      </c>
      <c r="AD445" s="54">
        <v>0</v>
      </c>
      <c r="AE445" s="54" t="s">
        <v>665</v>
      </c>
      <c r="AF445" s="54" t="s">
        <v>666</v>
      </c>
      <c r="AG445" s="54" t="s">
        <v>657</v>
      </c>
      <c r="AH445" s="54" t="s">
        <v>667</v>
      </c>
      <c r="AI445" s="54" t="s">
        <v>668</v>
      </c>
      <c r="AJ445" s="54"/>
      <c r="AU445" s="54" t="s">
        <v>677</v>
      </c>
      <c r="AV445" s="54" t="s">
        <v>669</v>
      </c>
      <c r="AW445" s="54">
        <v>1</v>
      </c>
      <c r="AX445" s="54">
        <v>1</v>
      </c>
      <c r="AY445" s="54" t="s">
        <v>678</v>
      </c>
      <c r="AZ445" s="54"/>
      <c r="BK445" s="54" t="s">
        <v>320</v>
      </c>
      <c r="BL445" s="54" t="s">
        <v>320</v>
      </c>
      <c r="BM445" s="54" t="s">
        <v>320</v>
      </c>
      <c r="BN445" s="54" t="s">
        <v>320</v>
      </c>
      <c r="BO445" s="54" t="s">
        <v>320</v>
      </c>
      <c r="BP445" s="54"/>
      <c r="CA445" s="54" t="s">
        <v>671</v>
      </c>
      <c r="CB445" s="54" t="s">
        <v>671</v>
      </c>
      <c r="CC445" s="54">
        <v>0</v>
      </c>
      <c r="CD445" s="54">
        <v>0</v>
      </c>
      <c r="CE445" s="54">
        <v>0</v>
      </c>
      <c r="CF445" s="54">
        <v>125504</v>
      </c>
      <c r="CG445" s="54">
        <v>1</v>
      </c>
      <c r="CH445" s="54">
        <v>1</v>
      </c>
      <c r="CI445" s="54">
        <v>1</v>
      </c>
      <c r="CJ445" s="54">
        <v>0</v>
      </c>
      <c r="CK445" s="54">
        <v>0</v>
      </c>
      <c r="CL445" s="54">
        <v>0</v>
      </c>
      <c r="CM445" s="54">
        <v>0</v>
      </c>
      <c r="CN445" s="54">
        <v>0</v>
      </c>
      <c r="CO445" s="54">
        <v>0</v>
      </c>
      <c r="CP445" s="54">
        <v>0</v>
      </c>
      <c r="CQ445" s="54">
        <v>0</v>
      </c>
      <c r="CR445" s="54">
        <v>0</v>
      </c>
    </row>
    <row r="446" s="55" customFormat="1" customHeight="1" spans="1:96">
      <c r="A446" s="55">
        <v>7002</v>
      </c>
      <c r="B446" s="130" t="s">
        <v>679</v>
      </c>
      <c r="H446" s="55" t="s">
        <v>326</v>
      </c>
      <c r="I446" s="55">
        <v>1000</v>
      </c>
      <c r="K446" s="55">
        <v>1000</v>
      </c>
      <c r="O446" s="55">
        <v>0</v>
      </c>
      <c r="P446" s="55">
        <v>0</v>
      </c>
      <c r="Q446" s="55">
        <v>0</v>
      </c>
      <c r="R446" s="55">
        <v>0</v>
      </c>
      <c r="S446" s="55">
        <v>0</v>
      </c>
      <c r="T446" s="55">
        <v>0</v>
      </c>
      <c r="U446" s="55">
        <v>0</v>
      </c>
      <c r="V446" s="55">
        <v>0</v>
      </c>
      <c r="W446" s="55">
        <v>0</v>
      </c>
      <c r="X446" s="55">
        <v>0</v>
      </c>
      <c r="Y446" s="55">
        <v>0</v>
      </c>
      <c r="Z446" s="55">
        <v>0</v>
      </c>
      <c r="AA446" s="55">
        <v>0</v>
      </c>
      <c r="AB446" s="55">
        <v>0</v>
      </c>
      <c r="AC446" s="55">
        <v>0</v>
      </c>
      <c r="AD446" s="55">
        <v>0</v>
      </c>
      <c r="AE446" s="55">
        <v>200223</v>
      </c>
      <c r="AF446" s="55">
        <v>200333</v>
      </c>
      <c r="AG446" s="55">
        <v>200300</v>
      </c>
      <c r="AH446" s="55">
        <v>200301</v>
      </c>
      <c r="AI446" s="55">
        <v>200302</v>
      </c>
      <c r="AJ446" s="55">
        <v>200303</v>
      </c>
      <c r="AK446" s="55">
        <v>200304</v>
      </c>
      <c r="AL446" s="55">
        <v>200305</v>
      </c>
      <c r="AM446" s="55">
        <v>200660</v>
      </c>
      <c r="AN446" s="55">
        <v>200674</v>
      </c>
      <c r="AO446" s="55">
        <v>200677</v>
      </c>
      <c r="AP446" s="55">
        <v>200679</v>
      </c>
      <c r="AQ446" s="55">
        <v>200680</v>
      </c>
      <c r="AR446" s="55">
        <v>200683</v>
      </c>
      <c r="AS446" s="55">
        <v>200672</v>
      </c>
      <c r="AT446" s="55">
        <v>200673</v>
      </c>
      <c r="AU446" s="55">
        <v>1</v>
      </c>
      <c r="AV446" s="55">
        <v>1</v>
      </c>
      <c r="AW446" s="55">
        <v>1</v>
      </c>
      <c r="AX446" s="55">
        <v>1</v>
      </c>
      <c r="AY446" s="55">
        <v>1</v>
      </c>
      <c r="AZ446" s="55">
        <v>1</v>
      </c>
      <c r="BA446" s="55">
        <v>1</v>
      </c>
      <c r="BB446" s="55">
        <v>1</v>
      </c>
      <c r="BC446" s="55">
        <v>1</v>
      </c>
      <c r="BD446" s="55">
        <v>4</v>
      </c>
      <c r="BE446" s="55">
        <v>4</v>
      </c>
      <c r="BF446" s="55">
        <v>4</v>
      </c>
      <c r="BG446" s="55">
        <v>4</v>
      </c>
      <c r="BH446" s="55">
        <v>4</v>
      </c>
      <c r="BI446" s="55">
        <v>4</v>
      </c>
      <c r="BJ446" s="55">
        <v>4</v>
      </c>
      <c r="BK446" s="55">
        <v>100</v>
      </c>
      <c r="BL446" s="55">
        <v>100</v>
      </c>
      <c r="BM446" s="55">
        <v>100</v>
      </c>
      <c r="BN446" s="55">
        <v>100</v>
      </c>
      <c r="BO446" s="55">
        <v>100</v>
      </c>
      <c r="BP446" s="55">
        <v>100</v>
      </c>
      <c r="BQ446" s="55">
        <v>100</v>
      </c>
      <c r="BR446" s="55">
        <v>100</v>
      </c>
      <c r="BS446" s="55">
        <v>100</v>
      </c>
      <c r="BT446" s="55">
        <v>100</v>
      </c>
      <c r="BU446" s="55">
        <v>100</v>
      </c>
      <c r="BV446" s="55">
        <v>100</v>
      </c>
      <c r="BW446" s="55">
        <v>100</v>
      </c>
      <c r="BX446" s="55">
        <v>100</v>
      </c>
      <c r="BY446" s="55">
        <v>100</v>
      </c>
      <c r="BZ446" s="55">
        <v>100</v>
      </c>
      <c r="CA446" s="55">
        <v>1600</v>
      </c>
      <c r="CB446" s="55">
        <v>1600</v>
      </c>
      <c r="CC446" s="55">
        <v>0</v>
      </c>
      <c r="CD446" s="55">
        <v>0</v>
      </c>
      <c r="CE446" s="55">
        <v>0</v>
      </c>
      <c r="CF446" s="55">
        <v>192262</v>
      </c>
      <c r="CG446" s="55">
        <v>1</v>
      </c>
      <c r="CH446" s="55">
        <v>1</v>
      </c>
      <c r="CI446" s="55">
        <v>1</v>
      </c>
      <c r="CJ446" s="55">
        <v>0</v>
      </c>
      <c r="CK446" s="55">
        <v>0</v>
      </c>
      <c r="CL446" s="55">
        <v>0</v>
      </c>
      <c r="CM446" s="55">
        <v>0</v>
      </c>
      <c r="CN446" s="55">
        <v>0</v>
      </c>
      <c r="CO446" s="55">
        <v>0</v>
      </c>
      <c r="CP446" s="55">
        <v>0</v>
      </c>
      <c r="CQ446" s="55">
        <v>0</v>
      </c>
      <c r="CR446" s="55">
        <v>0</v>
      </c>
    </row>
    <row r="447" s="55" customFormat="1" customHeight="1" spans="1:96">
      <c r="A447" s="55">
        <v>7003</v>
      </c>
      <c r="B447" s="130" t="s">
        <v>680</v>
      </c>
      <c r="H447" s="55" t="s">
        <v>326</v>
      </c>
      <c r="I447" s="55">
        <v>1000</v>
      </c>
      <c r="K447" s="55">
        <v>1000</v>
      </c>
      <c r="O447" s="55">
        <v>0</v>
      </c>
      <c r="P447" s="55">
        <v>0</v>
      </c>
      <c r="Q447" s="55">
        <v>0</v>
      </c>
      <c r="R447" s="55">
        <v>0</v>
      </c>
      <c r="S447" s="55">
        <v>0</v>
      </c>
      <c r="T447" s="55">
        <v>0</v>
      </c>
      <c r="U447" s="55">
        <v>0</v>
      </c>
      <c r="V447" s="55">
        <v>0</v>
      </c>
      <c r="W447" s="55">
        <v>0</v>
      </c>
      <c r="X447" s="55">
        <v>0</v>
      </c>
      <c r="Y447" s="55">
        <v>0</v>
      </c>
      <c r="Z447" s="55">
        <v>0</v>
      </c>
      <c r="AA447" s="55">
        <v>0</v>
      </c>
      <c r="AB447" s="55">
        <v>0</v>
      </c>
      <c r="AC447" s="55">
        <v>0</v>
      </c>
      <c r="AD447" s="55">
        <v>0</v>
      </c>
      <c r="AE447" s="55">
        <v>200230</v>
      </c>
      <c r="AF447" s="55">
        <v>200334</v>
      </c>
      <c r="AG447" s="55">
        <v>200300</v>
      </c>
      <c r="AH447" s="55">
        <v>200301</v>
      </c>
      <c r="AI447" s="55">
        <v>200302</v>
      </c>
      <c r="AJ447" s="55">
        <v>200303</v>
      </c>
      <c r="AK447" s="55">
        <v>200304</v>
      </c>
      <c r="AL447" s="55">
        <v>200305</v>
      </c>
      <c r="AM447" s="55">
        <v>200660</v>
      </c>
      <c r="AN447" s="55">
        <v>200674</v>
      </c>
      <c r="AO447" s="55">
        <v>200677</v>
      </c>
      <c r="AP447" s="55">
        <v>200679</v>
      </c>
      <c r="AQ447" s="55">
        <v>200680</v>
      </c>
      <c r="AR447" s="55">
        <v>200683</v>
      </c>
      <c r="AS447" s="55">
        <v>200672</v>
      </c>
      <c r="AT447" s="55">
        <v>200673</v>
      </c>
      <c r="AU447" s="55">
        <v>1</v>
      </c>
      <c r="AV447" s="55">
        <v>1</v>
      </c>
      <c r="AW447" s="55">
        <v>1</v>
      </c>
      <c r="AX447" s="55">
        <v>1</v>
      </c>
      <c r="AY447" s="55">
        <v>1</v>
      </c>
      <c r="AZ447" s="55">
        <v>1</v>
      </c>
      <c r="BA447" s="55">
        <v>1</v>
      </c>
      <c r="BB447" s="55">
        <v>1</v>
      </c>
      <c r="BC447" s="55">
        <v>1</v>
      </c>
      <c r="BD447" s="55">
        <v>5</v>
      </c>
      <c r="BE447" s="55">
        <v>5</v>
      </c>
      <c r="BF447" s="55">
        <v>5</v>
      </c>
      <c r="BG447" s="55">
        <v>5</v>
      </c>
      <c r="BH447" s="55">
        <v>5</v>
      </c>
      <c r="BI447" s="55">
        <v>5</v>
      </c>
      <c r="BJ447" s="55">
        <v>5</v>
      </c>
      <c r="BK447" s="55">
        <v>100</v>
      </c>
      <c r="BL447" s="55">
        <v>100</v>
      </c>
      <c r="BM447" s="55">
        <v>100</v>
      </c>
      <c r="BN447" s="55">
        <v>100</v>
      </c>
      <c r="BO447" s="55">
        <v>100</v>
      </c>
      <c r="BP447" s="55">
        <v>100</v>
      </c>
      <c r="BQ447" s="55">
        <v>100</v>
      </c>
      <c r="BR447" s="55">
        <v>100</v>
      </c>
      <c r="BS447" s="55">
        <v>100</v>
      </c>
      <c r="BT447" s="55">
        <v>100</v>
      </c>
      <c r="BU447" s="55">
        <v>100</v>
      </c>
      <c r="BV447" s="55">
        <v>100</v>
      </c>
      <c r="BW447" s="55">
        <v>100</v>
      </c>
      <c r="BX447" s="55">
        <v>100</v>
      </c>
      <c r="BY447" s="55">
        <v>100</v>
      </c>
      <c r="BZ447" s="55">
        <v>100</v>
      </c>
      <c r="CA447" s="55">
        <v>1600</v>
      </c>
      <c r="CB447" s="55">
        <v>1600</v>
      </c>
      <c r="CC447" s="55">
        <v>0</v>
      </c>
      <c r="CD447" s="55">
        <v>0</v>
      </c>
      <c r="CE447" s="55">
        <v>0</v>
      </c>
      <c r="CF447" s="55">
        <v>192263</v>
      </c>
      <c r="CG447" s="55">
        <v>1</v>
      </c>
      <c r="CH447" s="55">
        <v>1</v>
      </c>
      <c r="CI447" s="55">
        <v>1</v>
      </c>
      <c r="CJ447" s="55">
        <v>0</v>
      </c>
      <c r="CK447" s="55">
        <v>0</v>
      </c>
      <c r="CL447" s="55">
        <v>0</v>
      </c>
      <c r="CM447" s="55">
        <v>0</v>
      </c>
      <c r="CN447" s="55">
        <v>0</v>
      </c>
      <c r="CO447" s="55">
        <v>0</v>
      </c>
      <c r="CP447" s="55">
        <v>0</v>
      </c>
      <c r="CQ447" s="55">
        <v>0</v>
      </c>
      <c r="CR447" s="55">
        <v>0</v>
      </c>
    </row>
    <row r="448" s="55" customFormat="1" customHeight="1" spans="1:96">
      <c r="A448" s="55">
        <v>7004</v>
      </c>
      <c r="B448" s="130" t="s">
        <v>681</v>
      </c>
      <c r="H448" s="55" t="s">
        <v>326</v>
      </c>
      <c r="I448" s="55">
        <v>1000</v>
      </c>
      <c r="K448" s="55">
        <v>1000</v>
      </c>
      <c r="O448" s="55">
        <v>0</v>
      </c>
      <c r="P448" s="55">
        <v>0</v>
      </c>
      <c r="Q448" s="55">
        <v>0</v>
      </c>
      <c r="R448" s="55">
        <v>0</v>
      </c>
      <c r="S448" s="55">
        <v>0</v>
      </c>
      <c r="T448" s="55">
        <v>0</v>
      </c>
      <c r="U448" s="55">
        <v>0</v>
      </c>
      <c r="V448" s="55">
        <v>0</v>
      </c>
      <c r="W448" s="55">
        <v>0</v>
      </c>
      <c r="X448" s="55">
        <v>0</v>
      </c>
      <c r="Y448" s="55">
        <v>0</v>
      </c>
      <c r="Z448" s="55">
        <v>0</v>
      </c>
      <c r="AA448" s="55">
        <v>0</v>
      </c>
      <c r="AB448" s="55">
        <v>0</v>
      </c>
      <c r="AC448" s="55">
        <v>0</v>
      </c>
      <c r="AD448" s="55">
        <v>0</v>
      </c>
      <c r="AE448" s="55">
        <v>200230</v>
      </c>
      <c r="AF448" s="55">
        <v>200334</v>
      </c>
      <c r="AG448" s="55">
        <v>200300</v>
      </c>
      <c r="AH448" s="55">
        <v>200301</v>
      </c>
      <c r="AI448" s="55">
        <v>200302</v>
      </c>
      <c r="AJ448" s="55">
        <v>200303</v>
      </c>
      <c r="AK448" s="55">
        <v>200304</v>
      </c>
      <c r="AL448" s="55">
        <v>200305</v>
      </c>
      <c r="AM448" s="55">
        <v>200660</v>
      </c>
      <c r="AN448" s="55">
        <v>200674</v>
      </c>
      <c r="AO448" s="55">
        <v>200677</v>
      </c>
      <c r="AP448" s="55">
        <v>200679</v>
      </c>
      <c r="AQ448" s="55">
        <v>200680</v>
      </c>
      <c r="AR448" s="55">
        <v>200683</v>
      </c>
      <c r="AS448" s="55">
        <v>200672</v>
      </c>
      <c r="AT448" s="55">
        <v>200673</v>
      </c>
      <c r="AU448" s="55">
        <v>1</v>
      </c>
      <c r="AV448" s="55">
        <v>1</v>
      </c>
      <c r="AW448" s="55">
        <v>1</v>
      </c>
      <c r="AX448" s="55">
        <v>1</v>
      </c>
      <c r="AY448" s="55">
        <v>1</v>
      </c>
      <c r="AZ448" s="55">
        <v>1</v>
      </c>
      <c r="BA448" s="55">
        <v>1</v>
      </c>
      <c r="BB448" s="55">
        <v>1</v>
      </c>
      <c r="BC448" s="55">
        <v>1</v>
      </c>
      <c r="BD448" s="55">
        <v>5</v>
      </c>
      <c r="BE448" s="55">
        <v>5</v>
      </c>
      <c r="BF448" s="55">
        <v>5</v>
      </c>
      <c r="BG448" s="55">
        <v>5</v>
      </c>
      <c r="BH448" s="55">
        <v>5</v>
      </c>
      <c r="BI448" s="55">
        <v>5</v>
      </c>
      <c r="BJ448" s="55">
        <v>5</v>
      </c>
      <c r="BK448" s="55">
        <v>100</v>
      </c>
      <c r="BL448" s="55">
        <v>100</v>
      </c>
      <c r="BM448" s="55">
        <v>100</v>
      </c>
      <c r="BN448" s="55">
        <v>100</v>
      </c>
      <c r="BO448" s="55">
        <v>100</v>
      </c>
      <c r="BP448" s="55">
        <v>100</v>
      </c>
      <c r="BQ448" s="55">
        <v>100</v>
      </c>
      <c r="BR448" s="55">
        <v>100</v>
      </c>
      <c r="BS448" s="55">
        <v>100</v>
      </c>
      <c r="BT448" s="55">
        <v>100</v>
      </c>
      <c r="BU448" s="55">
        <v>100</v>
      </c>
      <c r="BV448" s="55">
        <v>100</v>
      </c>
      <c r="BW448" s="55">
        <v>100</v>
      </c>
      <c r="BX448" s="55">
        <v>100</v>
      </c>
      <c r="BY448" s="55">
        <v>100</v>
      </c>
      <c r="BZ448" s="55">
        <v>100</v>
      </c>
      <c r="CA448" s="55">
        <v>1600</v>
      </c>
      <c r="CB448" s="55">
        <v>1600</v>
      </c>
      <c r="CC448" s="55">
        <v>0</v>
      </c>
      <c r="CD448" s="55">
        <v>0</v>
      </c>
      <c r="CE448" s="55">
        <v>0</v>
      </c>
      <c r="CF448" s="55">
        <v>192264</v>
      </c>
      <c r="CG448" s="55">
        <v>1</v>
      </c>
      <c r="CH448" s="55">
        <v>1</v>
      </c>
      <c r="CI448" s="55">
        <v>1</v>
      </c>
      <c r="CJ448" s="55">
        <v>0</v>
      </c>
      <c r="CK448" s="55">
        <v>0</v>
      </c>
      <c r="CL448" s="55">
        <v>0</v>
      </c>
      <c r="CM448" s="55">
        <v>0</v>
      </c>
      <c r="CN448" s="55">
        <v>0</v>
      </c>
      <c r="CO448" s="55">
        <v>0</v>
      </c>
      <c r="CP448" s="55">
        <v>0</v>
      </c>
      <c r="CQ448" s="55">
        <v>0</v>
      </c>
      <c r="CR448" s="55">
        <v>0</v>
      </c>
    </row>
    <row r="449" s="55" customFormat="1" customHeight="1" spans="1:96">
      <c r="A449" s="55">
        <v>7005</v>
      </c>
      <c r="B449" s="130" t="s">
        <v>682</v>
      </c>
      <c r="H449" s="55" t="s">
        <v>326</v>
      </c>
      <c r="I449" s="55">
        <v>1000</v>
      </c>
      <c r="K449" s="55">
        <v>1000</v>
      </c>
      <c r="O449" s="55">
        <v>0</v>
      </c>
      <c r="P449" s="55">
        <v>0</v>
      </c>
      <c r="Q449" s="55">
        <v>0</v>
      </c>
      <c r="R449" s="55">
        <v>0</v>
      </c>
      <c r="S449" s="55">
        <v>0</v>
      </c>
      <c r="T449" s="55">
        <v>0</v>
      </c>
      <c r="U449" s="55">
        <v>0</v>
      </c>
      <c r="V449" s="55">
        <v>0</v>
      </c>
      <c r="W449" s="55">
        <v>0</v>
      </c>
      <c r="X449" s="55">
        <v>0</v>
      </c>
      <c r="Y449" s="55">
        <v>0</v>
      </c>
      <c r="Z449" s="55">
        <v>0</v>
      </c>
      <c r="AA449" s="55">
        <v>0</v>
      </c>
      <c r="AB449" s="55">
        <v>0</v>
      </c>
      <c r="AC449" s="55">
        <v>0</v>
      </c>
      <c r="AD449" s="55">
        <v>0</v>
      </c>
      <c r="AE449" s="55">
        <v>200231</v>
      </c>
      <c r="AF449" s="55">
        <v>200335</v>
      </c>
      <c r="AG449" s="55">
        <v>200306</v>
      </c>
      <c r="AH449" s="55">
        <v>200307</v>
      </c>
      <c r="AI449" s="55">
        <v>200308</v>
      </c>
      <c r="AJ449" s="55">
        <v>200309</v>
      </c>
      <c r="AK449" s="55">
        <v>200310</v>
      </c>
      <c r="AL449" s="55">
        <v>200311</v>
      </c>
      <c r="AM449" s="55">
        <v>200660</v>
      </c>
      <c r="AN449" s="55">
        <v>200661</v>
      </c>
      <c r="AO449" s="55">
        <v>200675</v>
      </c>
      <c r="AP449" s="55">
        <v>200761</v>
      </c>
      <c r="AQ449" s="55">
        <v>200680</v>
      </c>
      <c r="AR449" s="55">
        <v>200683</v>
      </c>
      <c r="AS449" s="55">
        <v>200672</v>
      </c>
      <c r="AT449" s="55">
        <v>200673</v>
      </c>
      <c r="AU449" s="55">
        <v>1</v>
      </c>
      <c r="AV449" s="55">
        <v>1</v>
      </c>
      <c r="AW449" s="55">
        <v>1</v>
      </c>
      <c r="AX449" s="55">
        <v>1</v>
      </c>
      <c r="AY449" s="55">
        <v>1</v>
      </c>
      <c r="AZ449" s="55">
        <v>1</v>
      </c>
      <c r="BA449" s="55">
        <v>1</v>
      </c>
      <c r="BB449" s="55">
        <v>1</v>
      </c>
      <c r="BC449" s="55">
        <v>1</v>
      </c>
      <c r="BD449" s="55">
        <v>1</v>
      </c>
      <c r="BE449" s="55">
        <v>1</v>
      </c>
      <c r="BF449" s="55">
        <v>1</v>
      </c>
      <c r="BG449" s="55">
        <v>6</v>
      </c>
      <c r="BH449" s="55">
        <v>6</v>
      </c>
      <c r="BI449" s="55">
        <v>6</v>
      </c>
      <c r="BJ449" s="55">
        <v>6</v>
      </c>
      <c r="BK449" s="55">
        <v>100</v>
      </c>
      <c r="BL449" s="55">
        <v>100</v>
      </c>
      <c r="BM449" s="55">
        <v>100</v>
      </c>
      <c r="BN449" s="55">
        <v>100</v>
      </c>
      <c r="BO449" s="55">
        <v>100</v>
      </c>
      <c r="BP449" s="55">
        <v>100</v>
      </c>
      <c r="BQ449" s="55">
        <v>100</v>
      </c>
      <c r="BR449" s="55">
        <v>100</v>
      </c>
      <c r="BS449" s="55">
        <v>100</v>
      </c>
      <c r="BT449" s="55">
        <v>100</v>
      </c>
      <c r="BU449" s="55">
        <v>100</v>
      </c>
      <c r="BV449" s="55">
        <v>100</v>
      </c>
      <c r="BW449" s="55">
        <v>100</v>
      </c>
      <c r="BX449" s="55">
        <v>100</v>
      </c>
      <c r="BY449" s="55">
        <v>100</v>
      </c>
      <c r="BZ449" s="55">
        <v>100</v>
      </c>
      <c r="CA449" s="55">
        <v>1600</v>
      </c>
      <c r="CB449" s="55">
        <v>1600</v>
      </c>
      <c r="CC449" s="55">
        <v>0</v>
      </c>
      <c r="CD449" s="55">
        <v>0</v>
      </c>
      <c r="CE449" s="55">
        <v>0</v>
      </c>
      <c r="CF449" s="55">
        <v>192265</v>
      </c>
      <c r="CG449" s="55">
        <v>1</v>
      </c>
      <c r="CH449" s="55">
        <v>1</v>
      </c>
      <c r="CI449" s="55">
        <v>1</v>
      </c>
      <c r="CJ449" s="55">
        <v>0</v>
      </c>
      <c r="CK449" s="55">
        <v>0</v>
      </c>
      <c r="CL449" s="55">
        <v>0</v>
      </c>
      <c r="CM449" s="55">
        <v>0</v>
      </c>
      <c r="CN449" s="55">
        <v>0</v>
      </c>
      <c r="CO449" s="55">
        <v>0</v>
      </c>
      <c r="CP449" s="55">
        <v>0</v>
      </c>
      <c r="CQ449" s="55">
        <v>0</v>
      </c>
      <c r="CR449" s="55">
        <v>0</v>
      </c>
    </row>
    <row r="450" s="55" customFormat="1" customHeight="1" spans="1:96">
      <c r="A450" s="55">
        <v>7006</v>
      </c>
      <c r="B450" s="130" t="s">
        <v>683</v>
      </c>
      <c r="H450" s="55" t="s">
        <v>326</v>
      </c>
      <c r="I450" s="55">
        <v>1000</v>
      </c>
      <c r="K450" s="55">
        <v>1000</v>
      </c>
      <c r="O450" s="55">
        <v>0</v>
      </c>
      <c r="P450" s="55">
        <v>0</v>
      </c>
      <c r="Q450" s="55">
        <v>0</v>
      </c>
      <c r="R450" s="55">
        <v>0</v>
      </c>
      <c r="S450" s="55">
        <v>0</v>
      </c>
      <c r="T450" s="55">
        <v>0</v>
      </c>
      <c r="U450" s="55">
        <v>0</v>
      </c>
      <c r="V450" s="55">
        <v>0</v>
      </c>
      <c r="W450" s="55">
        <v>0</v>
      </c>
      <c r="X450" s="55">
        <v>0</v>
      </c>
      <c r="Y450" s="55">
        <v>0</v>
      </c>
      <c r="Z450" s="55">
        <v>0</v>
      </c>
      <c r="AA450" s="55">
        <v>0</v>
      </c>
      <c r="AB450" s="55">
        <v>0</v>
      </c>
      <c r="AC450" s="55">
        <v>0</v>
      </c>
      <c r="AD450" s="55">
        <v>0</v>
      </c>
      <c r="AE450" s="55">
        <v>200231</v>
      </c>
      <c r="AF450" s="55">
        <v>200335</v>
      </c>
      <c r="AG450" s="55">
        <v>200306</v>
      </c>
      <c r="AH450" s="55">
        <v>200307</v>
      </c>
      <c r="AI450" s="55">
        <v>200308</v>
      </c>
      <c r="AJ450" s="55">
        <v>200309</v>
      </c>
      <c r="AK450" s="55">
        <v>200310</v>
      </c>
      <c r="AL450" s="55">
        <v>200311</v>
      </c>
      <c r="AM450" s="55">
        <v>200660</v>
      </c>
      <c r="AN450" s="55">
        <v>200661</v>
      </c>
      <c r="AO450" s="55">
        <v>200675</v>
      </c>
      <c r="AP450" s="55">
        <v>200761</v>
      </c>
      <c r="AQ450" s="55">
        <v>200680</v>
      </c>
      <c r="AR450" s="55">
        <v>200683</v>
      </c>
      <c r="AS450" s="55">
        <v>200672</v>
      </c>
      <c r="AT450" s="55">
        <v>200673</v>
      </c>
      <c r="AU450" s="55">
        <v>1</v>
      </c>
      <c r="AV450" s="55">
        <v>1</v>
      </c>
      <c r="AW450" s="55">
        <v>1</v>
      </c>
      <c r="AX450" s="55">
        <v>1</v>
      </c>
      <c r="AY450" s="55">
        <v>1</v>
      </c>
      <c r="AZ450" s="55">
        <v>1</v>
      </c>
      <c r="BA450" s="55">
        <v>1</v>
      </c>
      <c r="BB450" s="55">
        <v>1</v>
      </c>
      <c r="BC450" s="55">
        <v>1</v>
      </c>
      <c r="BD450" s="55">
        <v>1</v>
      </c>
      <c r="BE450" s="55">
        <v>1</v>
      </c>
      <c r="BF450" s="55">
        <v>1</v>
      </c>
      <c r="BG450" s="55">
        <v>6</v>
      </c>
      <c r="BH450" s="55">
        <v>6</v>
      </c>
      <c r="BI450" s="55">
        <v>6</v>
      </c>
      <c r="BJ450" s="55">
        <v>6</v>
      </c>
      <c r="BK450" s="55">
        <v>100</v>
      </c>
      <c r="BL450" s="55">
        <v>100</v>
      </c>
      <c r="BM450" s="55">
        <v>100</v>
      </c>
      <c r="BN450" s="55">
        <v>100</v>
      </c>
      <c r="BO450" s="55">
        <v>100</v>
      </c>
      <c r="BP450" s="55">
        <v>100</v>
      </c>
      <c r="BQ450" s="55">
        <v>100</v>
      </c>
      <c r="BR450" s="55">
        <v>100</v>
      </c>
      <c r="BS450" s="55">
        <v>100</v>
      </c>
      <c r="BT450" s="55">
        <v>100</v>
      </c>
      <c r="BU450" s="55">
        <v>100</v>
      </c>
      <c r="BV450" s="55">
        <v>100</v>
      </c>
      <c r="BW450" s="55">
        <v>100</v>
      </c>
      <c r="BX450" s="55">
        <v>100</v>
      </c>
      <c r="BY450" s="55">
        <v>100</v>
      </c>
      <c r="BZ450" s="55">
        <v>100</v>
      </c>
      <c r="CA450" s="55">
        <v>1600</v>
      </c>
      <c r="CB450" s="55">
        <v>1600</v>
      </c>
      <c r="CC450" s="55">
        <v>0</v>
      </c>
      <c r="CD450" s="55">
        <v>0</v>
      </c>
      <c r="CE450" s="55">
        <v>0</v>
      </c>
      <c r="CF450" s="55">
        <v>192266</v>
      </c>
      <c r="CG450" s="55">
        <v>1</v>
      </c>
      <c r="CH450" s="55">
        <v>1</v>
      </c>
      <c r="CI450" s="55">
        <v>1</v>
      </c>
      <c r="CJ450" s="55">
        <v>0</v>
      </c>
      <c r="CK450" s="55">
        <v>0</v>
      </c>
      <c r="CL450" s="55">
        <v>0</v>
      </c>
      <c r="CM450" s="55">
        <v>0</v>
      </c>
      <c r="CN450" s="55">
        <v>0</v>
      </c>
      <c r="CO450" s="55">
        <v>0</v>
      </c>
      <c r="CP450" s="55">
        <v>0</v>
      </c>
      <c r="CQ450" s="55">
        <v>0</v>
      </c>
      <c r="CR450" s="55">
        <v>0</v>
      </c>
    </row>
    <row r="451" s="55" customFormat="1" customHeight="1" spans="1:96">
      <c r="A451" s="55">
        <v>7007</v>
      </c>
      <c r="B451" s="130" t="s">
        <v>684</v>
      </c>
      <c r="H451" s="55" t="s">
        <v>326</v>
      </c>
      <c r="I451" s="55">
        <v>1000</v>
      </c>
      <c r="K451" s="55">
        <v>1000</v>
      </c>
      <c r="O451" s="55">
        <v>0</v>
      </c>
      <c r="P451" s="55">
        <v>0</v>
      </c>
      <c r="Q451" s="55">
        <v>0</v>
      </c>
      <c r="R451" s="55">
        <v>0</v>
      </c>
      <c r="S451" s="55">
        <v>0</v>
      </c>
      <c r="T451" s="55">
        <v>0</v>
      </c>
      <c r="U451" s="55">
        <v>0</v>
      </c>
      <c r="V451" s="55">
        <v>0</v>
      </c>
      <c r="W451" s="55">
        <v>0</v>
      </c>
      <c r="X451" s="55">
        <v>0</v>
      </c>
      <c r="Y451" s="55">
        <v>0</v>
      </c>
      <c r="Z451" s="55">
        <v>0</v>
      </c>
      <c r="AA451" s="55">
        <v>0</v>
      </c>
      <c r="AB451" s="55">
        <v>0</v>
      </c>
      <c r="AC451" s="55">
        <v>0</v>
      </c>
      <c r="AD451" s="55">
        <v>0</v>
      </c>
      <c r="AE451" s="55">
        <v>200232</v>
      </c>
      <c r="AF451" s="55">
        <v>200336</v>
      </c>
      <c r="AG451" s="55">
        <v>200306</v>
      </c>
      <c r="AH451" s="55">
        <v>200307</v>
      </c>
      <c r="AI451" s="55">
        <v>200308</v>
      </c>
      <c r="AJ451" s="55">
        <v>200309</v>
      </c>
      <c r="AK451" s="55">
        <v>200310</v>
      </c>
      <c r="AL451" s="55">
        <v>200311</v>
      </c>
      <c r="AM451" s="55">
        <v>200660</v>
      </c>
      <c r="AN451" s="55">
        <v>200661</v>
      </c>
      <c r="AO451" s="55">
        <v>200675</v>
      </c>
      <c r="AP451" s="55">
        <v>200761</v>
      </c>
      <c r="AQ451" s="55">
        <v>200680</v>
      </c>
      <c r="AR451" s="55">
        <v>200683</v>
      </c>
      <c r="AS451" s="55">
        <v>200672</v>
      </c>
      <c r="AT451" s="55">
        <v>200673</v>
      </c>
      <c r="AU451" s="55">
        <v>1</v>
      </c>
      <c r="AV451" s="55">
        <v>1</v>
      </c>
      <c r="AW451" s="55">
        <v>1</v>
      </c>
      <c r="AX451" s="55">
        <v>1</v>
      </c>
      <c r="AY451" s="55">
        <v>1</v>
      </c>
      <c r="AZ451" s="55">
        <v>1</v>
      </c>
      <c r="BA451" s="55">
        <v>1</v>
      </c>
      <c r="BB451" s="55">
        <v>1</v>
      </c>
      <c r="BC451" s="55">
        <v>1</v>
      </c>
      <c r="BD451" s="55">
        <v>1</v>
      </c>
      <c r="BE451" s="55">
        <v>1</v>
      </c>
      <c r="BF451" s="55">
        <v>1</v>
      </c>
      <c r="BG451" s="55">
        <v>7</v>
      </c>
      <c r="BH451" s="55">
        <v>7</v>
      </c>
      <c r="BI451" s="55">
        <v>7</v>
      </c>
      <c r="BJ451" s="55">
        <v>7</v>
      </c>
      <c r="BK451" s="55">
        <v>100</v>
      </c>
      <c r="BL451" s="55">
        <v>100</v>
      </c>
      <c r="BM451" s="55">
        <v>100</v>
      </c>
      <c r="BN451" s="55">
        <v>100</v>
      </c>
      <c r="BO451" s="55">
        <v>100</v>
      </c>
      <c r="BP451" s="55">
        <v>100</v>
      </c>
      <c r="BQ451" s="55">
        <v>100</v>
      </c>
      <c r="BR451" s="55">
        <v>100</v>
      </c>
      <c r="BS451" s="55">
        <v>100</v>
      </c>
      <c r="BT451" s="55">
        <v>100</v>
      </c>
      <c r="BU451" s="55">
        <v>100</v>
      </c>
      <c r="BV451" s="55">
        <v>100</v>
      </c>
      <c r="BW451" s="55">
        <v>100</v>
      </c>
      <c r="BX451" s="55">
        <v>100</v>
      </c>
      <c r="BY451" s="55">
        <v>100</v>
      </c>
      <c r="BZ451" s="55">
        <v>100</v>
      </c>
      <c r="CA451" s="55">
        <v>1600</v>
      </c>
      <c r="CB451" s="55">
        <v>1600</v>
      </c>
      <c r="CC451" s="55">
        <v>0</v>
      </c>
      <c r="CD451" s="55">
        <v>0</v>
      </c>
      <c r="CE451" s="55">
        <v>0</v>
      </c>
      <c r="CF451" s="55">
        <v>192267</v>
      </c>
      <c r="CG451" s="55">
        <v>1</v>
      </c>
      <c r="CH451" s="55">
        <v>1</v>
      </c>
      <c r="CI451" s="55">
        <v>1</v>
      </c>
      <c r="CJ451" s="55">
        <v>0</v>
      </c>
      <c r="CK451" s="55">
        <v>0</v>
      </c>
      <c r="CL451" s="55">
        <v>0</v>
      </c>
      <c r="CM451" s="55">
        <v>0</v>
      </c>
      <c r="CN451" s="55">
        <v>0</v>
      </c>
      <c r="CO451" s="55">
        <v>0</v>
      </c>
      <c r="CP451" s="55">
        <v>0</v>
      </c>
      <c r="CQ451" s="55">
        <v>0</v>
      </c>
      <c r="CR451" s="55">
        <v>0</v>
      </c>
    </row>
    <row r="452" s="55" customFormat="1" customHeight="1" spans="1:96">
      <c r="A452" s="55">
        <v>7008</v>
      </c>
      <c r="B452" s="130" t="s">
        <v>685</v>
      </c>
      <c r="H452" s="55" t="s">
        <v>326</v>
      </c>
      <c r="I452" s="55">
        <v>1000</v>
      </c>
      <c r="K452" s="55">
        <v>1000</v>
      </c>
      <c r="O452" s="55">
        <v>0</v>
      </c>
      <c r="P452" s="55">
        <v>0</v>
      </c>
      <c r="Q452" s="55">
        <v>0</v>
      </c>
      <c r="R452" s="55">
        <v>0</v>
      </c>
      <c r="S452" s="55">
        <v>0</v>
      </c>
      <c r="T452" s="55">
        <v>0</v>
      </c>
      <c r="U452" s="55">
        <v>0</v>
      </c>
      <c r="V452" s="55">
        <v>0</v>
      </c>
      <c r="W452" s="55">
        <v>0</v>
      </c>
      <c r="X452" s="55">
        <v>0</v>
      </c>
      <c r="Y452" s="55">
        <v>0</v>
      </c>
      <c r="Z452" s="55">
        <v>0</v>
      </c>
      <c r="AA452" s="55">
        <v>0</v>
      </c>
      <c r="AB452" s="55">
        <v>0</v>
      </c>
      <c r="AC452" s="55">
        <v>0</v>
      </c>
      <c r="AD452" s="55">
        <v>0</v>
      </c>
      <c r="AE452" s="55">
        <v>200232</v>
      </c>
      <c r="AF452" s="55">
        <v>200336</v>
      </c>
      <c r="AG452" s="55">
        <v>200306</v>
      </c>
      <c r="AH452" s="55">
        <v>200307</v>
      </c>
      <c r="AI452" s="55">
        <v>200308</v>
      </c>
      <c r="AJ452" s="55">
        <v>200309</v>
      </c>
      <c r="AK452" s="55">
        <v>200310</v>
      </c>
      <c r="AL452" s="55">
        <v>200311</v>
      </c>
      <c r="AM452" s="55">
        <v>200660</v>
      </c>
      <c r="AN452" s="55">
        <v>200661</v>
      </c>
      <c r="AO452" s="55">
        <v>200675</v>
      </c>
      <c r="AP452" s="55">
        <v>200761</v>
      </c>
      <c r="AQ452" s="55">
        <v>200680</v>
      </c>
      <c r="AR452" s="55">
        <v>200683</v>
      </c>
      <c r="AS452" s="55">
        <v>200672</v>
      </c>
      <c r="AT452" s="55">
        <v>200673</v>
      </c>
      <c r="AU452" s="55">
        <v>1</v>
      </c>
      <c r="AV452" s="55">
        <v>1</v>
      </c>
      <c r="AW452" s="55">
        <v>1</v>
      </c>
      <c r="AX452" s="55">
        <v>1</v>
      </c>
      <c r="AY452" s="55">
        <v>1</v>
      </c>
      <c r="AZ452" s="55">
        <v>1</v>
      </c>
      <c r="BA452" s="55">
        <v>1</v>
      </c>
      <c r="BB452" s="55">
        <v>1</v>
      </c>
      <c r="BC452" s="55">
        <v>1</v>
      </c>
      <c r="BD452" s="55">
        <v>1</v>
      </c>
      <c r="BE452" s="55">
        <v>1</v>
      </c>
      <c r="BF452" s="55">
        <v>1</v>
      </c>
      <c r="BG452" s="55">
        <v>7</v>
      </c>
      <c r="BH452" s="55">
        <v>7</v>
      </c>
      <c r="BI452" s="55">
        <v>7</v>
      </c>
      <c r="BJ452" s="55">
        <v>7</v>
      </c>
      <c r="BK452" s="55">
        <v>100</v>
      </c>
      <c r="BL452" s="55">
        <v>100</v>
      </c>
      <c r="BM452" s="55">
        <v>100</v>
      </c>
      <c r="BN452" s="55">
        <v>100</v>
      </c>
      <c r="BO452" s="55">
        <v>100</v>
      </c>
      <c r="BP452" s="55">
        <v>100</v>
      </c>
      <c r="BQ452" s="55">
        <v>100</v>
      </c>
      <c r="BR452" s="55">
        <v>100</v>
      </c>
      <c r="BS452" s="55">
        <v>100</v>
      </c>
      <c r="BT452" s="55">
        <v>100</v>
      </c>
      <c r="BU452" s="55">
        <v>100</v>
      </c>
      <c r="BV452" s="55">
        <v>100</v>
      </c>
      <c r="BW452" s="55">
        <v>100</v>
      </c>
      <c r="BX452" s="55">
        <v>100</v>
      </c>
      <c r="BY452" s="55">
        <v>100</v>
      </c>
      <c r="BZ452" s="55">
        <v>100</v>
      </c>
      <c r="CA452" s="55">
        <v>1600</v>
      </c>
      <c r="CB452" s="55">
        <v>1600</v>
      </c>
      <c r="CC452" s="55">
        <v>0</v>
      </c>
      <c r="CD452" s="55">
        <v>0</v>
      </c>
      <c r="CE452" s="55">
        <v>0</v>
      </c>
      <c r="CF452" s="55">
        <v>192268</v>
      </c>
      <c r="CG452" s="55">
        <v>1</v>
      </c>
      <c r="CH452" s="55">
        <v>1</v>
      </c>
      <c r="CI452" s="55">
        <v>1</v>
      </c>
      <c r="CJ452" s="55">
        <v>0</v>
      </c>
      <c r="CK452" s="55">
        <v>0</v>
      </c>
      <c r="CL452" s="55">
        <v>0</v>
      </c>
      <c r="CM452" s="55">
        <v>0</v>
      </c>
      <c r="CN452" s="55">
        <v>0</v>
      </c>
      <c r="CO452" s="55">
        <v>0</v>
      </c>
      <c r="CP452" s="55">
        <v>0</v>
      </c>
      <c r="CQ452" s="55">
        <v>0</v>
      </c>
      <c r="CR452" s="55">
        <v>0</v>
      </c>
    </row>
    <row r="453" s="55" customFormat="1" customHeight="1" spans="1:96">
      <c r="A453" s="55">
        <v>7009</v>
      </c>
      <c r="B453" s="130" t="s">
        <v>686</v>
      </c>
      <c r="H453" s="55" t="s">
        <v>326</v>
      </c>
      <c r="I453" s="55">
        <v>1000</v>
      </c>
      <c r="K453" s="55">
        <v>1000</v>
      </c>
      <c r="O453" s="55">
        <v>0</v>
      </c>
      <c r="P453" s="55">
        <v>0</v>
      </c>
      <c r="Q453" s="55">
        <v>0</v>
      </c>
      <c r="R453" s="55">
        <v>0</v>
      </c>
      <c r="S453" s="55">
        <v>0</v>
      </c>
      <c r="T453" s="55">
        <v>0</v>
      </c>
      <c r="U453" s="55">
        <v>0</v>
      </c>
      <c r="V453" s="55">
        <v>0</v>
      </c>
      <c r="W453" s="55">
        <v>0</v>
      </c>
      <c r="X453" s="55">
        <v>0</v>
      </c>
      <c r="Y453" s="55">
        <v>0</v>
      </c>
      <c r="Z453" s="55">
        <v>0</v>
      </c>
      <c r="AA453" s="55">
        <v>0</v>
      </c>
      <c r="AB453" s="55">
        <v>0</v>
      </c>
      <c r="AC453" s="55">
        <v>0</v>
      </c>
      <c r="AD453" s="55">
        <v>0</v>
      </c>
      <c r="AE453" s="55">
        <v>200233</v>
      </c>
      <c r="AF453" s="55">
        <v>200337</v>
      </c>
      <c r="AG453" s="55">
        <v>200306</v>
      </c>
      <c r="AH453" s="55">
        <v>200307</v>
      </c>
      <c r="AI453" s="55">
        <v>200308</v>
      </c>
      <c r="AJ453" s="55">
        <v>200309</v>
      </c>
      <c r="AK453" s="55">
        <v>200310</v>
      </c>
      <c r="AL453" s="55">
        <v>200311</v>
      </c>
      <c r="AM453" s="55">
        <v>200660</v>
      </c>
      <c r="AN453" s="55">
        <v>200661</v>
      </c>
      <c r="AO453" s="55">
        <v>200675</v>
      </c>
      <c r="AP453" s="55">
        <v>200761</v>
      </c>
      <c r="AQ453" s="55">
        <v>200680</v>
      </c>
      <c r="AR453" s="55">
        <v>200683</v>
      </c>
      <c r="AS453" s="55">
        <v>200672</v>
      </c>
      <c r="AT453" s="55">
        <v>200673</v>
      </c>
      <c r="AU453" s="55">
        <v>1</v>
      </c>
      <c r="AV453" s="55">
        <v>1</v>
      </c>
      <c r="AW453" s="55">
        <v>1</v>
      </c>
      <c r="AX453" s="55">
        <v>1</v>
      </c>
      <c r="AY453" s="55">
        <v>1</v>
      </c>
      <c r="AZ453" s="55">
        <v>1</v>
      </c>
      <c r="BA453" s="55">
        <v>1</v>
      </c>
      <c r="BB453" s="55">
        <v>1</v>
      </c>
      <c r="BC453" s="55">
        <v>1</v>
      </c>
      <c r="BD453" s="55">
        <v>1</v>
      </c>
      <c r="BE453" s="55">
        <v>1</v>
      </c>
      <c r="BF453" s="55">
        <v>1</v>
      </c>
      <c r="BG453" s="55">
        <v>8</v>
      </c>
      <c r="BH453" s="55">
        <v>8</v>
      </c>
      <c r="BI453" s="55">
        <v>8</v>
      </c>
      <c r="BJ453" s="55">
        <v>8</v>
      </c>
      <c r="BK453" s="55">
        <v>100</v>
      </c>
      <c r="BL453" s="55">
        <v>100</v>
      </c>
      <c r="BM453" s="55">
        <v>100</v>
      </c>
      <c r="BN453" s="55">
        <v>100</v>
      </c>
      <c r="BO453" s="55">
        <v>100</v>
      </c>
      <c r="BP453" s="55">
        <v>100</v>
      </c>
      <c r="BQ453" s="55">
        <v>100</v>
      </c>
      <c r="BR453" s="55">
        <v>100</v>
      </c>
      <c r="BS453" s="55">
        <v>100</v>
      </c>
      <c r="BT453" s="55">
        <v>100</v>
      </c>
      <c r="BU453" s="55">
        <v>100</v>
      </c>
      <c r="BV453" s="55">
        <v>100</v>
      </c>
      <c r="BW453" s="55">
        <v>100</v>
      </c>
      <c r="BX453" s="55">
        <v>100</v>
      </c>
      <c r="BY453" s="55">
        <v>100</v>
      </c>
      <c r="BZ453" s="55">
        <v>100</v>
      </c>
      <c r="CA453" s="55">
        <v>1600</v>
      </c>
      <c r="CB453" s="55">
        <v>1600</v>
      </c>
      <c r="CC453" s="55">
        <v>0</v>
      </c>
      <c r="CD453" s="55">
        <v>0</v>
      </c>
      <c r="CE453" s="55">
        <v>0</v>
      </c>
      <c r="CF453" s="55">
        <v>192269</v>
      </c>
      <c r="CG453" s="55">
        <v>1</v>
      </c>
      <c r="CH453" s="55">
        <v>1</v>
      </c>
      <c r="CI453" s="55">
        <v>1</v>
      </c>
      <c r="CJ453" s="55">
        <v>0</v>
      </c>
      <c r="CK453" s="55">
        <v>0</v>
      </c>
      <c r="CL453" s="55">
        <v>0</v>
      </c>
      <c r="CM453" s="55">
        <v>0</v>
      </c>
      <c r="CN453" s="55">
        <v>0</v>
      </c>
      <c r="CO453" s="55">
        <v>0</v>
      </c>
      <c r="CP453" s="55">
        <v>0</v>
      </c>
      <c r="CQ453" s="55">
        <v>0</v>
      </c>
      <c r="CR453" s="55">
        <v>0</v>
      </c>
    </row>
    <row r="454" s="55" customFormat="1" customHeight="1" spans="1:96">
      <c r="A454" s="55">
        <v>7010</v>
      </c>
      <c r="B454" s="130" t="s">
        <v>687</v>
      </c>
      <c r="H454" s="55" t="s">
        <v>326</v>
      </c>
      <c r="I454" s="55">
        <v>1000</v>
      </c>
      <c r="K454" s="55">
        <v>1000</v>
      </c>
      <c r="O454" s="55">
        <v>0</v>
      </c>
      <c r="P454" s="55">
        <v>0</v>
      </c>
      <c r="Q454" s="55">
        <v>0</v>
      </c>
      <c r="R454" s="55">
        <v>0</v>
      </c>
      <c r="S454" s="55">
        <v>0</v>
      </c>
      <c r="T454" s="55">
        <v>0</v>
      </c>
      <c r="U454" s="55">
        <v>0</v>
      </c>
      <c r="V454" s="55">
        <v>0</v>
      </c>
      <c r="W454" s="55">
        <v>0</v>
      </c>
      <c r="X454" s="55">
        <v>0</v>
      </c>
      <c r="Y454" s="55">
        <v>0</v>
      </c>
      <c r="Z454" s="55">
        <v>0</v>
      </c>
      <c r="AA454" s="55">
        <v>0</v>
      </c>
      <c r="AB454" s="55">
        <v>0</v>
      </c>
      <c r="AC454" s="55">
        <v>0</v>
      </c>
      <c r="AD454" s="55">
        <v>0</v>
      </c>
      <c r="AE454" s="55">
        <v>200233</v>
      </c>
      <c r="AF454" s="55">
        <v>200337</v>
      </c>
      <c r="AG454" s="55">
        <v>200306</v>
      </c>
      <c r="AH454" s="55">
        <v>200307</v>
      </c>
      <c r="AI454" s="55">
        <v>200308</v>
      </c>
      <c r="AJ454" s="55">
        <v>200309</v>
      </c>
      <c r="AK454" s="55">
        <v>200310</v>
      </c>
      <c r="AL454" s="55">
        <v>200311</v>
      </c>
      <c r="AM454" s="55">
        <v>200660</v>
      </c>
      <c r="AN454" s="55">
        <v>200661</v>
      </c>
      <c r="AO454" s="55">
        <v>200675</v>
      </c>
      <c r="AP454" s="55">
        <v>200761</v>
      </c>
      <c r="AQ454" s="55">
        <v>200680</v>
      </c>
      <c r="AR454" s="55">
        <v>200683</v>
      </c>
      <c r="AS454" s="55">
        <v>200672</v>
      </c>
      <c r="AT454" s="55">
        <v>200673</v>
      </c>
      <c r="AU454" s="55">
        <v>1</v>
      </c>
      <c r="AV454" s="55">
        <v>1</v>
      </c>
      <c r="AW454" s="55">
        <v>1</v>
      </c>
      <c r="AX454" s="55">
        <v>1</v>
      </c>
      <c r="AY454" s="55">
        <v>1</v>
      </c>
      <c r="AZ454" s="55">
        <v>1</v>
      </c>
      <c r="BA454" s="55">
        <v>1</v>
      </c>
      <c r="BB454" s="55">
        <v>1</v>
      </c>
      <c r="BC454" s="55">
        <v>1</v>
      </c>
      <c r="BD454" s="55">
        <v>1</v>
      </c>
      <c r="BE454" s="55">
        <v>1</v>
      </c>
      <c r="BF454" s="55">
        <v>1</v>
      </c>
      <c r="BG454" s="55">
        <v>8</v>
      </c>
      <c r="BH454" s="55">
        <v>8</v>
      </c>
      <c r="BI454" s="55">
        <v>8</v>
      </c>
      <c r="BJ454" s="55">
        <v>8</v>
      </c>
      <c r="BK454" s="55">
        <v>100</v>
      </c>
      <c r="BL454" s="55">
        <v>100</v>
      </c>
      <c r="BM454" s="55">
        <v>100</v>
      </c>
      <c r="BN454" s="55">
        <v>100</v>
      </c>
      <c r="BO454" s="55">
        <v>100</v>
      </c>
      <c r="BP454" s="55">
        <v>100</v>
      </c>
      <c r="BQ454" s="55">
        <v>100</v>
      </c>
      <c r="BR454" s="55">
        <v>100</v>
      </c>
      <c r="BS454" s="55">
        <v>100</v>
      </c>
      <c r="BT454" s="55">
        <v>100</v>
      </c>
      <c r="BU454" s="55">
        <v>100</v>
      </c>
      <c r="BV454" s="55">
        <v>100</v>
      </c>
      <c r="BW454" s="55">
        <v>100</v>
      </c>
      <c r="BX454" s="55">
        <v>100</v>
      </c>
      <c r="BY454" s="55">
        <v>100</v>
      </c>
      <c r="BZ454" s="55">
        <v>100</v>
      </c>
      <c r="CA454" s="55">
        <v>1600</v>
      </c>
      <c r="CB454" s="55">
        <v>1600</v>
      </c>
      <c r="CC454" s="55">
        <v>0</v>
      </c>
      <c r="CD454" s="55">
        <v>0</v>
      </c>
      <c r="CE454" s="55">
        <v>0</v>
      </c>
      <c r="CF454" s="55">
        <v>192270</v>
      </c>
      <c r="CG454" s="55">
        <v>1</v>
      </c>
      <c r="CH454" s="55">
        <v>1</v>
      </c>
      <c r="CI454" s="55">
        <v>1</v>
      </c>
      <c r="CJ454" s="55">
        <v>0</v>
      </c>
      <c r="CK454" s="55">
        <v>0</v>
      </c>
      <c r="CL454" s="55">
        <v>0</v>
      </c>
      <c r="CM454" s="55">
        <v>0</v>
      </c>
      <c r="CN454" s="55">
        <v>0</v>
      </c>
      <c r="CO454" s="55">
        <v>0</v>
      </c>
      <c r="CP454" s="55">
        <v>0</v>
      </c>
      <c r="CQ454" s="55">
        <v>0</v>
      </c>
      <c r="CR454" s="55">
        <v>0</v>
      </c>
    </row>
    <row r="455" s="55" customFormat="1" customHeight="1" spans="1:96">
      <c r="A455" s="55">
        <v>7011</v>
      </c>
      <c r="B455" s="130" t="s">
        <v>688</v>
      </c>
      <c r="H455" s="55" t="s">
        <v>326</v>
      </c>
      <c r="I455" s="55">
        <v>1000</v>
      </c>
      <c r="K455" s="55">
        <v>1000</v>
      </c>
      <c r="O455" s="55">
        <v>0</v>
      </c>
      <c r="P455" s="55">
        <v>0</v>
      </c>
      <c r="Q455" s="55">
        <v>0</v>
      </c>
      <c r="R455" s="55">
        <v>0</v>
      </c>
      <c r="S455" s="55">
        <v>0</v>
      </c>
      <c r="T455" s="55">
        <v>0</v>
      </c>
      <c r="U455" s="55">
        <v>0</v>
      </c>
      <c r="V455" s="55">
        <v>0</v>
      </c>
      <c r="W455" s="55">
        <v>0</v>
      </c>
      <c r="X455" s="55">
        <v>0</v>
      </c>
      <c r="Y455" s="55">
        <v>0</v>
      </c>
      <c r="Z455" s="55">
        <v>0</v>
      </c>
      <c r="AA455" s="55">
        <v>0</v>
      </c>
      <c r="AB455" s="55">
        <v>0</v>
      </c>
      <c r="AC455" s="55">
        <v>0</v>
      </c>
      <c r="AD455" s="55">
        <v>0</v>
      </c>
      <c r="AE455" s="55">
        <v>200234</v>
      </c>
      <c r="AF455" s="55">
        <v>200338</v>
      </c>
      <c r="AG455" s="55">
        <v>200306</v>
      </c>
      <c r="AH455" s="55">
        <v>200307</v>
      </c>
      <c r="AI455" s="55">
        <v>200308</v>
      </c>
      <c r="AJ455" s="55">
        <v>200309</v>
      </c>
      <c r="AK455" s="55">
        <v>200310</v>
      </c>
      <c r="AL455" s="55">
        <v>200311</v>
      </c>
      <c r="AM455" s="55">
        <v>200660</v>
      </c>
      <c r="AN455" s="55">
        <v>200661</v>
      </c>
      <c r="AO455" s="55">
        <v>200675</v>
      </c>
      <c r="AP455" s="55">
        <v>200761</v>
      </c>
      <c r="AQ455" s="55">
        <v>200680</v>
      </c>
      <c r="AR455" s="55">
        <v>200683</v>
      </c>
      <c r="AS455" s="55">
        <v>200672</v>
      </c>
      <c r="AT455" s="55">
        <v>200673</v>
      </c>
      <c r="AU455" s="55">
        <v>1</v>
      </c>
      <c r="AV455" s="55">
        <v>1</v>
      </c>
      <c r="AW455" s="55">
        <v>1</v>
      </c>
      <c r="AX455" s="55">
        <v>1</v>
      </c>
      <c r="AY455" s="55">
        <v>1</v>
      </c>
      <c r="AZ455" s="55">
        <v>1</v>
      </c>
      <c r="BA455" s="55">
        <v>1</v>
      </c>
      <c r="BB455" s="55">
        <v>1</v>
      </c>
      <c r="BC455" s="55">
        <v>1</v>
      </c>
      <c r="BD455" s="55">
        <v>1</v>
      </c>
      <c r="BE455" s="55">
        <v>1</v>
      </c>
      <c r="BF455" s="55">
        <v>1</v>
      </c>
      <c r="BG455" s="55">
        <v>9</v>
      </c>
      <c r="BH455" s="55">
        <v>9</v>
      </c>
      <c r="BI455" s="55">
        <v>9</v>
      </c>
      <c r="BJ455" s="55">
        <v>9</v>
      </c>
      <c r="BK455" s="55">
        <v>100</v>
      </c>
      <c r="BL455" s="55">
        <v>100</v>
      </c>
      <c r="BM455" s="55">
        <v>100</v>
      </c>
      <c r="BN455" s="55">
        <v>100</v>
      </c>
      <c r="BO455" s="55">
        <v>100</v>
      </c>
      <c r="BP455" s="55">
        <v>100</v>
      </c>
      <c r="BQ455" s="55">
        <v>100</v>
      </c>
      <c r="BR455" s="55">
        <v>100</v>
      </c>
      <c r="BS455" s="55">
        <v>100</v>
      </c>
      <c r="BT455" s="55">
        <v>100</v>
      </c>
      <c r="BU455" s="55">
        <v>100</v>
      </c>
      <c r="BV455" s="55">
        <v>100</v>
      </c>
      <c r="BW455" s="55">
        <v>100</v>
      </c>
      <c r="BX455" s="55">
        <v>100</v>
      </c>
      <c r="BY455" s="55">
        <v>100</v>
      </c>
      <c r="BZ455" s="55">
        <v>100</v>
      </c>
      <c r="CA455" s="55">
        <v>1600</v>
      </c>
      <c r="CB455" s="55">
        <v>1600</v>
      </c>
      <c r="CC455" s="55">
        <v>0</v>
      </c>
      <c r="CD455" s="55">
        <v>0</v>
      </c>
      <c r="CE455" s="55">
        <v>0</v>
      </c>
      <c r="CF455" s="55">
        <v>192271</v>
      </c>
      <c r="CG455" s="55">
        <v>1</v>
      </c>
      <c r="CH455" s="55">
        <v>1</v>
      </c>
      <c r="CI455" s="55">
        <v>1</v>
      </c>
      <c r="CJ455" s="55">
        <v>0</v>
      </c>
      <c r="CK455" s="55">
        <v>0</v>
      </c>
      <c r="CL455" s="55">
        <v>0</v>
      </c>
      <c r="CM455" s="55">
        <v>0</v>
      </c>
      <c r="CN455" s="55">
        <v>0</v>
      </c>
      <c r="CO455" s="55">
        <v>0</v>
      </c>
      <c r="CP455" s="55">
        <v>0</v>
      </c>
      <c r="CQ455" s="55">
        <v>0</v>
      </c>
      <c r="CR455" s="55">
        <v>0</v>
      </c>
    </row>
    <row r="456" s="55" customFormat="1" customHeight="1" spans="1:96">
      <c r="A456" s="55">
        <v>7012</v>
      </c>
      <c r="B456" s="130" t="s">
        <v>689</v>
      </c>
      <c r="H456" s="55" t="s">
        <v>326</v>
      </c>
      <c r="I456" s="55">
        <v>1000</v>
      </c>
      <c r="K456" s="55">
        <v>1000</v>
      </c>
      <c r="O456" s="55">
        <v>0</v>
      </c>
      <c r="P456" s="55">
        <v>0</v>
      </c>
      <c r="Q456" s="55">
        <v>0</v>
      </c>
      <c r="R456" s="55">
        <v>0</v>
      </c>
      <c r="S456" s="55">
        <v>0</v>
      </c>
      <c r="T456" s="55">
        <v>0</v>
      </c>
      <c r="U456" s="55">
        <v>0</v>
      </c>
      <c r="V456" s="55">
        <v>0</v>
      </c>
      <c r="W456" s="55">
        <v>0</v>
      </c>
      <c r="X456" s="55">
        <v>0</v>
      </c>
      <c r="Y456" s="55">
        <v>0</v>
      </c>
      <c r="Z456" s="55">
        <v>0</v>
      </c>
      <c r="AA456" s="55">
        <v>0</v>
      </c>
      <c r="AB456" s="55">
        <v>0</v>
      </c>
      <c r="AC456" s="55">
        <v>0</v>
      </c>
      <c r="AD456" s="55">
        <v>0</v>
      </c>
      <c r="AE456" s="55">
        <v>200234</v>
      </c>
      <c r="AF456" s="55">
        <v>200338</v>
      </c>
      <c r="AG456" s="55">
        <v>200306</v>
      </c>
      <c r="AH456" s="55">
        <v>200307</v>
      </c>
      <c r="AI456" s="55">
        <v>200308</v>
      </c>
      <c r="AJ456" s="55">
        <v>200309</v>
      </c>
      <c r="AK456" s="55">
        <v>200310</v>
      </c>
      <c r="AL456" s="55">
        <v>200311</v>
      </c>
      <c r="AM456" s="55">
        <v>200660</v>
      </c>
      <c r="AN456" s="55">
        <v>200661</v>
      </c>
      <c r="AO456" s="55">
        <v>200675</v>
      </c>
      <c r="AP456" s="55">
        <v>200761</v>
      </c>
      <c r="AQ456" s="55">
        <v>200680</v>
      </c>
      <c r="AR456" s="55">
        <v>200683</v>
      </c>
      <c r="AS456" s="55">
        <v>200672</v>
      </c>
      <c r="AT456" s="55">
        <v>200673</v>
      </c>
      <c r="AU456" s="55">
        <v>1</v>
      </c>
      <c r="AV456" s="55">
        <v>1</v>
      </c>
      <c r="AW456" s="55">
        <v>1</v>
      </c>
      <c r="AX456" s="55">
        <v>1</v>
      </c>
      <c r="AY456" s="55">
        <v>1</v>
      </c>
      <c r="AZ456" s="55">
        <v>1</v>
      </c>
      <c r="BA456" s="55">
        <v>1</v>
      </c>
      <c r="BB456" s="55">
        <v>1</v>
      </c>
      <c r="BC456" s="55">
        <v>1</v>
      </c>
      <c r="BD456" s="55">
        <v>1</v>
      </c>
      <c r="BE456" s="55">
        <v>1</v>
      </c>
      <c r="BF456" s="55">
        <v>1</v>
      </c>
      <c r="BG456" s="55">
        <v>9</v>
      </c>
      <c r="BH456" s="55">
        <v>9</v>
      </c>
      <c r="BI456" s="55">
        <v>9</v>
      </c>
      <c r="BJ456" s="55">
        <v>9</v>
      </c>
      <c r="BK456" s="55">
        <v>100</v>
      </c>
      <c r="BL456" s="55">
        <v>100</v>
      </c>
      <c r="BM456" s="55">
        <v>100</v>
      </c>
      <c r="BN456" s="55">
        <v>100</v>
      </c>
      <c r="BO456" s="55">
        <v>100</v>
      </c>
      <c r="BP456" s="55">
        <v>100</v>
      </c>
      <c r="BQ456" s="55">
        <v>100</v>
      </c>
      <c r="BR456" s="55">
        <v>100</v>
      </c>
      <c r="BS456" s="55">
        <v>100</v>
      </c>
      <c r="BT456" s="55">
        <v>100</v>
      </c>
      <c r="BU456" s="55">
        <v>100</v>
      </c>
      <c r="BV456" s="55">
        <v>100</v>
      </c>
      <c r="BW456" s="55">
        <v>100</v>
      </c>
      <c r="BX456" s="55">
        <v>100</v>
      </c>
      <c r="BY456" s="55">
        <v>100</v>
      </c>
      <c r="BZ456" s="55">
        <v>100</v>
      </c>
      <c r="CA456" s="55">
        <v>1600</v>
      </c>
      <c r="CB456" s="55">
        <v>1600</v>
      </c>
      <c r="CC456" s="55">
        <v>0</v>
      </c>
      <c r="CD456" s="55">
        <v>0</v>
      </c>
      <c r="CE456" s="55">
        <v>0</v>
      </c>
      <c r="CF456" s="55">
        <v>192272</v>
      </c>
      <c r="CG456" s="55">
        <v>1</v>
      </c>
      <c r="CH456" s="55">
        <v>1</v>
      </c>
      <c r="CI456" s="55">
        <v>1</v>
      </c>
      <c r="CJ456" s="55">
        <v>0</v>
      </c>
      <c r="CK456" s="55">
        <v>0</v>
      </c>
      <c r="CL456" s="55">
        <v>0</v>
      </c>
      <c r="CM456" s="55">
        <v>0</v>
      </c>
      <c r="CN456" s="55">
        <v>0</v>
      </c>
      <c r="CO456" s="55">
        <v>0</v>
      </c>
      <c r="CP456" s="55">
        <v>0</v>
      </c>
      <c r="CQ456" s="55">
        <v>0</v>
      </c>
      <c r="CR456" s="55">
        <v>0</v>
      </c>
    </row>
    <row r="457" s="55" customFormat="1" customHeight="1" spans="1:96">
      <c r="A457" s="55">
        <v>7013</v>
      </c>
      <c r="B457" s="130" t="s">
        <v>690</v>
      </c>
      <c r="H457" s="55" t="s">
        <v>326</v>
      </c>
      <c r="I457" s="55">
        <v>1000</v>
      </c>
      <c r="K457" s="55">
        <v>1000</v>
      </c>
      <c r="O457" s="55">
        <v>0</v>
      </c>
      <c r="P457" s="55">
        <v>0</v>
      </c>
      <c r="Q457" s="55">
        <v>0</v>
      </c>
      <c r="R457" s="55">
        <v>0</v>
      </c>
      <c r="S457" s="55">
        <v>0</v>
      </c>
      <c r="T457" s="55">
        <v>0</v>
      </c>
      <c r="U457" s="55">
        <v>0</v>
      </c>
      <c r="V457" s="55">
        <v>0</v>
      </c>
      <c r="W457" s="55">
        <v>0</v>
      </c>
      <c r="X457" s="55">
        <v>0</v>
      </c>
      <c r="Y457" s="55">
        <v>0</v>
      </c>
      <c r="Z457" s="55">
        <v>0</v>
      </c>
      <c r="AA457" s="55">
        <v>0</v>
      </c>
      <c r="AB457" s="55">
        <v>0</v>
      </c>
      <c r="AC457" s="55">
        <v>0</v>
      </c>
      <c r="AD457" s="55">
        <v>0</v>
      </c>
      <c r="AE457" s="55">
        <v>200235</v>
      </c>
      <c r="AF457" s="55">
        <v>200340</v>
      </c>
      <c r="AG457" s="55">
        <v>200306</v>
      </c>
      <c r="AH457" s="55">
        <v>200307</v>
      </c>
      <c r="AI457" s="55">
        <v>200308</v>
      </c>
      <c r="AJ457" s="55">
        <v>200309</v>
      </c>
      <c r="AK457" s="55">
        <v>200310</v>
      </c>
      <c r="AL457" s="55">
        <v>200311</v>
      </c>
      <c r="AM457" s="55">
        <v>200660</v>
      </c>
      <c r="AN457" s="55">
        <v>200661</v>
      </c>
      <c r="AO457" s="55">
        <v>200675</v>
      </c>
      <c r="AP457" s="55">
        <v>200761</v>
      </c>
      <c r="AQ457" s="55">
        <v>200680</v>
      </c>
      <c r="AR457" s="55">
        <v>200683</v>
      </c>
      <c r="AS457" s="55">
        <v>200672</v>
      </c>
      <c r="AT457" s="55">
        <v>200673</v>
      </c>
      <c r="AU457" s="55">
        <v>1</v>
      </c>
      <c r="AV457" s="55">
        <v>1</v>
      </c>
      <c r="AW457" s="55">
        <v>1</v>
      </c>
      <c r="AX457" s="55">
        <v>1</v>
      </c>
      <c r="AY457" s="55">
        <v>1</v>
      </c>
      <c r="AZ457" s="55">
        <v>1</v>
      </c>
      <c r="BA457" s="55">
        <v>1</v>
      </c>
      <c r="BB457" s="55">
        <v>1</v>
      </c>
      <c r="BC457" s="55">
        <v>1</v>
      </c>
      <c r="BD457" s="55">
        <v>1</v>
      </c>
      <c r="BE457" s="55">
        <v>1</v>
      </c>
      <c r="BF457" s="55">
        <v>1</v>
      </c>
      <c r="BG457" s="55">
        <v>10</v>
      </c>
      <c r="BH457" s="55">
        <v>10</v>
      </c>
      <c r="BI457" s="55">
        <v>10</v>
      </c>
      <c r="BJ457" s="55">
        <v>10</v>
      </c>
      <c r="BK457" s="55">
        <v>100</v>
      </c>
      <c r="BL457" s="55">
        <v>100</v>
      </c>
      <c r="BM457" s="55">
        <v>100</v>
      </c>
      <c r="BN457" s="55">
        <v>100</v>
      </c>
      <c r="BO457" s="55">
        <v>100</v>
      </c>
      <c r="BP457" s="55">
        <v>100</v>
      </c>
      <c r="BQ457" s="55">
        <v>100</v>
      </c>
      <c r="BR457" s="55">
        <v>100</v>
      </c>
      <c r="BS457" s="55">
        <v>100</v>
      </c>
      <c r="BT457" s="55">
        <v>100</v>
      </c>
      <c r="BU457" s="55">
        <v>100</v>
      </c>
      <c r="BV457" s="55">
        <v>100</v>
      </c>
      <c r="BW457" s="55">
        <v>100</v>
      </c>
      <c r="BX457" s="55">
        <v>100</v>
      </c>
      <c r="BY457" s="55">
        <v>100</v>
      </c>
      <c r="BZ457" s="55">
        <v>100</v>
      </c>
      <c r="CA457" s="55">
        <v>1600</v>
      </c>
      <c r="CB457" s="55">
        <v>1600</v>
      </c>
      <c r="CC457" s="55">
        <v>0</v>
      </c>
      <c r="CD457" s="55">
        <v>0</v>
      </c>
      <c r="CE457" s="55">
        <v>0</v>
      </c>
      <c r="CF457" s="55">
        <v>192273</v>
      </c>
      <c r="CG457" s="55">
        <v>1</v>
      </c>
      <c r="CH457" s="55">
        <v>1</v>
      </c>
      <c r="CI457" s="55">
        <v>1</v>
      </c>
      <c r="CJ457" s="55">
        <v>0</v>
      </c>
      <c r="CK457" s="55">
        <v>0</v>
      </c>
      <c r="CL457" s="55">
        <v>0</v>
      </c>
      <c r="CM457" s="55">
        <v>0</v>
      </c>
      <c r="CN457" s="55">
        <v>0</v>
      </c>
      <c r="CO457" s="55">
        <v>0</v>
      </c>
      <c r="CP457" s="55">
        <v>0</v>
      </c>
      <c r="CQ457" s="55">
        <v>0</v>
      </c>
      <c r="CR457" s="55">
        <v>0</v>
      </c>
    </row>
    <row r="458" s="55" customFormat="1" customHeight="1" spans="1:96">
      <c r="A458" s="55">
        <v>7014</v>
      </c>
      <c r="B458" s="130" t="s">
        <v>691</v>
      </c>
      <c r="H458" s="55" t="s">
        <v>326</v>
      </c>
      <c r="I458" s="55">
        <v>1000</v>
      </c>
      <c r="K458" s="55">
        <v>1000</v>
      </c>
      <c r="O458" s="55">
        <v>0</v>
      </c>
      <c r="P458" s="55">
        <v>0</v>
      </c>
      <c r="Q458" s="55">
        <v>0</v>
      </c>
      <c r="R458" s="55">
        <v>0</v>
      </c>
      <c r="S458" s="55">
        <v>0</v>
      </c>
      <c r="T458" s="55">
        <v>0</v>
      </c>
      <c r="U458" s="55">
        <v>0</v>
      </c>
      <c r="V458" s="55">
        <v>0</v>
      </c>
      <c r="W458" s="55">
        <v>0</v>
      </c>
      <c r="X458" s="55">
        <v>0</v>
      </c>
      <c r="Y458" s="55">
        <v>0</v>
      </c>
      <c r="Z458" s="55">
        <v>0</v>
      </c>
      <c r="AA458" s="55">
        <v>0</v>
      </c>
      <c r="AB458" s="55">
        <v>0</v>
      </c>
      <c r="AC458" s="55">
        <v>0</v>
      </c>
      <c r="AD458" s="55">
        <v>0</v>
      </c>
      <c r="AE458" s="55">
        <v>200235</v>
      </c>
      <c r="AF458" s="55">
        <v>200340</v>
      </c>
      <c r="AG458" s="55">
        <v>200306</v>
      </c>
      <c r="AH458" s="55">
        <v>200307</v>
      </c>
      <c r="AI458" s="55">
        <v>200308</v>
      </c>
      <c r="AJ458" s="55">
        <v>200309</v>
      </c>
      <c r="AK458" s="55">
        <v>200310</v>
      </c>
      <c r="AL458" s="55">
        <v>200311</v>
      </c>
      <c r="AM458" s="55">
        <v>200660</v>
      </c>
      <c r="AN458" s="55">
        <v>200661</v>
      </c>
      <c r="AO458" s="55">
        <v>200675</v>
      </c>
      <c r="AP458" s="55">
        <v>200761</v>
      </c>
      <c r="AQ458" s="55">
        <v>200680</v>
      </c>
      <c r="AR458" s="55">
        <v>200683</v>
      </c>
      <c r="AS458" s="55">
        <v>200672</v>
      </c>
      <c r="AT458" s="55">
        <v>200673</v>
      </c>
      <c r="AU458" s="55">
        <v>1</v>
      </c>
      <c r="AV458" s="55">
        <v>1</v>
      </c>
      <c r="AW458" s="55">
        <v>1</v>
      </c>
      <c r="AX458" s="55">
        <v>1</v>
      </c>
      <c r="AY458" s="55">
        <v>1</v>
      </c>
      <c r="AZ458" s="55">
        <v>1</v>
      </c>
      <c r="BA458" s="55">
        <v>1</v>
      </c>
      <c r="BB458" s="55">
        <v>1</v>
      </c>
      <c r="BC458" s="55">
        <v>1</v>
      </c>
      <c r="BD458" s="55">
        <v>1</v>
      </c>
      <c r="BE458" s="55">
        <v>1</v>
      </c>
      <c r="BF458" s="55">
        <v>1</v>
      </c>
      <c r="BG458" s="55">
        <v>10</v>
      </c>
      <c r="BH458" s="55">
        <v>10</v>
      </c>
      <c r="BI458" s="55">
        <v>10</v>
      </c>
      <c r="BJ458" s="55">
        <v>10</v>
      </c>
      <c r="BK458" s="55">
        <v>100</v>
      </c>
      <c r="BL458" s="55">
        <v>100</v>
      </c>
      <c r="BM458" s="55">
        <v>100</v>
      </c>
      <c r="BN458" s="55">
        <v>100</v>
      </c>
      <c r="BO458" s="55">
        <v>100</v>
      </c>
      <c r="BP458" s="55">
        <v>100</v>
      </c>
      <c r="BQ458" s="55">
        <v>100</v>
      </c>
      <c r="BR458" s="55">
        <v>100</v>
      </c>
      <c r="BS458" s="55">
        <v>100</v>
      </c>
      <c r="BT458" s="55">
        <v>100</v>
      </c>
      <c r="BU458" s="55">
        <v>100</v>
      </c>
      <c r="BV458" s="55">
        <v>100</v>
      </c>
      <c r="BW458" s="55">
        <v>100</v>
      </c>
      <c r="BX458" s="55">
        <v>100</v>
      </c>
      <c r="BY458" s="55">
        <v>100</v>
      </c>
      <c r="BZ458" s="55">
        <v>100</v>
      </c>
      <c r="CA458" s="55">
        <v>1600</v>
      </c>
      <c r="CB458" s="55">
        <v>1600</v>
      </c>
      <c r="CC458" s="55">
        <v>0</v>
      </c>
      <c r="CD458" s="55">
        <v>0</v>
      </c>
      <c r="CE458" s="55">
        <v>0</v>
      </c>
      <c r="CF458" s="55">
        <v>192274</v>
      </c>
      <c r="CG458" s="55">
        <v>1</v>
      </c>
      <c r="CH458" s="55">
        <v>1</v>
      </c>
      <c r="CI458" s="55">
        <v>1</v>
      </c>
      <c r="CJ458" s="55">
        <v>0</v>
      </c>
      <c r="CK458" s="55">
        <v>0</v>
      </c>
      <c r="CL458" s="55">
        <v>0</v>
      </c>
      <c r="CM458" s="55">
        <v>0</v>
      </c>
      <c r="CN458" s="55">
        <v>0</v>
      </c>
      <c r="CO458" s="55">
        <v>0</v>
      </c>
      <c r="CP458" s="55">
        <v>0</v>
      </c>
      <c r="CQ458" s="55">
        <v>0</v>
      </c>
      <c r="CR458" s="55">
        <v>0</v>
      </c>
    </row>
    <row r="459" s="55" customFormat="1" customHeight="1" spans="1:96">
      <c r="A459" s="55">
        <v>7015</v>
      </c>
      <c r="B459" s="130" t="s">
        <v>618</v>
      </c>
      <c r="H459" s="55" t="s">
        <v>326</v>
      </c>
      <c r="I459" s="55">
        <v>1000</v>
      </c>
      <c r="K459" s="55">
        <v>1000</v>
      </c>
      <c r="O459" s="55">
        <v>0</v>
      </c>
      <c r="P459" s="55">
        <v>0</v>
      </c>
      <c r="Q459" s="55">
        <v>0</v>
      </c>
      <c r="R459" s="55">
        <v>0</v>
      </c>
      <c r="S459" s="55">
        <v>0</v>
      </c>
      <c r="T459" s="55">
        <v>0</v>
      </c>
      <c r="U459" s="55">
        <v>0</v>
      </c>
      <c r="V459" s="55">
        <v>0</v>
      </c>
      <c r="W459" s="55">
        <v>0</v>
      </c>
      <c r="X459" s="55">
        <v>0</v>
      </c>
      <c r="Y459" s="55">
        <v>0</v>
      </c>
      <c r="Z459" s="55">
        <v>0</v>
      </c>
      <c r="AA459" s="55">
        <v>0</v>
      </c>
      <c r="AB459" s="55">
        <v>0</v>
      </c>
      <c r="AC459" s="55">
        <v>0</v>
      </c>
      <c r="AD459" s="55">
        <v>0</v>
      </c>
      <c r="AE459" s="55">
        <v>200223</v>
      </c>
      <c r="AF459" s="55">
        <v>200230</v>
      </c>
      <c r="AG459" s="55">
        <v>200231</v>
      </c>
      <c r="AH459" s="55">
        <v>200232</v>
      </c>
      <c r="AI459" s="55">
        <v>200682</v>
      </c>
      <c r="AJ459" s="55">
        <v>200683</v>
      </c>
      <c r="AK459" s="55">
        <v>200687</v>
      </c>
      <c r="AL459" s="55">
        <v>200661</v>
      </c>
      <c r="AM459" s="55">
        <v>200568</v>
      </c>
      <c r="AN459" s="55">
        <v>200675</v>
      </c>
      <c r="AO459" s="55">
        <v>200761</v>
      </c>
      <c r="AP459" s="55">
        <v>200745</v>
      </c>
      <c r="AQ459" s="55">
        <v>200746</v>
      </c>
      <c r="AR459" s="55">
        <v>200752</v>
      </c>
      <c r="AS459" s="55">
        <v>200634</v>
      </c>
      <c r="AT459" s="55">
        <v>200567</v>
      </c>
      <c r="AU459" s="55">
        <v>1</v>
      </c>
      <c r="AV459" s="55">
        <v>1</v>
      </c>
      <c r="AW459" s="55">
        <v>1</v>
      </c>
      <c r="AX459" s="55">
        <v>1</v>
      </c>
      <c r="AY459" s="55">
        <v>50</v>
      </c>
      <c r="AZ459" s="55">
        <v>50</v>
      </c>
      <c r="BA459" s="55">
        <v>1</v>
      </c>
      <c r="BB459" s="55">
        <v>1</v>
      </c>
      <c r="BC459" s="55">
        <v>30</v>
      </c>
      <c r="BD459" s="55">
        <v>5</v>
      </c>
      <c r="BE459" s="55">
        <v>1</v>
      </c>
      <c r="BF459" s="55">
        <v>1</v>
      </c>
      <c r="BG459" s="55">
        <v>1</v>
      </c>
      <c r="BH459" s="55">
        <v>200</v>
      </c>
      <c r="BI459" s="55">
        <v>1</v>
      </c>
      <c r="BJ459" s="55">
        <v>300</v>
      </c>
      <c r="BK459" s="55">
        <v>100</v>
      </c>
      <c r="BL459" s="55">
        <v>70</v>
      </c>
      <c r="BM459" s="55">
        <v>60</v>
      </c>
      <c r="BN459" s="55">
        <v>40</v>
      </c>
      <c r="BO459" s="55">
        <v>100</v>
      </c>
      <c r="BP459" s="55">
        <v>100</v>
      </c>
      <c r="BQ459" s="55">
        <v>100</v>
      </c>
      <c r="BR459" s="55">
        <v>100</v>
      </c>
      <c r="BS459" s="55">
        <v>100</v>
      </c>
      <c r="BT459" s="55">
        <v>100</v>
      </c>
      <c r="BU459" s="55">
        <v>100</v>
      </c>
      <c r="BV459" s="55">
        <v>100</v>
      </c>
      <c r="BW459" s="55">
        <v>100</v>
      </c>
      <c r="BX459" s="55">
        <v>100</v>
      </c>
      <c r="BY459" s="55">
        <v>100</v>
      </c>
      <c r="BZ459" s="55">
        <v>100</v>
      </c>
      <c r="CA459" s="55">
        <v>1470</v>
      </c>
      <c r="CB459" s="55">
        <v>1470</v>
      </c>
      <c r="CC459" s="55">
        <v>0</v>
      </c>
      <c r="CD459" s="55">
        <v>0</v>
      </c>
      <c r="CE459" s="55">
        <v>0</v>
      </c>
      <c r="CF459" s="55">
        <v>192275</v>
      </c>
      <c r="CG459" s="55">
        <v>1</v>
      </c>
      <c r="CH459" s="55">
        <v>1</v>
      </c>
      <c r="CI459" s="55">
        <v>1</v>
      </c>
      <c r="CJ459" s="55">
        <v>0</v>
      </c>
      <c r="CK459" s="55">
        <v>0</v>
      </c>
      <c r="CL459" s="55">
        <v>0</v>
      </c>
      <c r="CM459" s="55">
        <v>0</v>
      </c>
      <c r="CN459" s="55">
        <v>0</v>
      </c>
      <c r="CO459" s="55">
        <v>0</v>
      </c>
      <c r="CP459" s="55">
        <v>0</v>
      </c>
      <c r="CQ459" s="55">
        <v>0</v>
      </c>
      <c r="CR459" s="55">
        <v>0</v>
      </c>
    </row>
    <row r="460" s="55" customFormat="1" customHeight="1" spans="1:96">
      <c r="A460" s="55">
        <v>7016</v>
      </c>
      <c r="B460" s="130" t="s">
        <v>692</v>
      </c>
      <c r="H460" s="55" t="s">
        <v>326</v>
      </c>
      <c r="I460" s="55">
        <v>1000</v>
      </c>
      <c r="K460" s="55">
        <v>1000</v>
      </c>
      <c r="O460" s="55">
        <v>200754</v>
      </c>
      <c r="P460" s="55">
        <v>1</v>
      </c>
      <c r="Q460" s="55">
        <v>0</v>
      </c>
      <c r="R460" s="55">
        <v>0</v>
      </c>
      <c r="S460" s="55">
        <v>0</v>
      </c>
      <c r="T460" s="55">
        <v>0</v>
      </c>
      <c r="U460" s="55">
        <v>0</v>
      </c>
      <c r="V460" s="55">
        <v>0</v>
      </c>
      <c r="W460" s="55">
        <v>0</v>
      </c>
      <c r="X460" s="55">
        <v>0</v>
      </c>
      <c r="Y460" s="55">
        <v>0</v>
      </c>
      <c r="Z460" s="55">
        <v>0</v>
      </c>
      <c r="AA460" s="55">
        <v>0</v>
      </c>
      <c r="AB460" s="55">
        <v>0</v>
      </c>
      <c r="AC460" s="55">
        <v>0</v>
      </c>
      <c r="AD460" s="55">
        <v>0</v>
      </c>
      <c r="AE460" s="55">
        <v>200746</v>
      </c>
      <c r="AF460" s="55">
        <v>200754</v>
      </c>
      <c r="AG460" s="55">
        <v>200755</v>
      </c>
      <c r="AH460" s="55">
        <v>200756</v>
      </c>
      <c r="AI460" s="55">
        <v>200235</v>
      </c>
      <c r="AJ460" s="55">
        <v>200236</v>
      </c>
      <c r="AK460" s="55">
        <v>200568</v>
      </c>
      <c r="AL460" s="55">
        <v>200637</v>
      </c>
      <c r="AM460" s="55">
        <v>200638</v>
      </c>
      <c r="AN460" s="55">
        <v>200639</v>
      </c>
      <c r="AO460" s="55">
        <v>200745</v>
      </c>
      <c r="AP460" s="55">
        <v>200760</v>
      </c>
      <c r="AQ460" s="55">
        <v>200682</v>
      </c>
      <c r="AR460" s="55">
        <v>200559</v>
      </c>
      <c r="AS460" s="55">
        <v>200560</v>
      </c>
      <c r="AT460" s="55">
        <v>200561</v>
      </c>
      <c r="AU460" s="55">
        <v>1</v>
      </c>
      <c r="AV460" s="55">
        <v>1</v>
      </c>
      <c r="AW460" s="55">
        <v>1</v>
      </c>
      <c r="AX460" s="55">
        <v>1</v>
      </c>
      <c r="AY460" s="55">
        <v>1</v>
      </c>
      <c r="AZ460" s="55">
        <v>1</v>
      </c>
      <c r="BA460" s="55">
        <v>15</v>
      </c>
      <c r="BB460" s="55">
        <v>1</v>
      </c>
      <c r="BC460" s="55">
        <v>1</v>
      </c>
      <c r="BD460" s="55">
        <v>1</v>
      </c>
      <c r="BE460" s="55">
        <v>1</v>
      </c>
      <c r="BF460" s="55">
        <v>5</v>
      </c>
      <c r="BG460" s="55">
        <v>50</v>
      </c>
      <c r="BH460" s="55">
        <v>1</v>
      </c>
      <c r="BI460" s="55">
        <v>1</v>
      </c>
      <c r="BJ460" s="55">
        <v>1</v>
      </c>
      <c r="BK460" s="55">
        <v>100</v>
      </c>
      <c r="BL460" s="55">
        <v>70</v>
      </c>
      <c r="BM460" s="55">
        <v>50</v>
      </c>
      <c r="BN460" s="55">
        <v>30</v>
      </c>
      <c r="BO460" s="55">
        <v>100</v>
      </c>
      <c r="BP460" s="55">
        <v>60</v>
      </c>
      <c r="BQ460" s="55">
        <v>80</v>
      </c>
      <c r="BR460" s="55">
        <v>100</v>
      </c>
      <c r="BS460" s="55">
        <v>100</v>
      </c>
      <c r="BT460" s="55">
        <v>100</v>
      </c>
      <c r="BU460" s="55">
        <v>100</v>
      </c>
      <c r="BV460" s="55">
        <v>100</v>
      </c>
      <c r="BW460" s="55">
        <v>100</v>
      </c>
      <c r="BX460" s="55">
        <v>100</v>
      </c>
      <c r="BY460" s="55">
        <v>100</v>
      </c>
      <c r="BZ460" s="55">
        <v>100</v>
      </c>
      <c r="CA460" s="55">
        <v>1390</v>
      </c>
      <c r="CB460" s="55">
        <v>1390</v>
      </c>
      <c r="CC460" s="55">
        <v>0</v>
      </c>
      <c r="CD460" s="55">
        <v>0</v>
      </c>
      <c r="CE460" s="55">
        <v>0</v>
      </c>
      <c r="CF460" s="55">
        <v>192278</v>
      </c>
      <c r="CG460" s="55">
        <v>1</v>
      </c>
      <c r="CH460" s="55">
        <v>1</v>
      </c>
      <c r="CI460" s="55">
        <v>1</v>
      </c>
      <c r="CJ460" s="55">
        <v>0</v>
      </c>
      <c r="CK460" s="55">
        <v>0</v>
      </c>
      <c r="CL460" s="55">
        <v>0</v>
      </c>
      <c r="CM460" s="55">
        <v>0</v>
      </c>
      <c r="CN460" s="55">
        <v>0</v>
      </c>
      <c r="CO460" s="55">
        <v>0</v>
      </c>
      <c r="CP460" s="55">
        <v>0</v>
      </c>
      <c r="CQ460" s="55">
        <v>0</v>
      </c>
      <c r="CR460" s="55">
        <v>0</v>
      </c>
    </row>
    <row r="461" s="55" customFormat="1" customHeight="1" spans="1:96">
      <c r="A461" s="55">
        <v>7017</v>
      </c>
      <c r="B461" s="130" t="s">
        <v>693</v>
      </c>
      <c r="H461" s="55" t="s">
        <v>326</v>
      </c>
      <c r="I461" s="55">
        <v>1000</v>
      </c>
      <c r="K461" s="55">
        <v>1000</v>
      </c>
      <c r="O461" s="55">
        <v>200754</v>
      </c>
      <c r="P461" s="55">
        <v>1</v>
      </c>
      <c r="Q461" s="55">
        <v>0</v>
      </c>
      <c r="R461" s="55">
        <v>0</v>
      </c>
      <c r="S461" s="55">
        <v>0</v>
      </c>
      <c r="T461" s="55">
        <v>0</v>
      </c>
      <c r="U461" s="55">
        <v>0</v>
      </c>
      <c r="V461" s="55">
        <v>0</v>
      </c>
      <c r="W461" s="55">
        <v>0</v>
      </c>
      <c r="X461" s="55">
        <v>0</v>
      </c>
      <c r="Y461" s="55">
        <v>0</v>
      </c>
      <c r="Z461" s="55">
        <v>0</v>
      </c>
      <c r="AA461" s="55">
        <v>0</v>
      </c>
      <c r="AB461" s="55">
        <v>0</v>
      </c>
      <c r="AC461" s="55">
        <v>0</v>
      </c>
      <c r="AD461" s="55">
        <v>0</v>
      </c>
      <c r="AE461" s="55">
        <v>200746</v>
      </c>
      <c r="AF461" s="55">
        <v>200754</v>
      </c>
      <c r="AG461" s="55">
        <v>200755</v>
      </c>
      <c r="AH461" s="55">
        <v>200756</v>
      </c>
      <c r="AI461" s="55">
        <v>200235</v>
      </c>
      <c r="AJ461" s="55">
        <v>200236</v>
      </c>
      <c r="AK461" s="55">
        <v>200568</v>
      </c>
      <c r="AL461" s="55">
        <v>200637</v>
      </c>
      <c r="AM461" s="55">
        <v>200638</v>
      </c>
      <c r="AN461" s="55">
        <v>200639</v>
      </c>
      <c r="AO461" s="55">
        <v>200745</v>
      </c>
      <c r="AP461" s="55">
        <v>200760</v>
      </c>
      <c r="AQ461" s="55">
        <v>200682</v>
      </c>
      <c r="AR461" s="55">
        <v>200559</v>
      </c>
      <c r="AS461" s="55">
        <v>200560</v>
      </c>
      <c r="AT461" s="55">
        <v>200561</v>
      </c>
      <c r="AU461" s="55">
        <v>1</v>
      </c>
      <c r="AV461" s="55">
        <v>1</v>
      </c>
      <c r="AW461" s="55">
        <v>1</v>
      </c>
      <c r="AX461" s="55">
        <v>1</v>
      </c>
      <c r="AY461" s="55">
        <v>1</v>
      </c>
      <c r="AZ461" s="55">
        <v>1</v>
      </c>
      <c r="BA461" s="55">
        <v>30</v>
      </c>
      <c r="BB461" s="55">
        <v>2</v>
      </c>
      <c r="BC461" s="55">
        <v>2</v>
      </c>
      <c r="BD461" s="55">
        <v>2</v>
      </c>
      <c r="BE461" s="55">
        <v>2</v>
      </c>
      <c r="BF461" s="55">
        <v>10</v>
      </c>
      <c r="BG461" s="55">
        <v>100</v>
      </c>
      <c r="BH461" s="55">
        <v>2</v>
      </c>
      <c r="BI461" s="55">
        <v>2</v>
      </c>
      <c r="BJ461" s="55">
        <v>2</v>
      </c>
      <c r="BK461" s="55">
        <v>100</v>
      </c>
      <c r="BL461" s="55">
        <v>70</v>
      </c>
      <c r="BM461" s="55">
        <v>50</v>
      </c>
      <c r="BN461" s="55">
        <v>30</v>
      </c>
      <c r="BO461" s="55">
        <v>100</v>
      </c>
      <c r="BP461" s="55">
        <v>60</v>
      </c>
      <c r="BQ461" s="55">
        <v>80</v>
      </c>
      <c r="BR461" s="55">
        <v>100</v>
      </c>
      <c r="BS461" s="55">
        <v>100</v>
      </c>
      <c r="BT461" s="55">
        <v>100</v>
      </c>
      <c r="BU461" s="55">
        <v>100</v>
      </c>
      <c r="BV461" s="55">
        <v>100</v>
      </c>
      <c r="BW461" s="55">
        <v>100</v>
      </c>
      <c r="BX461" s="55">
        <v>100</v>
      </c>
      <c r="BY461" s="55">
        <v>100</v>
      </c>
      <c r="BZ461" s="55">
        <v>100</v>
      </c>
      <c r="CA461" s="55">
        <v>1390</v>
      </c>
      <c r="CB461" s="55">
        <v>1390</v>
      </c>
      <c r="CC461" s="55">
        <v>0</v>
      </c>
      <c r="CD461" s="55">
        <v>0</v>
      </c>
      <c r="CE461" s="55">
        <v>0</v>
      </c>
      <c r="CF461" s="55">
        <v>192279</v>
      </c>
      <c r="CG461" s="55">
        <v>1</v>
      </c>
      <c r="CH461" s="55">
        <v>1</v>
      </c>
      <c r="CI461" s="55">
        <v>1</v>
      </c>
      <c r="CJ461" s="55">
        <v>0</v>
      </c>
      <c r="CK461" s="55">
        <v>0</v>
      </c>
      <c r="CL461" s="55">
        <v>0</v>
      </c>
      <c r="CM461" s="55">
        <v>0</v>
      </c>
      <c r="CN461" s="55">
        <v>0</v>
      </c>
      <c r="CO461" s="55">
        <v>0</v>
      </c>
      <c r="CP461" s="55">
        <v>0</v>
      </c>
      <c r="CQ461" s="55">
        <v>0</v>
      </c>
      <c r="CR461" s="55">
        <v>0</v>
      </c>
    </row>
    <row r="462" s="55" customFormat="1" customHeight="1" spans="1:96">
      <c r="A462" s="55">
        <v>7018</v>
      </c>
      <c r="B462" s="130" t="s">
        <v>694</v>
      </c>
      <c r="H462" s="55" t="s">
        <v>326</v>
      </c>
      <c r="I462" s="55">
        <v>1000</v>
      </c>
      <c r="K462" s="55">
        <v>1000</v>
      </c>
      <c r="O462" s="55">
        <v>200687</v>
      </c>
      <c r="P462" s="55">
        <v>1</v>
      </c>
      <c r="Q462" s="55">
        <v>0</v>
      </c>
      <c r="R462" s="55">
        <v>0</v>
      </c>
      <c r="S462" s="55">
        <v>200757</v>
      </c>
      <c r="T462" s="55">
        <v>1</v>
      </c>
      <c r="U462" s="55">
        <v>0</v>
      </c>
      <c r="V462" s="55">
        <v>0</v>
      </c>
      <c r="W462" s="55">
        <v>0</v>
      </c>
      <c r="X462" s="55">
        <v>0</v>
      </c>
      <c r="Y462" s="55">
        <v>0</v>
      </c>
      <c r="Z462" s="55">
        <v>0</v>
      </c>
      <c r="AA462" s="55">
        <v>0</v>
      </c>
      <c r="AB462" s="55">
        <v>0</v>
      </c>
      <c r="AC462" s="55">
        <v>0</v>
      </c>
      <c r="AD462" s="55">
        <v>0</v>
      </c>
      <c r="AE462" s="55">
        <v>200565</v>
      </c>
      <c r="AF462" s="55">
        <v>200566</v>
      </c>
      <c r="AG462" s="55">
        <v>200567</v>
      </c>
      <c r="AH462" s="55">
        <v>200568</v>
      </c>
      <c r="AI462" s="55">
        <v>200672</v>
      </c>
      <c r="AJ462" s="55">
        <v>200674</v>
      </c>
      <c r="AK462" s="55">
        <v>200682</v>
      </c>
      <c r="AL462" s="55">
        <v>200687</v>
      </c>
      <c r="AM462" s="55">
        <v>200745</v>
      </c>
      <c r="AN462" s="55">
        <v>200752</v>
      </c>
      <c r="AO462" s="55">
        <v>200754</v>
      </c>
      <c r="AP462" s="55">
        <v>200683</v>
      </c>
      <c r="AQ462" s="55">
        <v>200760</v>
      </c>
      <c r="AU462" s="55">
        <v>20</v>
      </c>
      <c r="AV462" s="55">
        <v>20</v>
      </c>
      <c r="AW462" s="55">
        <v>20</v>
      </c>
      <c r="AX462" s="55">
        <v>10</v>
      </c>
      <c r="AY462" s="55">
        <v>20</v>
      </c>
      <c r="AZ462" s="55">
        <v>10</v>
      </c>
      <c r="BA462" s="55">
        <v>20</v>
      </c>
      <c r="BB462" s="55">
        <v>1</v>
      </c>
      <c r="BC462" s="55">
        <v>1</v>
      </c>
      <c r="BD462" s="55">
        <v>50</v>
      </c>
      <c r="BE462" s="55">
        <v>1</v>
      </c>
      <c r="BF462" s="55">
        <v>10</v>
      </c>
      <c r="BG462" s="55">
        <v>5</v>
      </c>
      <c r="BK462" s="55">
        <v>100</v>
      </c>
      <c r="BL462" s="55">
        <v>100</v>
      </c>
      <c r="BM462" s="55">
        <v>100</v>
      </c>
      <c r="BN462" s="55">
        <v>100</v>
      </c>
      <c r="BO462" s="55">
        <v>100</v>
      </c>
      <c r="BP462" s="55">
        <v>100</v>
      </c>
      <c r="BQ462" s="55">
        <v>100</v>
      </c>
      <c r="BR462" s="55">
        <v>100</v>
      </c>
      <c r="BS462" s="55">
        <v>100</v>
      </c>
      <c r="BT462" s="55">
        <v>100</v>
      </c>
      <c r="BU462" s="55">
        <v>50</v>
      </c>
      <c r="BV462" s="55">
        <v>100</v>
      </c>
      <c r="BW462" s="55">
        <v>100</v>
      </c>
      <c r="CA462" s="55">
        <v>1250</v>
      </c>
      <c r="CB462" s="55">
        <v>1250</v>
      </c>
      <c r="CC462" s="55">
        <v>0</v>
      </c>
      <c r="CD462" s="55">
        <v>0</v>
      </c>
      <c r="CE462" s="55">
        <v>0</v>
      </c>
      <c r="CF462" s="55">
        <v>192281</v>
      </c>
      <c r="CG462" s="55">
        <v>1</v>
      </c>
      <c r="CH462" s="55">
        <v>1</v>
      </c>
      <c r="CI462" s="55">
        <v>1</v>
      </c>
      <c r="CJ462" s="55">
        <v>0</v>
      </c>
      <c r="CK462" s="55">
        <v>0</v>
      </c>
      <c r="CL462" s="55">
        <v>0</v>
      </c>
      <c r="CM462" s="55">
        <v>0</v>
      </c>
      <c r="CN462" s="55">
        <v>0</v>
      </c>
      <c r="CO462" s="55">
        <v>0</v>
      </c>
      <c r="CP462" s="55">
        <v>0</v>
      </c>
      <c r="CQ462" s="55">
        <v>0</v>
      </c>
      <c r="CR462" s="55">
        <v>0</v>
      </c>
    </row>
    <row r="463" s="55" customFormat="1" customHeight="1" spans="1:96">
      <c r="A463" s="55">
        <v>7019</v>
      </c>
      <c r="B463" s="130" t="s">
        <v>695</v>
      </c>
      <c r="H463" s="55" t="s">
        <v>326</v>
      </c>
      <c r="I463" s="55">
        <v>1000</v>
      </c>
      <c r="K463" s="55">
        <v>1000</v>
      </c>
      <c r="O463" s="55">
        <v>200754</v>
      </c>
      <c r="P463" s="55">
        <v>2</v>
      </c>
      <c r="Q463" s="55">
        <v>0</v>
      </c>
      <c r="R463" s="55">
        <v>0</v>
      </c>
      <c r="S463" s="55">
        <v>0</v>
      </c>
      <c r="T463" s="55">
        <v>0</v>
      </c>
      <c r="U463" s="55">
        <v>0</v>
      </c>
      <c r="V463" s="55">
        <v>0</v>
      </c>
      <c r="W463" s="55">
        <v>0</v>
      </c>
      <c r="X463" s="55">
        <v>0</v>
      </c>
      <c r="Y463" s="55">
        <v>0</v>
      </c>
      <c r="Z463" s="55">
        <v>0</v>
      </c>
      <c r="AA463" s="55">
        <v>0</v>
      </c>
      <c r="AB463" s="55">
        <v>0</v>
      </c>
      <c r="AC463" s="55">
        <v>0</v>
      </c>
      <c r="AD463" s="55">
        <v>0</v>
      </c>
      <c r="AE463" s="55">
        <v>200746</v>
      </c>
      <c r="AF463" s="55">
        <v>200754</v>
      </c>
      <c r="AG463" s="55">
        <v>200755</v>
      </c>
      <c r="AH463" s="55">
        <v>200756</v>
      </c>
      <c r="AI463" s="55">
        <v>200235</v>
      </c>
      <c r="AJ463" s="55">
        <v>200236</v>
      </c>
      <c r="AK463" s="55">
        <v>200568</v>
      </c>
      <c r="AL463" s="55">
        <v>200637</v>
      </c>
      <c r="AM463" s="55">
        <v>200638</v>
      </c>
      <c r="AN463" s="55">
        <v>200639</v>
      </c>
      <c r="AO463" s="55">
        <v>200745</v>
      </c>
      <c r="AP463" s="55">
        <v>200760</v>
      </c>
      <c r="AQ463" s="55">
        <v>200682</v>
      </c>
      <c r="AR463" s="55">
        <v>200559</v>
      </c>
      <c r="AS463" s="55">
        <v>200560</v>
      </c>
      <c r="AT463" s="55">
        <v>200561</v>
      </c>
      <c r="AU463" s="55">
        <v>1</v>
      </c>
      <c r="AV463" s="55">
        <v>1</v>
      </c>
      <c r="AW463" s="55">
        <v>1</v>
      </c>
      <c r="AX463" s="55">
        <v>1</v>
      </c>
      <c r="AY463" s="55">
        <v>1</v>
      </c>
      <c r="AZ463" s="55">
        <v>1</v>
      </c>
      <c r="BA463" s="55">
        <v>50</v>
      </c>
      <c r="BB463" s="55">
        <v>4</v>
      </c>
      <c r="BC463" s="55">
        <v>4</v>
      </c>
      <c r="BD463" s="55">
        <v>4</v>
      </c>
      <c r="BE463" s="55">
        <v>4</v>
      </c>
      <c r="BF463" s="55">
        <v>20</v>
      </c>
      <c r="BG463" s="55">
        <v>150</v>
      </c>
      <c r="BH463" s="55">
        <v>4</v>
      </c>
      <c r="BI463" s="55">
        <v>4</v>
      </c>
      <c r="BJ463" s="55">
        <v>4</v>
      </c>
      <c r="BK463" s="55">
        <v>100</v>
      </c>
      <c r="BL463" s="55">
        <v>70</v>
      </c>
      <c r="BM463" s="55">
        <v>50</v>
      </c>
      <c r="BN463" s="55">
        <v>30</v>
      </c>
      <c r="BO463" s="55">
        <v>100</v>
      </c>
      <c r="BP463" s="55">
        <v>60</v>
      </c>
      <c r="BQ463" s="55">
        <v>80</v>
      </c>
      <c r="BR463" s="55">
        <v>100</v>
      </c>
      <c r="BS463" s="55">
        <v>100</v>
      </c>
      <c r="BT463" s="55">
        <v>100</v>
      </c>
      <c r="BU463" s="55">
        <v>100</v>
      </c>
      <c r="BV463" s="55">
        <v>100</v>
      </c>
      <c r="BW463" s="55">
        <v>100</v>
      </c>
      <c r="BX463" s="55">
        <v>100</v>
      </c>
      <c r="BY463" s="55">
        <v>100</v>
      </c>
      <c r="BZ463" s="55">
        <v>100</v>
      </c>
      <c r="CA463" s="55">
        <v>1390</v>
      </c>
      <c r="CB463" s="55">
        <v>1390</v>
      </c>
      <c r="CC463" s="55">
        <v>0</v>
      </c>
      <c r="CD463" s="55">
        <v>0</v>
      </c>
      <c r="CE463" s="55">
        <v>0</v>
      </c>
      <c r="CF463" s="55">
        <v>192283</v>
      </c>
      <c r="CG463" s="55">
        <v>1</v>
      </c>
      <c r="CH463" s="55">
        <v>1</v>
      </c>
      <c r="CI463" s="55">
        <v>1</v>
      </c>
      <c r="CJ463" s="55">
        <v>0</v>
      </c>
      <c r="CK463" s="55">
        <v>0</v>
      </c>
      <c r="CL463" s="55">
        <v>0</v>
      </c>
      <c r="CM463" s="55">
        <v>0</v>
      </c>
      <c r="CN463" s="55">
        <v>0</v>
      </c>
      <c r="CO463" s="55">
        <v>0</v>
      </c>
      <c r="CP463" s="55">
        <v>0</v>
      </c>
      <c r="CQ463" s="55">
        <v>0</v>
      </c>
      <c r="CR463" s="55">
        <v>0</v>
      </c>
    </row>
    <row r="464" s="55" customFormat="1" customHeight="1" spans="1:96">
      <c r="A464" s="55">
        <v>7020</v>
      </c>
      <c r="B464" s="130" t="s">
        <v>696</v>
      </c>
      <c r="H464" s="55" t="s">
        <v>326</v>
      </c>
      <c r="I464" s="55">
        <v>1000</v>
      </c>
      <c r="K464" s="55">
        <v>1000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200413</v>
      </c>
      <c r="AF464" s="55">
        <v>200414</v>
      </c>
      <c r="AG464" s="55">
        <v>200415</v>
      </c>
      <c r="AH464" s="55">
        <v>200758</v>
      </c>
      <c r="AI464" s="55">
        <v>200413</v>
      </c>
      <c r="AJ464" s="55">
        <v>200414</v>
      </c>
      <c r="AK464" s="55">
        <v>200415</v>
      </c>
      <c r="AL464" s="55">
        <v>200758</v>
      </c>
      <c r="AM464" s="55">
        <v>200413</v>
      </c>
      <c r="AN464" s="55">
        <v>200414</v>
      </c>
      <c r="AO464" s="55">
        <v>200415</v>
      </c>
      <c r="AP464" s="55">
        <v>200758</v>
      </c>
      <c r="AQ464" s="55">
        <v>200413</v>
      </c>
      <c r="AR464" s="55">
        <v>200414</v>
      </c>
      <c r="AS464" s="55">
        <v>200415</v>
      </c>
      <c r="AT464" s="55">
        <v>200758</v>
      </c>
      <c r="AU464" s="55">
        <v>1</v>
      </c>
      <c r="AV464" s="55">
        <v>1</v>
      </c>
      <c r="AW464" s="55">
        <v>1</v>
      </c>
      <c r="AX464" s="55">
        <v>1</v>
      </c>
      <c r="AY464" s="55">
        <v>2</v>
      </c>
      <c r="AZ464" s="55">
        <v>2</v>
      </c>
      <c r="BA464" s="55">
        <v>2</v>
      </c>
      <c r="BB464" s="55">
        <v>2</v>
      </c>
      <c r="BC464" s="55">
        <v>3</v>
      </c>
      <c r="BD464" s="55">
        <v>3</v>
      </c>
      <c r="BE464" s="55">
        <v>3</v>
      </c>
      <c r="BF464" s="55">
        <v>3</v>
      </c>
      <c r="BG464" s="55">
        <v>4</v>
      </c>
      <c r="BH464" s="55">
        <v>4</v>
      </c>
      <c r="BI464" s="55">
        <v>4</v>
      </c>
      <c r="BJ464" s="55">
        <v>4</v>
      </c>
      <c r="BK464" s="55">
        <v>100</v>
      </c>
      <c r="BL464" s="55">
        <v>100</v>
      </c>
      <c r="BM464" s="55">
        <v>100</v>
      </c>
      <c r="BN464" s="55">
        <v>100</v>
      </c>
      <c r="BO464" s="55">
        <v>70</v>
      </c>
      <c r="BP464" s="55">
        <v>70</v>
      </c>
      <c r="BQ464" s="55">
        <v>70</v>
      </c>
      <c r="BR464" s="55">
        <v>70</v>
      </c>
      <c r="BS464" s="55">
        <v>50</v>
      </c>
      <c r="BT464" s="55">
        <v>50</v>
      </c>
      <c r="BU464" s="55">
        <v>50</v>
      </c>
      <c r="BV464" s="55">
        <v>50</v>
      </c>
      <c r="BW464" s="55">
        <v>30</v>
      </c>
      <c r="BX464" s="55">
        <v>30</v>
      </c>
      <c r="BY464" s="55">
        <v>30</v>
      </c>
      <c r="BZ464" s="55">
        <v>30</v>
      </c>
      <c r="CA464" s="55">
        <v>1000</v>
      </c>
      <c r="CB464" s="55">
        <v>1000</v>
      </c>
      <c r="CC464" s="55">
        <v>0</v>
      </c>
      <c r="CD464" s="55">
        <v>0</v>
      </c>
      <c r="CE464" s="55">
        <v>0</v>
      </c>
      <c r="CF464" s="55">
        <v>192285</v>
      </c>
      <c r="CG464" s="55">
        <v>1</v>
      </c>
      <c r="CH464" s="55">
        <v>1</v>
      </c>
      <c r="CI464" s="55">
        <v>1</v>
      </c>
      <c r="CJ464" s="55">
        <v>0</v>
      </c>
      <c r="CK464" s="55">
        <v>0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0</v>
      </c>
    </row>
    <row r="465" s="55" customFormat="1" customHeight="1" spans="1:96">
      <c r="A465" s="55">
        <v>7021</v>
      </c>
      <c r="B465" s="130" t="s">
        <v>697</v>
      </c>
      <c r="H465" s="55" t="s">
        <v>326</v>
      </c>
      <c r="I465" s="55">
        <v>1000</v>
      </c>
      <c r="K465" s="55">
        <v>1000</v>
      </c>
      <c r="O465" s="55">
        <v>0</v>
      </c>
      <c r="P465" s="55">
        <v>0</v>
      </c>
      <c r="Q465" s="55">
        <v>0</v>
      </c>
      <c r="R465" s="55">
        <v>0</v>
      </c>
      <c r="S465" s="55">
        <v>0</v>
      </c>
      <c r="T465" s="55">
        <v>0</v>
      </c>
      <c r="U465" s="55">
        <v>0</v>
      </c>
      <c r="V465" s="55">
        <v>0</v>
      </c>
      <c r="W465" s="55">
        <v>0</v>
      </c>
      <c r="X465" s="55">
        <v>0</v>
      </c>
      <c r="Y465" s="55">
        <v>0</v>
      </c>
      <c r="Z465" s="55">
        <v>0</v>
      </c>
      <c r="AA465" s="55">
        <v>0</v>
      </c>
      <c r="AB465" s="55">
        <v>0</v>
      </c>
      <c r="AC465" s="55">
        <v>0</v>
      </c>
      <c r="AD465" s="55">
        <v>0</v>
      </c>
      <c r="AE465" s="55">
        <v>200413</v>
      </c>
      <c r="AF465" s="55">
        <v>200414</v>
      </c>
      <c r="AG465" s="55">
        <v>200415</v>
      </c>
      <c r="AH465" s="55">
        <v>200758</v>
      </c>
      <c r="AU465" s="55">
        <v>1</v>
      </c>
      <c r="AV465" s="55">
        <v>1</v>
      </c>
      <c r="AW465" s="55">
        <v>1</v>
      </c>
      <c r="AX465" s="55">
        <v>1</v>
      </c>
      <c r="BK465" s="55">
        <v>100</v>
      </c>
      <c r="BL465" s="55">
        <v>100</v>
      </c>
      <c r="BM465" s="55">
        <v>100</v>
      </c>
      <c r="BN465" s="55">
        <v>100</v>
      </c>
      <c r="CA465" s="55">
        <v>50</v>
      </c>
      <c r="CB465" s="55">
        <v>100</v>
      </c>
      <c r="CC465" s="55">
        <v>0</v>
      </c>
      <c r="CD465" s="55">
        <v>0</v>
      </c>
      <c r="CE465" s="55">
        <v>0</v>
      </c>
      <c r="CG465" s="55">
        <v>1</v>
      </c>
      <c r="CH465" s="55">
        <v>1</v>
      </c>
      <c r="CI465" s="55">
        <v>1</v>
      </c>
      <c r="CJ465" s="55">
        <v>0</v>
      </c>
      <c r="CK465" s="55">
        <v>0</v>
      </c>
      <c r="CL465" s="55">
        <v>0</v>
      </c>
      <c r="CM465" s="55">
        <v>0</v>
      </c>
      <c r="CN465" s="55">
        <v>0</v>
      </c>
      <c r="CO465" s="55">
        <v>0</v>
      </c>
      <c r="CP465" s="55">
        <v>0</v>
      </c>
      <c r="CQ465" s="55">
        <v>0</v>
      </c>
      <c r="CR465" s="55">
        <v>0</v>
      </c>
    </row>
    <row r="466" s="48" customFormat="1" customHeight="1" spans="1:96">
      <c r="A466" s="48">
        <v>7022</v>
      </c>
      <c r="B466" s="80" t="s">
        <v>698</v>
      </c>
      <c r="H466" s="50" t="s">
        <v>326</v>
      </c>
      <c r="I466" s="48">
        <v>1000</v>
      </c>
      <c r="K466" s="48">
        <v>1000</v>
      </c>
      <c r="N466" s="44"/>
      <c r="O466" s="77">
        <v>200754</v>
      </c>
      <c r="P466" s="77">
        <v>1</v>
      </c>
      <c r="Q466" s="77">
        <v>0</v>
      </c>
      <c r="R466" s="77">
        <v>0</v>
      </c>
      <c r="S466" s="64">
        <v>0</v>
      </c>
      <c r="T466" s="64">
        <v>0</v>
      </c>
      <c r="U466" s="64">
        <v>0</v>
      </c>
      <c r="V466" s="64">
        <v>0</v>
      </c>
      <c r="W466" s="63">
        <v>0</v>
      </c>
      <c r="X466" s="63">
        <v>0</v>
      </c>
      <c r="Y466" s="63">
        <v>0</v>
      </c>
      <c r="Z466" s="63">
        <v>0</v>
      </c>
      <c r="AA466" s="78">
        <v>0</v>
      </c>
      <c r="AB466" s="78">
        <v>0</v>
      </c>
      <c r="AC466" s="78">
        <v>0</v>
      </c>
      <c r="AD466" s="78">
        <v>0</v>
      </c>
      <c r="AE466" s="48">
        <v>200682</v>
      </c>
      <c r="AF466" s="48">
        <v>200683</v>
      </c>
      <c r="AG466" s="48">
        <v>200638</v>
      </c>
      <c r="AH466" s="48">
        <v>200639</v>
      </c>
      <c r="AI466" s="48">
        <v>200640</v>
      </c>
      <c r="AJ466" s="48">
        <v>200235</v>
      </c>
      <c r="AK466" s="48">
        <v>200236</v>
      </c>
      <c r="AL466" s="48">
        <v>200432</v>
      </c>
      <c r="AM466" s="48">
        <v>200568</v>
      </c>
      <c r="AN466" s="48">
        <v>200687</v>
      </c>
      <c r="AO466" s="48">
        <v>200746</v>
      </c>
      <c r="AP466" s="48">
        <v>200747</v>
      </c>
      <c r="AQ466" s="48">
        <v>200754</v>
      </c>
      <c r="AR466" s="48">
        <v>200755</v>
      </c>
      <c r="AS466" s="48">
        <v>200759</v>
      </c>
      <c r="AT466" s="48">
        <v>200761</v>
      </c>
      <c r="AU466" s="62">
        <v>200</v>
      </c>
      <c r="AV466" s="48">
        <v>50</v>
      </c>
      <c r="AW466" s="48">
        <v>1</v>
      </c>
      <c r="AX466" s="48">
        <v>1</v>
      </c>
      <c r="AY466" s="48">
        <v>1</v>
      </c>
      <c r="AZ466" s="48">
        <v>1</v>
      </c>
      <c r="BA466" s="48">
        <v>1</v>
      </c>
      <c r="BB466" s="48">
        <v>500</v>
      </c>
      <c r="BC466" s="48">
        <v>99</v>
      </c>
      <c r="BD466" s="48">
        <v>1</v>
      </c>
      <c r="BE466" s="48">
        <v>1</v>
      </c>
      <c r="BF466" s="48">
        <v>1</v>
      </c>
      <c r="BG466" s="48">
        <v>1</v>
      </c>
      <c r="BH466" s="48">
        <v>1</v>
      </c>
      <c r="BI466" s="48">
        <v>10</v>
      </c>
      <c r="BJ466" s="48">
        <v>20</v>
      </c>
      <c r="BK466" s="62">
        <v>100</v>
      </c>
      <c r="BL466" s="48">
        <v>100</v>
      </c>
      <c r="BM466" s="48">
        <v>100</v>
      </c>
      <c r="BN466" s="48">
        <v>80</v>
      </c>
      <c r="BO466" s="48">
        <v>70</v>
      </c>
      <c r="BP466" s="48">
        <v>80</v>
      </c>
      <c r="BQ466" s="48">
        <v>50</v>
      </c>
      <c r="BR466" s="48">
        <v>100</v>
      </c>
      <c r="BS466" s="48">
        <v>100</v>
      </c>
      <c r="BT466" s="48">
        <v>100</v>
      </c>
      <c r="BU466" s="48">
        <v>100</v>
      </c>
      <c r="BV466" s="48">
        <v>70</v>
      </c>
      <c r="BW466" s="48">
        <v>60</v>
      </c>
      <c r="BX466" s="48">
        <v>50</v>
      </c>
      <c r="BY466" s="48">
        <v>50</v>
      </c>
      <c r="BZ466" s="48">
        <v>100</v>
      </c>
      <c r="CA466" s="48">
        <v>1310</v>
      </c>
      <c r="CB466" s="48">
        <v>1310</v>
      </c>
      <c r="CC466" s="48">
        <v>0</v>
      </c>
      <c r="CD466" s="48">
        <v>0</v>
      </c>
      <c r="CE466" s="48">
        <v>0</v>
      </c>
      <c r="CF466" s="48">
        <v>192287</v>
      </c>
      <c r="CG466" s="48">
        <v>1</v>
      </c>
      <c r="CH466" s="48">
        <v>1</v>
      </c>
      <c r="CI466" s="48">
        <v>1</v>
      </c>
      <c r="CJ466" s="48">
        <v>0</v>
      </c>
      <c r="CK466" s="48">
        <v>0</v>
      </c>
      <c r="CL466" s="48">
        <v>0</v>
      </c>
      <c r="CM466" s="48">
        <v>0</v>
      </c>
      <c r="CN466" s="48">
        <v>0</v>
      </c>
      <c r="CO466" s="48">
        <v>0</v>
      </c>
      <c r="CP466" s="48">
        <v>0</v>
      </c>
      <c r="CQ466" s="48">
        <v>0</v>
      </c>
      <c r="CR466" s="48">
        <v>0</v>
      </c>
    </row>
    <row r="467" s="56" customFormat="1" customHeight="1" spans="1:96">
      <c r="A467" s="133">
        <v>7023</v>
      </c>
      <c r="B467" s="83" t="s">
        <v>699</v>
      </c>
      <c r="H467" s="50" t="s">
        <v>326</v>
      </c>
      <c r="I467" s="48">
        <v>1000</v>
      </c>
      <c r="K467" s="48">
        <v>1000</v>
      </c>
      <c r="N467" s="44"/>
      <c r="O467" s="77">
        <v>0</v>
      </c>
      <c r="P467" s="77">
        <v>0</v>
      </c>
      <c r="Q467" s="77">
        <v>0</v>
      </c>
      <c r="R467" s="77">
        <v>0</v>
      </c>
      <c r="S467" s="64">
        <v>0</v>
      </c>
      <c r="T467" s="64">
        <v>0</v>
      </c>
      <c r="U467" s="64">
        <v>0</v>
      </c>
      <c r="V467" s="64">
        <v>0</v>
      </c>
      <c r="W467" s="63">
        <v>0</v>
      </c>
      <c r="X467" s="63">
        <v>0</v>
      </c>
      <c r="Y467" s="63">
        <v>0</v>
      </c>
      <c r="Z467" s="63">
        <v>0</v>
      </c>
      <c r="AA467" s="78">
        <v>0</v>
      </c>
      <c r="AB467" s="78">
        <v>0</v>
      </c>
      <c r="AC467" s="78">
        <v>0</v>
      </c>
      <c r="AD467" s="78">
        <v>0</v>
      </c>
      <c r="AE467" s="48">
        <v>200762</v>
      </c>
      <c r="AF467" s="44">
        <v>200754</v>
      </c>
      <c r="AG467" s="44">
        <v>200755</v>
      </c>
      <c r="AH467" s="44">
        <v>200761</v>
      </c>
      <c r="AI467" s="44">
        <v>200559</v>
      </c>
      <c r="AJ467" s="44">
        <v>200560</v>
      </c>
      <c r="AK467" s="44">
        <v>200561</v>
      </c>
      <c r="AL467" s="44">
        <v>200433</v>
      </c>
      <c r="AM467" s="44">
        <v>200608</v>
      </c>
      <c r="AN467" s="44">
        <v>200625</v>
      </c>
      <c r="AO467" s="44">
        <v>200760</v>
      </c>
      <c r="AP467" s="57">
        <v>200759</v>
      </c>
      <c r="AQ467" s="50">
        <v>200568</v>
      </c>
      <c r="AR467" s="44"/>
      <c r="AS467" s="44"/>
      <c r="AT467" s="137"/>
      <c r="AU467" s="62">
        <v>1</v>
      </c>
      <c r="AV467" s="56">
        <v>1</v>
      </c>
      <c r="AW467" s="56">
        <v>1</v>
      </c>
      <c r="AX467" s="56">
        <v>1</v>
      </c>
      <c r="AY467" s="56">
        <v>1</v>
      </c>
      <c r="AZ467" s="56">
        <v>1</v>
      </c>
      <c r="BA467" s="56">
        <v>1</v>
      </c>
      <c r="BB467" s="56">
        <v>1</v>
      </c>
      <c r="BC467" s="56">
        <v>1</v>
      </c>
      <c r="BD467" s="56">
        <v>1</v>
      </c>
      <c r="BE467" s="56">
        <v>10</v>
      </c>
      <c r="BF467" s="56">
        <v>2</v>
      </c>
      <c r="BG467" s="56">
        <v>10</v>
      </c>
      <c r="BK467" s="62">
        <v>50</v>
      </c>
      <c r="BL467" s="56">
        <v>20</v>
      </c>
      <c r="BM467" s="56">
        <v>10</v>
      </c>
      <c r="BN467" s="56">
        <v>50</v>
      </c>
      <c r="BO467" s="56">
        <v>50</v>
      </c>
      <c r="BP467" s="56">
        <v>50</v>
      </c>
      <c r="BQ467" s="56">
        <v>50</v>
      </c>
      <c r="BR467" s="56">
        <v>50</v>
      </c>
      <c r="BS467" s="56">
        <v>50</v>
      </c>
      <c r="BT467" s="56">
        <v>50</v>
      </c>
      <c r="BU467" s="56">
        <v>50</v>
      </c>
      <c r="BV467" s="56">
        <v>40</v>
      </c>
      <c r="BW467" s="56">
        <v>50</v>
      </c>
      <c r="CA467" s="56">
        <v>570</v>
      </c>
      <c r="CB467" s="56">
        <v>570</v>
      </c>
      <c r="CC467" s="56">
        <v>0</v>
      </c>
      <c r="CD467" s="56">
        <v>0</v>
      </c>
      <c r="CE467" s="56">
        <v>0</v>
      </c>
      <c r="CF467" s="48">
        <v>192289</v>
      </c>
      <c r="CG467" s="56">
        <v>1</v>
      </c>
      <c r="CH467" s="56">
        <v>1</v>
      </c>
      <c r="CI467" s="56">
        <v>1</v>
      </c>
      <c r="CJ467" s="56">
        <v>0</v>
      </c>
      <c r="CK467" s="56">
        <v>0</v>
      </c>
      <c r="CL467" s="56">
        <v>0</v>
      </c>
      <c r="CM467" s="56">
        <v>0</v>
      </c>
      <c r="CN467" s="56">
        <v>0</v>
      </c>
      <c r="CO467" s="56">
        <v>0</v>
      </c>
      <c r="CP467" s="56">
        <v>0</v>
      </c>
      <c r="CQ467" s="56">
        <v>0</v>
      </c>
      <c r="CR467" s="56">
        <v>0</v>
      </c>
    </row>
    <row r="468" s="56" customFormat="1" customHeight="1" spans="1:96">
      <c r="A468" s="133">
        <v>7024</v>
      </c>
      <c r="B468" s="83" t="s">
        <v>700</v>
      </c>
      <c r="H468" s="50" t="s">
        <v>326</v>
      </c>
      <c r="I468" s="48">
        <v>1000</v>
      </c>
      <c r="K468" s="48">
        <v>1000</v>
      </c>
      <c r="N468" s="44"/>
      <c r="O468" s="77">
        <v>0</v>
      </c>
      <c r="P468" s="77">
        <v>0</v>
      </c>
      <c r="Q468" s="77">
        <v>0</v>
      </c>
      <c r="R468" s="77">
        <v>0</v>
      </c>
      <c r="S468" s="64">
        <v>0</v>
      </c>
      <c r="T468" s="64">
        <v>0</v>
      </c>
      <c r="U468" s="64">
        <v>0</v>
      </c>
      <c r="V468" s="64">
        <v>0</v>
      </c>
      <c r="W468" s="63">
        <v>0</v>
      </c>
      <c r="X468" s="63">
        <v>0</v>
      </c>
      <c r="Y468" s="63">
        <v>0</v>
      </c>
      <c r="Z468" s="63">
        <v>0</v>
      </c>
      <c r="AA468" s="78">
        <v>0</v>
      </c>
      <c r="AB468" s="78">
        <v>0</v>
      </c>
      <c r="AC468" s="78">
        <v>0</v>
      </c>
      <c r="AD468" s="78">
        <v>0</v>
      </c>
      <c r="AE468" s="48">
        <v>200763</v>
      </c>
      <c r="AF468" s="44">
        <v>200754</v>
      </c>
      <c r="AG468" s="44">
        <v>200755</v>
      </c>
      <c r="AH468" s="44">
        <v>200761</v>
      </c>
      <c r="AI468" s="44">
        <v>200559</v>
      </c>
      <c r="AJ468" s="44">
        <v>200560</v>
      </c>
      <c r="AK468" s="44">
        <v>200561</v>
      </c>
      <c r="AL468" s="44">
        <v>200434</v>
      </c>
      <c r="AM468" s="44">
        <v>200608</v>
      </c>
      <c r="AN468" s="44">
        <v>200626</v>
      </c>
      <c r="AO468" s="44">
        <v>200760</v>
      </c>
      <c r="AP468" s="57">
        <v>200759</v>
      </c>
      <c r="AQ468" s="50">
        <v>200568</v>
      </c>
      <c r="AR468" s="44"/>
      <c r="AS468" s="44"/>
      <c r="AT468" s="137"/>
      <c r="AU468" s="62">
        <v>1</v>
      </c>
      <c r="AV468" s="56">
        <v>1</v>
      </c>
      <c r="AW468" s="56">
        <v>1</v>
      </c>
      <c r="AX468" s="56">
        <v>2</v>
      </c>
      <c r="AY468" s="56">
        <v>1</v>
      </c>
      <c r="AZ468" s="56">
        <v>1</v>
      </c>
      <c r="BA468" s="56">
        <v>1</v>
      </c>
      <c r="BB468" s="56">
        <v>1</v>
      </c>
      <c r="BC468" s="56">
        <v>1</v>
      </c>
      <c r="BD468" s="56">
        <v>3</v>
      </c>
      <c r="BE468" s="56">
        <v>15</v>
      </c>
      <c r="BF468" s="56">
        <v>3</v>
      </c>
      <c r="BG468" s="56">
        <v>20</v>
      </c>
      <c r="BK468" s="62">
        <v>50</v>
      </c>
      <c r="BL468" s="56">
        <v>20</v>
      </c>
      <c r="BM468" s="56">
        <v>10</v>
      </c>
      <c r="BN468" s="56">
        <v>50</v>
      </c>
      <c r="BO468" s="56">
        <v>50</v>
      </c>
      <c r="BP468" s="56">
        <v>50</v>
      </c>
      <c r="BQ468" s="56">
        <v>50</v>
      </c>
      <c r="BR468" s="56">
        <v>50</v>
      </c>
      <c r="BS468" s="56">
        <v>50</v>
      </c>
      <c r="BT468" s="56">
        <v>50</v>
      </c>
      <c r="BU468" s="56">
        <v>50</v>
      </c>
      <c r="BV468" s="56">
        <v>40</v>
      </c>
      <c r="BW468" s="56">
        <v>50</v>
      </c>
      <c r="CA468" s="56">
        <v>570</v>
      </c>
      <c r="CB468" s="56">
        <v>570</v>
      </c>
      <c r="CC468" s="56">
        <v>0</v>
      </c>
      <c r="CD468" s="56">
        <v>0</v>
      </c>
      <c r="CE468" s="56">
        <v>0</v>
      </c>
      <c r="CF468" s="48">
        <v>192289</v>
      </c>
      <c r="CG468" s="56">
        <v>1</v>
      </c>
      <c r="CH468" s="56">
        <v>1</v>
      </c>
      <c r="CI468" s="56">
        <v>1</v>
      </c>
      <c r="CJ468" s="56">
        <v>0</v>
      </c>
      <c r="CK468" s="56">
        <v>0</v>
      </c>
      <c r="CL468" s="56">
        <v>0</v>
      </c>
      <c r="CM468" s="56">
        <v>0</v>
      </c>
      <c r="CN468" s="56">
        <v>0</v>
      </c>
      <c r="CO468" s="56">
        <v>0</v>
      </c>
      <c r="CP468" s="56">
        <v>0</v>
      </c>
      <c r="CQ468" s="56">
        <v>0</v>
      </c>
      <c r="CR468" s="56">
        <v>0</v>
      </c>
    </row>
    <row r="469" s="56" customFormat="1" customHeight="1" spans="1:96">
      <c r="A469" s="133">
        <v>7025</v>
      </c>
      <c r="B469" s="83" t="s">
        <v>701</v>
      </c>
      <c r="H469" s="50" t="s">
        <v>326</v>
      </c>
      <c r="I469" s="48">
        <v>1000</v>
      </c>
      <c r="K469" s="48">
        <v>1000</v>
      </c>
      <c r="N469" s="44"/>
      <c r="O469" s="77">
        <v>0</v>
      </c>
      <c r="P469" s="77">
        <v>0</v>
      </c>
      <c r="Q469" s="77">
        <v>0</v>
      </c>
      <c r="R469" s="77">
        <v>0</v>
      </c>
      <c r="S469" s="64">
        <v>0</v>
      </c>
      <c r="T469" s="64">
        <v>0</v>
      </c>
      <c r="U469" s="64">
        <v>0</v>
      </c>
      <c r="V469" s="64">
        <v>0</v>
      </c>
      <c r="W469" s="63">
        <v>0</v>
      </c>
      <c r="X469" s="63">
        <v>0</v>
      </c>
      <c r="Y469" s="63">
        <v>0</v>
      </c>
      <c r="Z469" s="63">
        <v>0</v>
      </c>
      <c r="AA469" s="78">
        <v>0</v>
      </c>
      <c r="AB469" s="78">
        <v>0</v>
      </c>
      <c r="AC469" s="78">
        <v>0</v>
      </c>
      <c r="AD469" s="78">
        <v>0</v>
      </c>
      <c r="AE469" s="48">
        <v>200764</v>
      </c>
      <c r="AF469" s="44">
        <v>200754</v>
      </c>
      <c r="AG469" s="44">
        <v>200755</v>
      </c>
      <c r="AH469" s="44">
        <v>200761</v>
      </c>
      <c r="AI469" s="44">
        <v>200559</v>
      </c>
      <c r="AJ469" s="44">
        <v>200560</v>
      </c>
      <c r="AK469" s="44">
        <v>200561</v>
      </c>
      <c r="AL469" s="44">
        <v>200435</v>
      </c>
      <c r="AM469" s="44">
        <v>200608</v>
      </c>
      <c r="AN469" s="44">
        <v>200627</v>
      </c>
      <c r="AO469" s="44">
        <v>200760</v>
      </c>
      <c r="AP469" s="57">
        <v>200759</v>
      </c>
      <c r="AQ469" s="50">
        <v>200568</v>
      </c>
      <c r="AR469" s="44"/>
      <c r="AS469" s="44"/>
      <c r="AT469" s="137"/>
      <c r="AU469" s="62">
        <v>1</v>
      </c>
      <c r="AV469" s="56">
        <v>1</v>
      </c>
      <c r="AW469" s="56">
        <v>1</v>
      </c>
      <c r="AX469" s="56">
        <v>3</v>
      </c>
      <c r="AY469" s="56">
        <v>1</v>
      </c>
      <c r="AZ469" s="56">
        <v>1</v>
      </c>
      <c r="BA469" s="56">
        <v>1</v>
      </c>
      <c r="BB469" s="56">
        <v>1</v>
      </c>
      <c r="BC469" s="56">
        <v>1</v>
      </c>
      <c r="BD469" s="56">
        <v>3</v>
      </c>
      <c r="BE469" s="56">
        <v>20</v>
      </c>
      <c r="BF469" s="56">
        <v>4</v>
      </c>
      <c r="BG469" s="56">
        <v>30</v>
      </c>
      <c r="BK469" s="62">
        <v>50</v>
      </c>
      <c r="BL469" s="56">
        <v>20</v>
      </c>
      <c r="BM469" s="56">
        <v>10</v>
      </c>
      <c r="BN469" s="56">
        <v>50</v>
      </c>
      <c r="BO469" s="56">
        <v>50</v>
      </c>
      <c r="BP469" s="56">
        <v>50</v>
      </c>
      <c r="BQ469" s="56">
        <v>50</v>
      </c>
      <c r="BR469" s="56">
        <v>50</v>
      </c>
      <c r="BS469" s="56">
        <v>50</v>
      </c>
      <c r="BT469" s="56">
        <v>50</v>
      </c>
      <c r="BU469" s="56">
        <v>50</v>
      </c>
      <c r="BV469" s="56">
        <v>40</v>
      </c>
      <c r="BW469" s="56">
        <v>50</v>
      </c>
      <c r="CA469" s="56">
        <v>570</v>
      </c>
      <c r="CB469" s="56">
        <v>570</v>
      </c>
      <c r="CC469" s="56">
        <v>0</v>
      </c>
      <c r="CD469" s="56">
        <v>0</v>
      </c>
      <c r="CE469" s="56">
        <v>0</v>
      </c>
      <c r="CF469" s="48">
        <v>192289</v>
      </c>
      <c r="CG469" s="56">
        <v>1</v>
      </c>
      <c r="CH469" s="56">
        <v>1</v>
      </c>
      <c r="CI469" s="56">
        <v>1</v>
      </c>
      <c r="CJ469" s="56">
        <v>0</v>
      </c>
      <c r="CK469" s="56">
        <v>0</v>
      </c>
      <c r="CL469" s="56">
        <v>0</v>
      </c>
      <c r="CM469" s="56">
        <v>0</v>
      </c>
      <c r="CN469" s="56">
        <v>0</v>
      </c>
      <c r="CO469" s="56">
        <v>0</v>
      </c>
      <c r="CP469" s="56">
        <v>0</v>
      </c>
      <c r="CQ469" s="56">
        <v>0</v>
      </c>
      <c r="CR469" s="56">
        <v>0</v>
      </c>
    </row>
    <row r="470" s="56" customFormat="1" customHeight="1" spans="1:96">
      <c r="A470" s="133">
        <v>7026</v>
      </c>
      <c r="B470" s="83" t="s">
        <v>702</v>
      </c>
      <c r="H470" s="50" t="s">
        <v>326</v>
      </c>
      <c r="I470" s="48">
        <v>1000</v>
      </c>
      <c r="K470" s="48">
        <v>1000</v>
      </c>
      <c r="N470" s="44"/>
      <c r="O470" s="77">
        <v>0</v>
      </c>
      <c r="P470" s="77">
        <v>0</v>
      </c>
      <c r="Q470" s="77">
        <v>0</v>
      </c>
      <c r="R470" s="77">
        <v>0</v>
      </c>
      <c r="S470" s="64">
        <v>0</v>
      </c>
      <c r="T470" s="64">
        <v>0</v>
      </c>
      <c r="U470" s="64">
        <v>0</v>
      </c>
      <c r="V470" s="64">
        <v>0</v>
      </c>
      <c r="W470" s="63">
        <v>0</v>
      </c>
      <c r="X470" s="63">
        <v>0</v>
      </c>
      <c r="Y470" s="63">
        <v>0</v>
      </c>
      <c r="Z470" s="63">
        <v>0</v>
      </c>
      <c r="AA470" s="78">
        <v>0</v>
      </c>
      <c r="AB470" s="78">
        <v>0</v>
      </c>
      <c r="AC470" s="78">
        <v>0</v>
      </c>
      <c r="AD470" s="78">
        <v>0</v>
      </c>
      <c r="AE470" s="48">
        <v>200765</v>
      </c>
      <c r="AF470" s="44">
        <v>200754</v>
      </c>
      <c r="AG470" s="44">
        <v>200755</v>
      </c>
      <c r="AH470" s="44">
        <v>200761</v>
      </c>
      <c r="AI470" s="44">
        <v>200559</v>
      </c>
      <c r="AJ470" s="44">
        <v>200560</v>
      </c>
      <c r="AK470" s="44">
        <v>200561</v>
      </c>
      <c r="AL470" s="44">
        <v>200436</v>
      </c>
      <c r="AM470" s="44">
        <v>200609</v>
      </c>
      <c r="AN470" s="44">
        <v>200628</v>
      </c>
      <c r="AO470" s="44">
        <v>200760</v>
      </c>
      <c r="AP470" s="57">
        <v>200759</v>
      </c>
      <c r="AQ470" s="50">
        <v>200568</v>
      </c>
      <c r="AR470" s="44"/>
      <c r="AS470" s="44"/>
      <c r="AT470" s="137"/>
      <c r="AU470" s="62">
        <v>1</v>
      </c>
      <c r="AV470" s="56">
        <v>1</v>
      </c>
      <c r="AW470" s="56">
        <v>1</v>
      </c>
      <c r="AX470" s="56">
        <v>4</v>
      </c>
      <c r="AY470" s="56">
        <v>1</v>
      </c>
      <c r="AZ470" s="56">
        <v>1</v>
      </c>
      <c r="BA470" s="56">
        <v>1</v>
      </c>
      <c r="BB470" s="56">
        <v>1</v>
      </c>
      <c r="BC470" s="56">
        <v>1</v>
      </c>
      <c r="BD470" s="56">
        <v>3</v>
      </c>
      <c r="BE470" s="56">
        <v>25</v>
      </c>
      <c r="BF470" s="56">
        <v>5</v>
      </c>
      <c r="BG470" s="56">
        <v>40</v>
      </c>
      <c r="BK470" s="62">
        <v>50</v>
      </c>
      <c r="BL470" s="56">
        <v>20</v>
      </c>
      <c r="BM470" s="56">
        <v>10</v>
      </c>
      <c r="BN470" s="56">
        <v>50</v>
      </c>
      <c r="BO470" s="56">
        <v>50</v>
      </c>
      <c r="BP470" s="56">
        <v>50</v>
      </c>
      <c r="BQ470" s="56">
        <v>50</v>
      </c>
      <c r="BR470" s="56">
        <v>50</v>
      </c>
      <c r="BS470" s="56">
        <v>50</v>
      </c>
      <c r="BT470" s="56">
        <v>50</v>
      </c>
      <c r="BU470" s="56">
        <v>50</v>
      </c>
      <c r="BV470" s="56">
        <v>40</v>
      </c>
      <c r="BW470" s="56">
        <v>50</v>
      </c>
      <c r="CA470" s="56">
        <v>570</v>
      </c>
      <c r="CB470" s="56">
        <v>570</v>
      </c>
      <c r="CC470" s="56">
        <v>0</v>
      </c>
      <c r="CD470" s="56">
        <v>0</v>
      </c>
      <c r="CE470" s="56">
        <v>0</v>
      </c>
      <c r="CF470" s="48">
        <v>192289</v>
      </c>
      <c r="CG470" s="56">
        <v>1</v>
      </c>
      <c r="CH470" s="56">
        <v>1</v>
      </c>
      <c r="CI470" s="56">
        <v>1</v>
      </c>
      <c r="CJ470" s="56">
        <v>0</v>
      </c>
      <c r="CK470" s="56">
        <v>0</v>
      </c>
      <c r="CL470" s="56">
        <v>0</v>
      </c>
      <c r="CM470" s="56">
        <v>0</v>
      </c>
      <c r="CN470" s="56">
        <v>0</v>
      </c>
      <c r="CO470" s="56">
        <v>0</v>
      </c>
      <c r="CP470" s="56">
        <v>0</v>
      </c>
      <c r="CQ470" s="56">
        <v>0</v>
      </c>
      <c r="CR470" s="56">
        <v>0</v>
      </c>
    </row>
    <row r="471" s="56" customFormat="1" customHeight="1" spans="1:96">
      <c r="A471" s="133">
        <v>7027</v>
      </c>
      <c r="B471" s="83" t="s">
        <v>703</v>
      </c>
      <c r="H471" s="50" t="s">
        <v>326</v>
      </c>
      <c r="I471" s="48">
        <v>1000</v>
      </c>
      <c r="K471" s="48">
        <v>1000</v>
      </c>
      <c r="N471" s="44"/>
      <c r="O471" s="77">
        <v>0</v>
      </c>
      <c r="P471" s="77">
        <v>0</v>
      </c>
      <c r="Q471" s="77">
        <v>0</v>
      </c>
      <c r="R471" s="77">
        <v>0</v>
      </c>
      <c r="S471" s="64">
        <v>0</v>
      </c>
      <c r="T471" s="64">
        <v>0</v>
      </c>
      <c r="U471" s="64">
        <v>0</v>
      </c>
      <c r="V471" s="64">
        <v>0</v>
      </c>
      <c r="W471" s="63">
        <v>0</v>
      </c>
      <c r="X471" s="63">
        <v>0</v>
      </c>
      <c r="Y471" s="63">
        <v>0</v>
      </c>
      <c r="Z471" s="63">
        <v>0</v>
      </c>
      <c r="AA471" s="78">
        <v>0</v>
      </c>
      <c r="AB471" s="78">
        <v>0</v>
      </c>
      <c r="AC471" s="78">
        <v>0</v>
      </c>
      <c r="AD471" s="78">
        <v>0</v>
      </c>
      <c r="AE471" s="48">
        <v>200766</v>
      </c>
      <c r="AF471" s="44">
        <v>200754</v>
      </c>
      <c r="AG471" s="44">
        <v>200755</v>
      </c>
      <c r="AH471" s="44">
        <v>200761</v>
      </c>
      <c r="AI471" s="44">
        <v>200559</v>
      </c>
      <c r="AJ471" s="44">
        <v>200560</v>
      </c>
      <c r="AK471" s="44">
        <v>200561</v>
      </c>
      <c r="AL471" s="44">
        <v>200437</v>
      </c>
      <c r="AM471" s="44">
        <v>200609</v>
      </c>
      <c r="AN471" s="44">
        <v>200629</v>
      </c>
      <c r="AO471" s="44">
        <v>200760</v>
      </c>
      <c r="AP471" s="57">
        <v>200759</v>
      </c>
      <c r="AQ471" s="50">
        <v>200568</v>
      </c>
      <c r="AR471" s="44"/>
      <c r="AS471" s="44"/>
      <c r="AT471" s="137"/>
      <c r="AU471" s="62">
        <v>1</v>
      </c>
      <c r="AV471" s="56">
        <v>1</v>
      </c>
      <c r="AW471" s="56">
        <v>1</v>
      </c>
      <c r="AX471" s="56">
        <v>5</v>
      </c>
      <c r="AY471" s="56">
        <v>1</v>
      </c>
      <c r="AZ471" s="56">
        <v>1</v>
      </c>
      <c r="BA471" s="56">
        <v>1</v>
      </c>
      <c r="BB471" s="56">
        <v>1</v>
      </c>
      <c r="BC471" s="56">
        <v>1</v>
      </c>
      <c r="BD471" s="56">
        <v>3</v>
      </c>
      <c r="BE471" s="56">
        <v>30</v>
      </c>
      <c r="BF471" s="56">
        <v>10</v>
      </c>
      <c r="BG471" s="56">
        <v>50</v>
      </c>
      <c r="BK471" s="62">
        <v>50</v>
      </c>
      <c r="BL471" s="56">
        <v>20</v>
      </c>
      <c r="BM471" s="56">
        <v>10</v>
      </c>
      <c r="BN471" s="56">
        <v>50</v>
      </c>
      <c r="BO471" s="56">
        <v>50</v>
      </c>
      <c r="BP471" s="56">
        <v>50</v>
      </c>
      <c r="BQ471" s="56">
        <v>50</v>
      </c>
      <c r="BR471" s="56">
        <v>50</v>
      </c>
      <c r="BS471" s="56">
        <v>50</v>
      </c>
      <c r="BT471" s="56">
        <v>50</v>
      </c>
      <c r="BU471" s="56">
        <v>50</v>
      </c>
      <c r="BV471" s="56">
        <v>40</v>
      </c>
      <c r="BW471" s="56">
        <v>50</v>
      </c>
      <c r="CA471" s="56">
        <v>570</v>
      </c>
      <c r="CB471" s="56">
        <v>570</v>
      </c>
      <c r="CC471" s="56">
        <v>0</v>
      </c>
      <c r="CD471" s="56">
        <v>0</v>
      </c>
      <c r="CE471" s="56">
        <v>0</v>
      </c>
      <c r="CF471" s="48">
        <v>192289</v>
      </c>
      <c r="CG471" s="56">
        <v>1</v>
      </c>
      <c r="CH471" s="56">
        <v>1</v>
      </c>
      <c r="CI471" s="56">
        <v>1</v>
      </c>
      <c r="CJ471" s="56">
        <v>0</v>
      </c>
      <c r="CK471" s="56">
        <v>0</v>
      </c>
      <c r="CL471" s="56">
        <v>0</v>
      </c>
      <c r="CM471" s="56">
        <v>0</v>
      </c>
      <c r="CN471" s="56">
        <v>0</v>
      </c>
      <c r="CO471" s="56">
        <v>0</v>
      </c>
      <c r="CP471" s="56">
        <v>0</v>
      </c>
      <c r="CQ471" s="56">
        <v>0</v>
      </c>
      <c r="CR471" s="56">
        <v>0</v>
      </c>
    </row>
    <row r="472" s="56" customFormat="1" customHeight="1" spans="1:96">
      <c r="A472" s="133">
        <v>7028</v>
      </c>
      <c r="B472" s="83" t="s">
        <v>704</v>
      </c>
      <c r="H472" s="50" t="s">
        <v>326</v>
      </c>
      <c r="I472" s="48">
        <v>1000</v>
      </c>
      <c r="K472" s="48">
        <v>1000</v>
      </c>
      <c r="N472" s="44"/>
      <c r="O472" s="77">
        <v>0</v>
      </c>
      <c r="P472" s="77">
        <v>0</v>
      </c>
      <c r="Q472" s="77">
        <v>0</v>
      </c>
      <c r="R472" s="77">
        <v>0</v>
      </c>
      <c r="S472" s="64">
        <v>0</v>
      </c>
      <c r="T472" s="64">
        <v>0</v>
      </c>
      <c r="U472" s="64">
        <v>0</v>
      </c>
      <c r="V472" s="64">
        <v>0</v>
      </c>
      <c r="W472" s="63">
        <v>0</v>
      </c>
      <c r="X472" s="63">
        <v>0</v>
      </c>
      <c r="Y472" s="63">
        <v>0</v>
      </c>
      <c r="Z472" s="63">
        <v>0</v>
      </c>
      <c r="AA472" s="78">
        <v>0</v>
      </c>
      <c r="AB472" s="78">
        <v>0</v>
      </c>
      <c r="AC472" s="78">
        <v>0</v>
      </c>
      <c r="AD472" s="78">
        <v>0</v>
      </c>
      <c r="AE472" s="48">
        <v>200767</v>
      </c>
      <c r="AF472" s="44">
        <v>200754</v>
      </c>
      <c r="AG472" s="44">
        <v>200755</v>
      </c>
      <c r="AH472" s="44">
        <v>200761</v>
      </c>
      <c r="AI472" s="44">
        <v>200562</v>
      </c>
      <c r="AJ472" s="44">
        <v>200563</v>
      </c>
      <c r="AK472" s="44">
        <v>200564</v>
      </c>
      <c r="AL472" s="44">
        <v>200438</v>
      </c>
      <c r="AM472" s="44">
        <v>200609</v>
      </c>
      <c r="AN472" s="44">
        <v>200630</v>
      </c>
      <c r="AO472" s="44">
        <v>200760</v>
      </c>
      <c r="AP472" s="57">
        <v>200759</v>
      </c>
      <c r="AQ472" s="50">
        <v>200568</v>
      </c>
      <c r="AR472" s="44">
        <v>200678</v>
      </c>
      <c r="AS472" s="44"/>
      <c r="AT472" s="137"/>
      <c r="AU472" s="62">
        <v>1</v>
      </c>
      <c r="AV472" s="56">
        <v>1</v>
      </c>
      <c r="AW472" s="56">
        <v>1</v>
      </c>
      <c r="AX472" s="56">
        <v>6</v>
      </c>
      <c r="AY472" s="56">
        <v>1</v>
      </c>
      <c r="AZ472" s="56">
        <v>1</v>
      </c>
      <c r="BA472" s="56">
        <v>1</v>
      </c>
      <c r="BB472" s="56">
        <v>1</v>
      </c>
      <c r="BC472" s="56">
        <v>1</v>
      </c>
      <c r="BD472" s="56">
        <v>3</v>
      </c>
      <c r="BE472" s="56">
        <v>35</v>
      </c>
      <c r="BF472" s="56">
        <v>15</v>
      </c>
      <c r="BG472" s="56">
        <v>100</v>
      </c>
      <c r="BH472" s="56">
        <v>1</v>
      </c>
      <c r="BK472" s="62">
        <v>50</v>
      </c>
      <c r="BL472" s="56">
        <v>40</v>
      </c>
      <c r="BM472" s="56">
        <v>30</v>
      </c>
      <c r="BN472" s="56">
        <v>50</v>
      </c>
      <c r="BO472" s="56">
        <v>50</v>
      </c>
      <c r="BP472" s="56">
        <v>50</v>
      </c>
      <c r="BQ472" s="56">
        <v>50</v>
      </c>
      <c r="BR472" s="56">
        <v>50</v>
      </c>
      <c r="BS472" s="56">
        <v>50</v>
      </c>
      <c r="BT472" s="56">
        <v>50</v>
      </c>
      <c r="BU472" s="56">
        <v>50</v>
      </c>
      <c r="BV472" s="56">
        <v>50</v>
      </c>
      <c r="BW472" s="56">
        <v>40</v>
      </c>
      <c r="BX472" s="56">
        <v>10</v>
      </c>
      <c r="CA472" s="56">
        <v>620</v>
      </c>
      <c r="CB472" s="56">
        <v>620</v>
      </c>
      <c r="CC472" s="56">
        <v>0</v>
      </c>
      <c r="CD472" s="56">
        <v>0</v>
      </c>
      <c r="CE472" s="56">
        <v>0</v>
      </c>
      <c r="CF472" s="48">
        <v>192289</v>
      </c>
      <c r="CG472" s="56">
        <v>1</v>
      </c>
      <c r="CH472" s="56">
        <v>1</v>
      </c>
      <c r="CI472" s="56">
        <v>1</v>
      </c>
      <c r="CJ472" s="56">
        <v>0</v>
      </c>
      <c r="CK472" s="56">
        <v>0</v>
      </c>
      <c r="CL472" s="56">
        <v>0</v>
      </c>
      <c r="CM472" s="56">
        <v>0</v>
      </c>
      <c r="CN472" s="56">
        <v>0</v>
      </c>
      <c r="CO472" s="56">
        <v>0</v>
      </c>
      <c r="CP472" s="56">
        <v>0</v>
      </c>
      <c r="CQ472" s="56">
        <v>0</v>
      </c>
      <c r="CR472" s="56">
        <v>0</v>
      </c>
    </row>
    <row r="473" s="56" customFormat="1" customHeight="1" spans="1:96">
      <c r="A473" s="133">
        <v>7029</v>
      </c>
      <c r="B473" s="83" t="s">
        <v>705</v>
      </c>
      <c r="H473" s="50" t="s">
        <v>326</v>
      </c>
      <c r="I473" s="48">
        <v>1000</v>
      </c>
      <c r="K473" s="48">
        <v>1000</v>
      </c>
      <c r="N473" s="44"/>
      <c r="O473" s="77">
        <v>0</v>
      </c>
      <c r="P473" s="77">
        <v>0</v>
      </c>
      <c r="Q473" s="77">
        <v>0</v>
      </c>
      <c r="R473" s="77">
        <v>0</v>
      </c>
      <c r="S473" s="64">
        <v>0</v>
      </c>
      <c r="T473" s="64">
        <v>0</v>
      </c>
      <c r="U473" s="64">
        <v>0</v>
      </c>
      <c r="V473" s="64">
        <v>0</v>
      </c>
      <c r="W473" s="63">
        <v>0</v>
      </c>
      <c r="X473" s="63">
        <v>0</v>
      </c>
      <c r="Y473" s="63">
        <v>0</v>
      </c>
      <c r="Z473" s="63">
        <v>0</v>
      </c>
      <c r="AA473" s="78">
        <v>0</v>
      </c>
      <c r="AB473" s="78">
        <v>0</v>
      </c>
      <c r="AC473" s="78">
        <v>0</v>
      </c>
      <c r="AD473" s="78">
        <v>0</v>
      </c>
      <c r="AE473" s="48">
        <v>200768</v>
      </c>
      <c r="AF473" s="44">
        <v>200754</v>
      </c>
      <c r="AG473" s="44">
        <v>200755</v>
      </c>
      <c r="AH473" s="44">
        <v>200761</v>
      </c>
      <c r="AI473" s="44">
        <v>200562</v>
      </c>
      <c r="AJ473" s="44">
        <v>200563</v>
      </c>
      <c r="AK473" s="44">
        <v>200564</v>
      </c>
      <c r="AL473" s="44">
        <v>200439</v>
      </c>
      <c r="AM473" s="44">
        <v>200609</v>
      </c>
      <c r="AN473" s="44">
        <v>200631</v>
      </c>
      <c r="AO473" s="44">
        <v>200760</v>
      </c>
      <c r="AP473" s="57">
        <v>200759</v>
      </c>
      <c r="AQ473" s="50">
        <v>200568</v>
      </c>
      <c r="AR473" s="44">
        <v>200678</v>
      </c>
      <c r="AS473" s="44"/>
      <c r="AT473" s="137"/>
      <c r="AU473" s="62">
        <v>1</v>
      </c>
      <c r="AV473" s="56">
        <v>1</v>
      </c>
      <c r="AW473" s="56">
        <v>1</v>
      </c>
      <c r="AX473" s="56">
        <v>7</v>
      </c>
      <c r="AY473" s="56">
        <v>1</v>
      </c>
      <c r="AZ473" s="56">
        <v>1</v>
      </c>
      <c r="BA473" s="56">
        <v>1</v>
      </c>
      <c r="BB473" s="56">
        <v>1</v>
      </c>
      <c r="BC473" s="56">
        <v>1</v>
      </c>
      <c r="BD473" s="56">
        <v>3</v>
      </c>
      <c r="BE473" s="56">
        <v>40</v>
      </c>
      <c r="BF473" s="56">
        <v>20</v>
      </c>
      <c r="BG473" s="56">
        <v>150</v>
      </c>
      <c r="BH473" s="56">
        <v>1</v>
      </c>
      <c r="BK473" s="62">
        <v>50</v>
      </c>
      <c r="BL473" s="56">
        <v>40</v>
      </c>
      <c r="BM473" s="56">
        <v>30</v>
      </c>
      <c r="BN473" s="56">
        <v>50</v>
      </c>
      <c r="BO473" s="56">
        <v>50</v>
      </c>
      <c r="BP473" s="56">
        <v>50</v>
      </c>
      <c r="BQ473" s="56">
        <v>50</v>
      </c>
      <c r="BR473" s="56">
        <v>50</v>
      </c>
      <c r="BS473" s="56">
        <v>50</v>
      </c>
      <c r="BT473" s="56">
        <v>50</v>
      </c>
      <c r="BU473" s="56">
        <v>50</v>
      </c>
      <c r="BV473" s="56">
        <v>50</v>
      </c>
      <c r="BW473" s="56">
        <v>40</v>
      </c>
      <c r="BX473" s="56">
        <v>10</v>
      </c>
      <c r="CA473" s="56">
        <v>620</v>
      </c>
      <c r="CB473" s="56">
        <v>620</v>
      </c>
      <c r="CC473" s="56">
        <v>0</v>
      </c>
      <c r="CD473" s="56">
        <v>0</v>
      </c>
      <c r="CE473" s="56">
        <v>0</v>
      </c>
      <c r="CF473" s="48">
        <v>192289</v>
      </c>
      <c r="CG473" s="56">
        <v>1</v>
      </c>
      <c r="CH473" s="56">
        <v>1</v>
      </c>
      <c r="CI473" s="56">
        <v>1</v>
      </c>
      <c r="CJ473" s="56">
        <v>0</v>
      </c>
      <c r="CK473" s="56">
        <v>0</v>
      </c>
      <c r="CL473" s="56">
        <v>0</v>
      </c>
      <c r="CM473" s="56">
        <v>0</v>
      </c>
      <c r="CN473" s="56">
        <v>0</v>
      </c>
      <c r="CO473" s="56">
        <v>0</v>
      </c>
      <c r="CP473" s="56">
        <v>0</v>
      </c>
      <c r="CQ473" s="56">
        <v>0</v>
      </c>
      <c r="CR473" s="56">
        <v>0</v>
      </c>
    </row>
    <row r="474" s="56" customFormat="1" customHeight="1" spans="1:96">
      <c r="A474" s="133">
        <v>7030</v>
      </c>
      <c r="B474" s="83" t="s">
        <v>706</v>
      </c>
      <c r="H474" s="50" t="s">
        <v>326</v>
      </c>
      <c r="I474" s="48">
        <v>1000</v>
      </c>
      <c r="K474" s="48">
        <v>1000</v>
      </c>
      <c r="N474" s="44"/>
      <c r="O474" s="77">
        <v>0</v>
      </c>
      <c r="P474" s="77">
        <v>0</v>
      </c>
      <c r="Q474" s="77">
        <v>0</v>
      </c>
      <c r="R474" s="77">
        <v>0</v>
      </c>
      <c r="S474" s="64">
        <v>0</v>
      </c>
      <c r="T474" s="64">
        <v>0</v>
      </c>
      <c r="U474" s="64">
        <v>0</v>
      </c>
      <c r="V474" s="64">
        <v>0</v>
      </c>
      <c r="W474" s="63">
        <v>0</v>
      </c>
      <c r="X474" s="63">
        <v>0</v>
      </c>
      <c r="Y474" s="63">
        <v>0</v>
      </c>
      <c r="Z474" s="63">
        <v>0</v>
      </c>
      <c r="AA474" s="78">
        <v>0</v>
      </c>
      <c r="AB474" s="78">
        <v>0</v>
      </c>
      <c r="AC474" s="78">
        <v>0</v>
      </c>
      <c r="AD474" s="78">
        <v>0</v>
      </c>
      <c r="AE474" s="48">
        <v>200769</v>
      </c>
      <c r="AF474" s="44">
        <v>200754</v>
      </c>
      <c r="AG474" s="44">
        <v>200755</v>
      </c>
      <c r="AH474" s="44">
        <v>200761</v>
      </c>
      <c r="AI474" s="44">
        <v>200562</v>
      </c>
      <c r="AJ474" s="44">
        <v>200563</v>
      </c>
      <c r="AK474" s="44">
        <v>200564</v>
      </c>
      <c r="AL474" s="44">
        <v>200440</v>
      </c>
      <c r="AM474" s="44">
        <v>200609</v>
      </c>
      <c r="AN474" s="44">
        <v>200632</v>
      </c>
      <c r="AO474" s="44">
        <v>200760</v>
      </c>
      <c r="AP474" s="57">
        <v>200759</v>
      </c>
      <c r="AQ474" s="50">
        <v>200568</v>
      </c>
      <c r="AR474" s="44">
        <v>200678</v>
      </c>
      <c r="AS474" s="44"/>
      <c r="AT474" s="137"/>
      <c r="AU474" s="62">
        <v>1</v>
      </c>
      <c r="AV474" s="56">
        <v>1</v>
      </c>
      <c r="AW474" s="56">
        <v>1</v>
      </c>
      <c r="AX474" s="56">
        <v>8</v>
      </c>
      <c r="AY474" s="56">
        <v>1</v>
      </c>
      <c r="AZ474" s="56">
        <v>1</v>
      </c>
      <c r="BA474" s="56">
        <v>1</v>
      </c>
      <c r="BB474" s="56">
        <v>1</v>
      </c>
      <c r="BC474" s="56">
        <v>1</v>
      </c>
      <c r="BD474" s="56">
        <v>3</v>
      </c>
      <c r="BE474" s="56">
        <v>45</v>
      </c>
      <c r="BF474" s="56">
        <v>25</v>
      </c>
      <c r="BG474" s="56">
        <v>200</v>
      </c>
      <c r="BH474" s="56">
        <v>1</v>
      </c>
      <c r="BK474" s="62">
        <v>50</v>
      </c>
      <c r="BL474" s="56">
        <v>40</v>
      </c>
      <c r="BM474" s="56">
        <v>30</v>
      </c>
      <c r="BN474" s="56">
        <v>50</v>
      </c>
      <c r="BO474" s="56">
        <v>50</v>
      </c>
      <c r="BP474" s="56">
        <v>50</v>
      </c>
      <c r="BQ474" s="56">
        <v>50</v>
      </c>
      <c r="BR474" s="56">
        <v>50</v>
      </c>
      <c r="BS474" s="56">
        <v>50</v>
      </c>
      <c r="BT474" s="56">
        <v>50</v>
      </c>
      <c r="BU474" s="56">
        <v>50</v>
      </c>
      <c r="BV474" s="56">
        <v>50</v>
      </c>
      <c r="BW474" s="56">
        <v>40</v>
      </c>
      <c r="BX474" s="56">
        <v>10</v>
      </c>
      <c r="CA474" s="56">
        <v>620</v>
      </c>
      <c r="CB474" s="56">
        <v>620</v>
      </c>
      <c r="CC474" s="56">
        <v>0</v>
      </c>
      <c r="CD474" s="56">
        <v>0</v>
      </c>
      <c r="CE474" s="56">
        <v>0</v>
      </c>
      <c r="CF474" s="48">
        <v>192289</v>
      </c>
      <c r="CG474" s="56">
        <v>1</v>
      </c>
      <c r="CH474" s="56">
        <v>1</v>
      </c>
      <c r="CI474" s="56">
        <v>1</v>
      </c>
      <c r="CJ474" s="56">
        <v>0</v>
      </c>
      <c r="CK474" s="56">
        <v>0</v>
      </c>
      <c r="CL474" s="56">
        <v>0</v>
      </c>
      <c r="CM474" s="56">
        <v>0</v>
      </c>
      <c r="CN474" s="56">
        <v>0</v>
      </c>
      <c r="CO474" s="56">
        <v>0</v>
      </c>
      <c r="CP474" s="56">
        <v>0</v>
      </c>
      <c r="CQ474" s="56">
        <v>0</v>
      </c>
      <c r="CR474" s="56">
        <v>0</v>
      </c>
    </row>
    <row r="475" s="56" customFormat="1" customHeight="1" spans="1:96">
      <c r="A475" s="133">
        <v>7031</v>
      </c>
      <c r="B475" s="83" t="s">
        <v>707</v>
      </c>
      <c r="H475" s="50" t="s">
        <v>326</v>
      </c>
      <c r="I475" s="48">
        <v>1000</v>
      </c>
      <c r="K475" s="48">
        <v>1000</v>
      </c>
      <c r="N475" s="44"/>
      <c r="O475" s="77">
        <v>0</v>
      </c>
      <c r="P475" s="77">
        <v>0</v>
      </c>
      <c r="Q475" s="77">
        <v>0</v>
      </c>
      <c r="R475" s="77">
        <v>0</v>
      </c>
      <c r="S475" s="64">
        <v>0</v>
      </c>
      <c r="T475" s="64">
        <v>0</v>
      </c>
      <c r="U475" s="64">
        <v>0</v>
      </c>
      <c r="V475" s="64">
        <v>0</v>
      </c>
      <c r="W475" s="63">
        <v>0</v>
      </c>
      <c r="X475" s="63">
        <v>0</v>
      </c>
      <c r="Y475" s="63">
        <v>0</v>
      </c>
      <c r="Z475" s="63">
        <v>0</v>
      </c>
      <c r="AA475" s="78">
        <v>0</v>
      </c>
      <c r="AB475" s="78">
        <v>0</v>
      </c>
      <c r="AC475" s="78">
        <v>0</v>
      </c>
      <c r="AD475" s="78">
        <v>0</v>
      </c>
      <c r="AE475" s="48">
        <v>200770</v>
      </c>
      <c r="AF475" s="44">
        <v>200754</v>
      </c>
      <c r="AG475" s="44">
        <v>200755</v>
      </c>
      <c r="AH475" s="44">
        <v>200761</v>
      </c>
      <c r="AI475" s="44">
        <v>200562</v>
      </c>
      <c r="AJ475" s="44">
        <v>200563</v>
      </c>
      <c r="AK475" s="44">
        <v>200564</v>
      </c>
      <c r="AL475" s="44">
        <v>200441</v>
      </c>
      <c r="AM475" s="44">
        <v>200609</v>
      </c>
      <c r="AN475" s="44">
        <v>200633</v>
      </c>
      <c r="AO475" s="44">
        <v>200760</v>
      </c>
      <c r="AP475" s="57">
        <v>200759</v>
      </c>
      <c r="AQ475" s="50">
        <v>200568</v>
      </c>
      <c r="AR475" s="44">
        <v>200678</v>
      </c>
      <c r="AS475" s="44"/>
      <c r="AT475" s="137"/>
      <c r="AU475" s="62">
        <v>1</v>
      </c>
      <c r="AV475" s="56">
        <v>1</v>
      </c>
      <c r="AW475" s="56">
        <v>1</v>
      </c>
      <c r="AX475" s="56">
        <v>9</v>
      </c>
      <c r="AY475" s="56">
        <v>1</v>
      </c>
      <c r="AZ475" s="56">
        <v>1</v>
      </c>
      <c r="BA475" s="56">
        <v>1</v>
      </c>
      <c r="BB475" s="56">
        <v>1</v>
      </c>
      <c r="BC475" s="56">
        <v>1</v>
      </c>
      <c r="BD475" s="56">
        <v>3</v>
      </c>
      <c r="BE475" s="56">
        <v>50</v>
      </c>
      <c r="BF475" s="56">
        <v>30</v>
      </c>
      <c r="BG475" s="56">
        <v>250</v>
      </c>
      <c r="BH475" s="56">
        <v>1</v>
      </c>
      <c r="BK475" s="62">
        <v>50</v>
      </c>
      <c r="BL475" s="56">
        <v>40</v>
      </c>
      <c r="BM475" s="56">
        <v>30</v>
      </c>
      <c r="BN475" s="56">
        <v>50</v>
      </c>
      <c r="BO475" s="56">
        <v>50</v>
      </c>
      <c r="BP475" s="56">
        <v>50</v>
      </c>
      <c r="BQ475" s="56">
        <v>50</v>
      </c>
      <c r="BR475" s="56">
        <v>50</v>
      </c>
      <c r="BS475" s="56">
        <v>50</v>
      </c>
      <c r="BT475" s="56">
        <v>50</v>
      </c>
      <c r="BU475" s="56">
        <v>50</v>
      </c>
      <c r="BV475" s="56">
        <v>50</v>
      </c>
      <c r="BW475" s="56">
        <v>40</v>
      </c>
      <c r="BX475" s="56">
        <v>10</v>
      </c>
      <c r="CA475" s="56">
        <v>620</v>
      </c>
      <c r="CB475" s="56">
        <v>620</v>
      </c>
      <c r="CC475" s="56">
        <v>0</v>
      </c>
      <c r="CD475" s="56">
        <v>0</v>
      </c>
      <c r="CE475" s="56">
        <v>0</v>
      </c>
      <c r="CF475" s="48">
        <v>192289</v>
      </c>
      <c r="CG475" s="56">
        <v>1</v>
      </c>
      <c r="CH475" s="56">
        <v>1</v>
      </c>
      <c r="CI475" s="56">
        <v>1</v>
      </c>
      <c r="CJ475" s="56">
        <v>0</v>
      </c>
      <c r="CK475" s="56">
        <v>0</v>
      </c>
      <c r="CL475" s="56">
        <v>0</v>
      </c>
      <c r="CM475" s="56">
        <v>0</v>
      </c>
      <c r="CN475" s="56">
        <v>0</v>
      </c>
      <c r="CO475" s="56">
        <v>0</v>
      </c>
      <c r="CP475" s="56">
        <v>0</v>
      </c>
      <c r="CQ475" s="56">
        <v>0</v>
      </c>
      <c r="CR475" s="56">
        <v>0</v>
      </c>
    </row>
    <row r="476" s="56" customFormat="1" customHeight="1" spans="1:96">
      <c r="A476" s="133">
        <v>7032</v>
      </c>
      <c r="B476" s="83" t="s">
        <v>708</v>
      </c>
      <c r="H476" s="50" t="s">
        <v>326</v>
      </c>
      <c r="I476" s="48">
        <v>1000</v>
      </c>
      <c r="K476" s="48">
        <v>1000</v>
      </c>
      <c r="N476" s="44"/>
      <c r="O476" s="77">
        <v>0</v>
      </c>
      <c r="P476" s="77">
        <v>0</v>
      </c>
      <c r="Q476" s="77">
        <v>0</v>
      </c>
      <c r="R476" s="77">
        <v>0</v>
      </c>
      <c r="S476" s="64">
        <v>0</v>
      </c>
      <c r="T476" s="64">
        <v>0</v>
      </c>
      <c r="U476" s="64">
        <v>0</v>
      </c>
      <c r="V476" s="64">
        <v>0</v>
      </c>
      <c r="W476" s="63">
        <v>0</v>
      </c>
      <c r="X476" s="63">
        <v>0</v>
      </c>
      <c r="Y476" s="63">
        <v>0</v>
      </c>
      <c r="Z476" s="63">
        <v>0</v>
      </c>
      <c r="AA476" s="78">
        <v>0</v>
      </c>
      <c r="AB476" s="78">
        <v>0</v>
      </c>
      <c r="AC476" s="78">
        <v>0</v>
      </c>
      <c r="AD476" s="78">
        <v>0</v>
      </c>
      <c r="AE476" s="48">
        <v>200771</v>
      </c>
      <c r="AF476" s="44">
        <v>200754</v>
      </c>
      <c r="AG476" s="44">
        <v>200755</v>
      </c>
      <c r="AH476" s="44">
        <v>200761</v>
      </c>
      <c r="AI476" s="44">
        <v>200562</v>
      </c>
      <c r="AJ476" s="44">
        <v>200563</v>
      </c>
      <c r="AK476" s="44">
        <v>200564</v>
      </c>
      <c r="AL476" s="44">
        <v>200442</v>
      </c>
      <c r="AM476" s="44">
        <v>200236</v>
      </c>
      <c r="AN476" s="44">
        <v>200634</v>
      </c>
      <c r="AO476" s="44">
        <v>200760</v>
      </c>
      <c r="AP476" s="57">
        <v>200759</v>
      </c>
      <c r="AQ476" s="50">
        <v>200568</v>
      </c>
      <c r="AR476" s="44">
        <v>200678</v>
      </c>
      <c r="AS476" s="44"/>
      <c r="AT476" s="137"/>
      <c r="AU476" s="62">
        <v>1</v>
      </c>
      <c r="AV476" s="56">
        <v>1</v>
      </c>
      <c r="AW476" s="56">
        <v>1</v>
      </c>
      <c r="AX476" s="56">
        <v>10</v>
      </c>
      <c r="AY476" s="56">
        <v>1</v>
      </c>
      <c r="AZ476" s="56">
        <v>1</v>
      </c>
      <c r="BA476" s="56">
        <v>1</v>
      </c>
      <c r="BB476" s="56">
        <v>1</v>
      </c>
      <c r="BC476" s="56">
        <v>1</v>
      </c>
      <c r="BD476" s="56">
        <v>3</v>
      </c>
      <c r="BE476" s="56">
        <v>55</v>
      </c>
      <c r="BF476" s="56">
        <v>35</v>
      </c>
      <c r="BG476" s="56">
        <v>400</v>
      </c>
      <c r="BH476" s="56">
        <v>1</v>
      </c>
      <c r="BK476" s="62">
        <v>50</v>
      </c>
      <c r="BL476" s="56">
        <v>40</v>
      </c>
      <c r="BM476" s="56">
        <v>30</v>
      </c>
      <c r="BN476" s="56">
        <v>50</v>
      </c>
      <c r="BO476" s="56">
        <v>50</v>
      </c>
      <c r="BP476" s="56">
        <v>50</v>
      </c>
      <c r="BQ476" s="56">
        <v>50</v>
      </c>
      <c r="BR476" s="56">
        <v>50</v>
      </c>
      <c r="BS476" s="56">
        <v>50</v>
      </c>
      <c r="BT476" s="56">
        <v>50</v>
      </c>
      <c r="BU476" s="56">
        <v>50</v>
      </c>
      <c r="BV476" s="56">
        <v>50</v>
      </c>
      <c r="BW476" s="56">
        <v>40</v>
      </c>
      <c r="BX476" s="56">
        <v>10</v>
      </c>
      <c r="CA476" s="56">
        <v>620</v>
      </c>
      <c r="CB476" s="56">
        <v>620</v>
      </c>
      <c r="CC476" s="56">
        <v>0</v>
      </c>
      <c r="CD476" s="56">
        <v>0</v>
      </c>
      <c r="CE476" s="56">
        <v>0</v>
      </c>
      <c r="CF476" s="48">
        <v>192289</v>
      </c>
      <c r="CG476" s="56">
        <v>1</v>
      </c>
      <c r="CH476" s="56">
        <v>1</v>
      </c>
      <c r="CI476" s="56">
        <v>1</v>
      </c>
      <c r="CJ476" s="56">
        <v>0</v>
      </c>
      <c r="CK476" s="56">
        <v>0</v>
      </c>
      <c r="CL476" s="56">
        <v>0</v>
      </c>
      <c r="CM476" s="56">
        <v>0</v>
      </c>
      <c r="CN476" s="56">
        <v>0</v>
      </c>
      <c r="CO476" s="56">
        <v>0</v>
      </c>
      <c r="CP476" s="56">
        <v>0</v>
      </c>
      <c r="CQ476" s="56">
        <v>0</v>
      </c>
      <c r="CR476" s="56">
        <v>0</v>
      </c>
    </row>
    <row r="477" s="57" customFormat="1" customHeight="1" spans="1:96">
      <c r="A477" s="57">
        <v>7033</v>
      </c>
      <c r="B477" s="134" t="s">
        <v>709</v>
      </c>
      <c r="H477" s="50" t="s">
        <v>326</v>
      </c>
      <c r="I477" s="48">
        <v>1000</v>
      </c>
      <c r="K477" s="48">
        <v>1000</v>
      </c>
      <c r="N477" s="44"/>
      <c r="O477" s="77">
        <v>200757</v>
      </c>
      <c r="P477" s="77">
        <v>1</v>
      </c>
      <c r="Q477" s="77">
        <v>0</v>
      </c>
      <c r="R477" s="77">
        <v>0</v>
      </c>
      <c r="S477" s="64">
        <v>0</v>
      </c>
      <c r="T477" s="64">
        <v>0</v>
      </c>
      <c r="U477" s="64">
        <v>0</v>
      </c>
      <c r="V477" s="64">
        <v>0</v>
      </c>
      <c r="W477" s="63">
        <v>0</v>
      </c>
      <c r="X477" s="63">
        <v>0</v>
      </c>
      <c r="Y477" s="63">
        <v>0</v>
      </c>
      <c r="Z477" s="63">
        <v>0</v>
      </c>
      <c r="AA477" s="78">
        <v>0</v>
      </c>
      <c r="AB477" s="78">
        <v>0</v>
      </c>
      <c r="AC477" s="78">
        <v>0</v>
      </c>
      <c r="AD477" s="78">
        <v>0</v>
      </c>
      <c r="AE477" s="48">
        <v>200757</v>
      </c>
      <c r="AF477" s="57">
        <v>200761</v>
      </c>
      <c r="AG477" s="57">
        <v>200752</v>
      </c>
      <c r="AH477" s="57">
        <v>200772</v>
      </c>
      <c r="AI477" s="57">
        <v>200773</v>
      </c>
      <c r="AJ477" s="57">
        <v>200774</v>
      </c>
      <c r="AK477" s="57">
        <v>200776</v>
      </c>
      <c r="AL477" s="57">
        <v>200779</v>
      </c>
      <c r="AM477" s="57">
        <v>200780</v>
      </c>
      <c r="AN477" s="57">
        <v>200678</v>
      </c>
      <c r="AO477" s="57">
        <v>200568</v>
      </c>
      <c r="AP477" s="57">
        <v>200518</v>
      </c>
      <c r="AQ477" s="57">
        <v>200442</v>
      </c>
      <c r="AR477" s="57">
        <v>200443</v>
      </c>
      <c r="AS477" s="57">
        <v>200444</v>
      </c>
      <c r="AT477" s="57">
        <v>200445</v>
      </c>
      <c r="AU477" s="62">
        <v>1</v>
      </c>
      <c r="AV477" s="57">
        <v>5</v>
      </c>
      <c r="AW477" s="57">
        <v>50</v>
      </c>
      <c r="AX477" s="57">
        <v>1</v>
      </c>
      <c r="AY477" s="57">
        <v>1</v>
      </c>
      <c r="AZ477" s="57">
        <v>1</v>
      </c>
      <c r="BA477" s="57">
        <v>1</v>
      </c>
      <c r="BB477" s="57">
        <v>1</v>
      </c>
      <c r="BC477" s="57">
        <v>1</v>
      </c>
      <c r="BD477" s="57">
        <v>1</v>
      </c>
      <c r="BE477" s="57">
        <v>88</v>
      </c>
      <c r="BF477" s="57">
        <v>10</v>
      </c>
      <c r="BG477" s="57">
        <v>1</v>
      </c>
      <c r="BH477" s="57">
        <v>1</v>
      </c>
      <c r="BI477" s="57">
        <v>1</v>
      </c>
      <c r="BJ477" s="57">
        <v>1</v>
      </c>
      <c r="BK477" s="62">
        <v>100</v>
      </c>
      <c r="BL477" s="57">
        <v>100</v>
      </c>
      <c r="BM477" s="57">
        <v>100</v>
      </c>
      <c r="BN477" s="57">
        <v>100</v>
      </c>
      <c r="BO477" s="57">
        <v>70</v>
      </c>
      <c r="BP477" s="57">
        <v>50</v>
      </c>
      <c r="BQ477" s="57">
        <v>30</v>
      </c>
      <c r="BR477" s="57">
        <v>10</v>
      </c>
      <c r="BS477" s="57">
        <v>30</v>
      </c>
      <c r="BT477" s="57">
        <v>40</v>
      </c>
      <c r="BU477" s="57">
        <v>100</v>
      </c>
      <c r="BV477" s="57">
        <v>100</v>
      </c>
      <c r="BW477" s="57">
        <v>70</v>
      </c>
      <c r="BX477" s="57">
        <v>60</v>
      </c>
      <c r="BY477" s="57">
        <v>50</v>
      </c>
      <c r="BZ477" s="57">
        <v>40</v>
      </c>
      <c r="CA477" s="57">
        <v>1050</v>
      </c>
      <c r="CB477" s="57">
        <v>1050</v>
      </c>
      <c r="CC477" s="57">
        <v>0</v>
      </c>
      <c r="CD477" s="57">
        <v>0</v>
      </c>
      <c r="CE477" s="57">
        <v>0</v>
      </c>
      <c r="CF477" s="138">
        <v>192291</v>
      </c>
      <c r="CG477" s="57">
        <v>1</v>
      </c>
      <c r="CH477" s="57">
        <v>1</v>
      </c>
      <c r="CI477" s="57">
        <v>1</v>
      </c>
      <c r="CJ477" s="57">
        <v>0</v>
      </c>
      <c r="CK477" s="57">
        <v>0</v>
      </c>
      <c r="CL477" s="57">
        <v>0</v>
      </c>
      <c r="CM477" s="57">
        <v>0</v>
      </c>
      <c r="CN477" s="57">
        <v>0</v>
      </c>
      <c r="CO477" s="57">
        <v>0</v>
      </c>
      <c r="CP477" s="57">
        <v>0</v>
      </c>
      <c r="CQ477" s="57">
        <v>0</v>
      </c>
      <c r="CR477" s="57">
        <v>0</v>
      </c>
    </row>
    <row r="478" s="57" customFormat="1" customHeight="1" spans="1:96">
      <c r="A478" s="57">
        <v>7034</v>
      </c>
      <c r="B478" s="134" t="s">
        <v>710</v>
      </c>
      <c r="H478" s="50" t="s">
        <v>326</v>
      </c>
      <c r="I478" s="48">
        <v>1000</v>
      </c>
      <c r="K478" s="48">
        <v>1000</v>
      </c>
      <c r="N478" s="44"/>
      <c r="O478" s="77">
        <v>200757</v>
      </c>
      <c r="P478" s="77">
        <v>2</v>
      </c>
      <c r="Q478" s="77">
        <v>0</v>
      </c>
      <c r="R478" s="77">
        <v>0</v>
      </c>
      <c r="S478" s="64">
        <v>0</v>
      </c>
      <c r="T478" s="64">
        <v>0</v>
      </c>
      <c r="U478" s="64">
        <v>0</v>
      </c>
      <c r="V478" s="64">
        <v>0</v>
      </c>
      <c r="W478" s="63">
        <v>0</v>
      </c>
      <c r="X478" s="63">
        <v>0</v>
      </c>
      <c r="Y478" s="63">
        <v>0</v>
      </c>
      <c r="Z478" s="63">
        <v>0</v>
      </c>
      <c r="AA478" s="78">
        <v>0</v>
      </c>
      <c r="AB478" s="78">
        <v>0</v>
      </c>
      <c r="AC478" s="78">
        <v>0</v>
      </c>
      <c r="AD478" s="78">
        <v>0</v>
      </c>
      <c r="AE478" s="48">
        <v>200757</v>
      </c>
      <c r="AF478" s="57">
        <v>200761</v>
      </c>
      <c r="AG478" s="57">
        <v>200752</v>
      </c>
      <c r="AH478" s="57">
        <v>200772</v>
      </c>
      <c r="AI478" s="57">
        <v>200773</v>
      </c>
      <c r="AJ478" s="57">
        <v>200774</v>
      </c>
      <c r="AK478" s="57">
        <v>200777</v>
      </c>
      <c r="AL478" s="57">
        <v>200779</v>
      </c>
      <c r="AM478" s="57">
        <v>200780</v>
      </c>
      <c r="AN478" s="57">
        <v>200678</v>
      </c>
      <c r="AO478" s="57">
        <v>200568</v>
      </c>
      <c r="AP478" s="57">
        <v>200518</v>
      </c>
      <c r="AQ478" s="57">
        <v>200442</v>
      </c>
      <c r="AR478" s="57">
        <v>200443</v>
      </c>
      <c r="AS478" s="57">
        <v>200444</v>
      </c>
      <c r="AT478" s="57">
        <v>200445</v>
      </c>
      <c r="AU478" s="62">
        <v>2</v>
      </c>
      <c r="AV478" s="57">
        <v>10</v>
      </c>
      <c r="AW478" s="57">
        <v>100</v>
      </c>
      <c r="AX478" s="57">
        <v>2</v>
      </c>
      <c r="AY478" s="57">
        <v>2</v>
      </c>
      <c r="AZ478" s="57">
        <v>1</v>
      </c>
      <c r="BA478" s="57">
        <v>1</v>
      </c>
      <c r="BB478" s="57">
        <v>1</v>
      </c>
      <c r="BC478" s="57">
        <v>1</v>
      </c>
      <c r="BD478" s="57">
        <v>1</v>
      </c>
      <c r="BE478" s="57">
        <v>150</v>
      </c>
      <c r="BF478" s="57">
        <v>20</v>
      </c>
      <c r="BG478" s="57">
        <v>1</v>
      </c>
      <c r="BH478" s="57">
        <v>1</v>
      </c>
      <c r="BI478" s="57">
        <v>1</v>
      </c>
      <c r="BJ478" s="57">
        <v>1</v>
      </c>
      <c r="BK478" s="62">
        <v>100</v>
      </c>
      <c r="BL478" s="57">
        <v>100</v>
      </c>
      <c r="BM478" s="57">
        <v>100</v>
      </c>
      <c r="BN478" s="57">
        <v>100</v>
      </c>
      <c r="BO478" s="57">
        <v>70</v>
      </c>
      <c r="BP478" s="57">
        <v>50</v>
      </c>
      <c r="BQ478" s="57">
        <v>10</v>
      </c>
      <c r="BR478" s="57">
        <v>10</v>
      </c>
      <c r="BS478" s="57">
        <v>30</v>
      </c>
      <c r="BT478" s="57">
        <v>20</v>
      </c>
      <c r="BU478" s="57">
        <v>100</v>
      </c>
      <c r="BV478" s="57">
        <v>100</v>
      </c>
      <c r="BW478" s="57">
        <v>70</v>
      </c>
      <c r="BX478" s="57">
        <v>60</v>
      </c>
      <c r="BY478" s="57">
        <v>50</v>
      </c>
      <c r="BZ478" s="57">
        <v>40</v>
      </c>
      <c r="CA478" s="57">
        <v>1010</v>
      </c>
      <c r="CB478" s="57">
        <v>1010</v>
      </c>
      <c r="CC478" s="57">
        <v>0</v>
      </c>
      <c r="CD478" s="57">
        <v>0</v>
      </c>
      <c r="CE478" s="57">
        <v>0</v>
      </c>
      <c r="CF478" s="138">
        <v>192293</v>
      </c>
      <c r="CG478" s="57">
        <v>1</v>
      </c>
      <c r="CH478" s="57">
        <v>1</v>
      </c>
      <c r="CI478" s="57">
        <v>1</v>
      </c>
      <c r="CJ478" s="57">
        <v>0</v>
      </c>
      <c r="CK478" s="57">
        <v>0</v>
      </c>
      <c r="CL478" s="57">
        <v>0</v>
      </c>
      <c r="CM478" s="57">
        <v>0</v>
      </c>
      <c r="CN478" s="57">
        <v>0</v>
      </c>
      <c r="CO478" s="57">
        <v>0</v>
      </c>
      <c r="CP478" s="57">
        <v>0</v>
      </c>
      <c r="CQ478" s="57">
        <v>0</v>
      </c>
      <c r="CR478" s="57">
        <v>0</v>
      </c>
    </row>
    <row r="479" s="57" customFormat="1" customHeight="1" spans="1:96">
      <c r="A479" s="57">
        <v>7035</v>
      </c>
      <c r="B479" s="134" t="s">
        <v>711</v>
      </c>
      <c r="H479" s="50" t="s">
        <v>326</v>
      </c>
      <c r="I479" s="48">
        <v>1000</v>
      </c>
      <c r="K479" s="48">
        <v>1000</v>
      </c>
      <c r="N479" s="44"/>
      <c r="O479" s="77">
        <v>200757</v>
      </c>
      <c r="P479" s="77">
        <v>3</v>
      </c>
      <c r="Q479" s="77">
        <v>0</v>
      </c>
      <c r="R479" s="77">
        <v>0</v>
      </c>
      <c r="S479" s="64">
        <v>0</v>
      </c>
      <c r="T479" s="64">
        <v>0</v>
      </c>
      <c r="U479" s="64">
        <v>0</v>
      </c>
      <c r="V479" s="64">
        <v>0</v>
      </c>
      <c r="W479" s="63">
        <v>0</v>
      </c>
      <c r="X479" s="63">
        <v>0</v>
      </c>
      <c r="Y479" s="63">
        <v>0</v>
      </c>
      <c r="Z479" s="63">
        <v>0</v>
      </c>
      <c r="AA479" s="78">
        <v>0</v>
      </c>
      <c r="AB479" s="78">
        <v>0</v>
      </c>
      <c r="AC479" s="78">
        <v>0</v>
      </c>
      <c r="AD479" s="78">
        <v>0</v>
      </c>
      <c r="AE479" s="48">
        <v>200757</v>
      </c>
      <c r="AF479" s="57">
        <v>200761</v>
      </c>
      <c r="AG479" s="57">
        <v>200752</v>
      </c>
      <c r="AH479" s="57">
        <v>200772</v>
      </c>
      <c r="AI479" s="57">
        <v>200773</v>
      </c>
      <c r="AJ479" s="57">
        <v>200774</v>
      </c>
      <c r="AK479" s="57">
        <v>200778</v>
      </c>
      <c r="AL479" s="57">
        <v>200779</v>
      </c>
      <c r="AM479" s="57">
        <v>200780</v>
      </c>
      <c r="AN479" s="57">
        <v>200678</v>
      </c>
      <c r="AO479" s="57">
        <v>200568</v>
      </c>
      <c r="AP479" s="57">
        <v>200518</v>
      </c>
      <c r="AQ479" s="57">
        <v>200442</v>
      </c>
      <c r="AR479" s="57">
        <v>200443</v>
      </c>
      <c r="AS479" s="57">
        <v>200444</v>
      </c>
      <c r="AT479" s="57">
        <v>200445</v>
      </c>
      <c r="AU479" s="62">
        <v>3</v>
      </c>
      <c r="AV479" s="57">
        <v>5</v>
      </c>
      <c r="AW479" s="57">
        <v>50</v>
      </c>
      <c r="AX479" s="57">
        <v>3</v>
      </c>
      <c r="AY479" s="57">
        <v>3</v>
      </c>
      <c r="AZ479" s="57">
        <v>2</v>
      </c>
      <c r="BA479" s="57">
        <v>1</v>
      </c>
      <c r="BB479" s="57">
        <v>1</v>
      </c>
      <c r="BC479" s="57">
        <v>1</v>
      </c>
      <c r="BD479" s="57">
        <v>2</v>
      </c>
      <c r="BE479" s="57">
        <v>250</v>
      </c>
      <c r="BF479" s="57">
        <v>50</v>
      </c>
      <c r="BG479" s="57">
        <v>2</v>
      </c>
      <c r="BH479" s="57">
        <v>2</v>
      </c>
      <c r="BI479" s="57">
        <v>2</v>
      </c>
      <c r="BJ479" s="57">
        <v>2</v>
      </c>
      <c r="BK479" s="62">
        <v>100</v>
      </c>
      <c r="BL479" s="57">
        <v>100</v>
      </c>
      <c r="BM479" s="57">
        <v>100</v>
      </c>
      <c r="BN479" s="57">
        <v>100</v>
      </c>
      <c r="BO479" s="57">
        <v>70</v>
      </c>
      <c r="BP479" s="57">
        <v>50</v>
      </c>
      <c r="BQ479" s="57">
        <v>5</v>
      </c>
      <c r="BR479" s="57">
        <v>10</v>
      </c>
      <c r="BS479" s="57">
        <v>30</v>
      </c>
      <c r="BT479" s="57">
        <v>20</v>
      </c>
      <c r="BU479" s="57">
        <v>100</v>
      </c>
      <c r="BV479" s="57">
        <v>100</v>
      </c>
      <c r="BW479" s="57">
        <v>70</v>
      </c>
      <c r="BX479" s="57">
        <v>60</v>
      </c>
      <c r="BY479" s="57">
        <v>50</v>
      </c>
      <c r="BZ479" s="57">
        <v>40</v>
      </c>
      <c r="CA479" s="57">
        <v>1005</v>
      </c>
      <c r="CB479" s="57">
        <v>1005</v>
      </c>
      <c r="CC479" s="57">
        <v>0</v>
      </c>
      <c r="CD479" s="57">
        <v>0</v>
      </c>
      <c r="CE479" s="57">
        <v>0</v>
      </c>
      <c r="CF479" s="138">
        <v>192295</v>
      </c>
      <c r="CG479" s="57">
        <v>1</v>
      </c>
      <c r="CH479" s="57">
        <v>1</v>
      </c>
      <c r="CI479" s="57">
        <v>1</v>
      </c>
      <c r="CJ479" s="57">
        <v>0</v>
      </c>
      <c r="CK479" s="57">
        <v>0</v>
      </c>
      <c r="CL479" s="57">
        <v>0</v>
      </c>
      <c r="CM479" s="57">
        <v>0</v>
      </c>
      <c r="CN479" s="57">
        <v>0</v>
      </c>
      <c r="CO479" s="57">
        <v>0</v>
      </c>
      <c r="CP479" s="57">
        <v>0</v>
      </c>
      <c r="CQ479" s="57">
        <v>0</v>
      </c>
      <c r="CR479" s="57">
        <v>0</v>
      </c>
    </row>
    <row r="480" s="51" customFormat="1" customHeight="1" spans="1:96">
      <c r="A480" s="51">
        <v>7036</v>
      </c>
      <c r="B480" s="79" t="s">
        <v>712</v>
      </c>
      <c r="E480" s="51">
        <v>2</v>
      </c>
      <c r="F480" s="51">
        <v>5000</v>
      </c>
      <c r="H480" s="50" t="s">
        <v>326</v>
      </c>
      <c r="I480" s="48" t="s">
        <v>639</v>
      </c>
      <c r="J480" s="49" t="s">
        <v>713</v>
      </c>
      <c r="K480" s="48" t="s">
        <v>714</v>
      </c>
      <c r="L480" s="49"/>
      <c r="N480" s="44"/>
      <c r="O480" s="77">
        <v>0</v>
      </c>
      <c r="P480" s="77">
        <v>0</v>
      </c>
      <c r="Q480" s="77">
        <v>0</v>
      </c>
      <c r="R480" s="77">
        <v>0</v>
      </c>
      <c r="S480" s="64">
        <v>0</v>
      </c>
      <c r="T480" s="64">
        <v>0</v>
      </c>
      <c r="U480" s="64">
        <v>0</v>
      </c>
      <c r="V480" s="64">
        <v>0</v>
      </c>
      <c r="W480" s="63">
        <v>0</v>
      </c>
      <c r="X480" s="63">
        <v>0</v>
      </c>
      <c r="Y480" s="63">
        <v>0</v>
      </c>
      <c r="Z480" s="63">
        <v>0</v>
      </c>
      <c r="AA480" s="78">
        <v>0</v>
      </c>
      <c r="AB480" s="78">
        <v>0</v>
      </c>
      <c r="AC480" s="78">
        <v>0</v>
      </c>
      <c r="AD480" s="78">
        <v>0</v>
      </c>
      <c r="AE480" s="48">
        <v>200101</v>
      </c>
      <c r="AF480" s="49">
        <v>200102</v>
      </c>
      <c r="AG480" s="49">
        <v>200105</v>
      </c>
      <c r="AH480" s="49">
        <v>201001</v>
      </c>
      <c r="AI480" s="49"/>
      <c r="AJ480" s="49"/>
      <c r="AK480" s="49"/>
      <c r="AL480" s="49"/>
      <c r="AM480" s="49"/>
      <c r="AN480" s="49"/>
      <c r="AU480" s="62">
        <v>1</v>
      </c>
      <c r="AV480" s="51">
        <v>1</v>
      </c>
      <c r="AW480" s="51">
        <v>1</v>
      </c>
      <c r="AX480" s="51">
        <v>1</v>
      </c>
      <c r="BK480" s="62">
        <v>200</v>
      </c>
      <c r="BL480" s="51">
        <v>200</v>
      </c>
      <c r="BM480" s="51">
        <v>70</v>
      </c>
      <c r="BN480" s="51">
        <v>30</v>
      </c>
      <c r="CA480" s="51">
        <v>500</v>
      </c>
      <c r="CB480" s="51">
        <v>500</v>
      </c>
      <c r="CC480" s="51">
        <v>0</v>
      </c>
      <c r="CD480" s="51">
        <v>0</v>
      </c>
      <c r="CE480" s="51">
        <v>0</v>
      </c>
      <c r="CF480" s="44">
        <v>125505</v>
      </c>
      <c r="CG480" s="51">
        <v>1</v>
      </c>
      <c r="CH480" s="51">
        <v>1</v>
      </c>
      <c r="CI480" s="51">
        <v>1</v>
      </c>
      <c r="CJ480" s="51">
        <v>0</v>
      </c>
      <c r="CK480" s="51">
        <v>0</v>
      </c>
      <c r="CL480" s="51">
        <v>0</v>
      </c>
      <c r="CM480" s="51">
        <v>0</v>
      </c>
      <c r="CN480" s="51">
        <v>0</v>
      </c>
      <c r="CO480" s="51">
        <v>0</v>
      </c>
      <c r="CP480" s="51">
        <v>0</v>
      </c>
      <c r="CQ480" s="51">
        <v>0</v>
      </c>
      <c r="CR480" s="51">
        <v>0</v>
      </c>
    </row>
    <row r="481" s="51" customFormat="1" customHeight="1" spans="2:84">
      <c r="B481" s="44"/>
      <c r="H481" s="44"/>
      <c r="I481" s="48"/>
      <c r="J481" s="49"/>
      <c r="K481" s="48"/>
      <c r="L481" s="49"/>
      <c r="N481" s="44"/>
      <c r="O481" s="77"/>
      <c r="P481" s="77"/>
      <c r="Q481" s="77"/>
      <c r="R481" s="77"/>
      <c r="S481" s="64"/>
      <c r="T481" s="64"/>
      <c r="U481" s="64"/>
      <c r="V481" s="64"/>
      <c r="W481" s="63"/>
      <c r="X481" s="63"/>
      <c r="Y481" s="63"/>
      <c r="Z481" s="63"/>
      <c r="AA481" s="78"/>
      <c r="AB481" s="78"/>
      <c r="AC481" s="78"/>
      <c r="AD481" s="78"/>
      <c r="AE481" s="80" t="s">
        <v>715</v>
      </c>
      <c r="AF481" s="117" t="s">
        <v>716</v>
      </c>
      <c r="AG481" s="117" t="s">
        <v>717</v>
      </c>
      <c r="AH481" s="117" t="s">
        <v>718</v>
      </c>
      <c r="AI481" s="49"/>
      <c r="AJ481" s="49"/>
      <c r="AK481" s="49"/>
      <c r="AL481" s="49"/>
      <c r="AM481" s="49"/>
      <c r="AN481" s="49"/>
      <c r="AU481" s="62"/>
      <c r="BK481" s="87" t="s">
        <v>715</v>
      </c>
      <c r="BL481" s="117" t="s">
        <v>716</v>
      </c>
      <c r="BM481" s="117" t="s">
        <v>717</v>
      </c>
      <c r="BN481" s="117" t="s">
        <v>718</v>
      </c>
      <c r="CF481" s="44"/>
    </row>
    <row r="482" s="51" customFormat="1" customHeight="1" spans="1:96">
      <c r="A482" s="51">
        <v>7037</v>
      </c>
      <c r="B482" s="80" t="s">
        <v>719</v>
      </c>
      <c r="E482" s="51">
        <v>5</v>
      </c>
      <c r="F482" s="51">
        <v>10000</v>
      </c>
      <c r="H482" s="50" t="s">
        <v>326</v>
      </c>
      <c r="I482" s="48" t="s">
        <v>639</v>
      </c>
      <c r="J482" s="49" t="s">
        <v>713</v>
      </c>
      <c r="K482" s="48" t="s">
        <v>714</v>
      </c>
      <c r="L482" s="49"/>
      <c r="N482" s="44"/>
      <c r="O482" s="77">
        <v>0</v>
      </c>
      <c r="P482" s="77">
        <v>0</v>
      </c>
      <c r="Q482" s="77">
        <v>0</v>
      </c>
      <c r="R482" s="77">
        <v>0</v>
      </c>
      <c r="S482" s="64">
        <v>0</v>
      </c>
      <c r="T482" s="64">
        <v>0</v>
      </c>
      <c r="U482" s="64">
        <v>0</v>
      </c>
      <c r="V482" s="64">
        <v>0</v>
      </c>
      <c r="W482" s="63">
        <v>0</v>
      </c>
      <c r="X482" s="63">
        <v>0</v>
      </c>
      <c r="Y482" s="63">
        <v>0</v>
      </c>
      <c r="Z482" s="63">
        <v>0</v>
      </c>
      <c r="AA482" s="78">
        <v>0</v>
      </c>
      <c r="AB482" s="78">
        <v>0</v>
      </c>
      <c r="AC482" s="78">
        <v>0</v>
      </c>
      <c r="AD482" s="78">
        <v>0</v>
      </c>
      <c r="AE482" s="48">
        <v>200101</v>
      </c>
      <c r="AF482" s="49">
        <v>200102</v>
      </c>
      <c r="AG482" s="49">
        <v>200105</v>
      </c>
      <c r="AH482" s="49">
        <v>201001</v>
      </c>
      <c r="AI482" s="49">
        <v>200305</v>
      </c>
      <c r="AJ482" s="49">
        <v>200306</v>
      </c>
      <c r="AK482" s="49">
        <v>200307</v>
      </c>
      <c r="AL482" s="49">
        <v>200308</v>
      </c>
      <c r="AM482" s="49">
        <v>200309</v>
      </c>
      <c r="AN482" s="49"/>
      <c r="AU482" s="62">
        <v>1</v>
      </c>
      <c r="AV482" s="51">
        <v>1</v>
      </c>
      <c r="AW482" s="51">
        <v>1</v>
      </c>
      <c r="AX482" s="51">
        <v>1</v>
      </c>
      <c r="AY482" s="51">
        <v>1</v>
      </c>
      <c r="AZ482" s="51">
        <v>1</v>
      </c>
      <c r="BA482" s="51">
        <v>1</v>
      </c>
      <c r="BB482" s="51">
        <v>1</v>
      </c>
      <c r="BC482" s="51">
        <v>1</v>
      </c>
      <c r="BK482" s="62">
        <v>300</v>
      </c>
      <c r="BL482" s="51">
        <v>200</v>
      </c>
      <c r="BM482" s="51">
        <v>50</v>
      </c>
      <c r="BN482" s="51">
        <v>30</v>
      </c>
      <c r="BO482" s="51">
        <v>10</v>
      </c>
      <c r="BP482" s="51">
        <v>20</v>
      </c>
      <c r="BQ482" s="51">
        <v>100</v>
      </c>
      <c r="BR482" s="51">
        <v>50</v>
      </c>
      <c r="BS482" s="51">
        <v>80</v>
      </c>
      <c r="CA482" s="51">
        <v>840</v>
      </c>
      <c r="CB482" s="51">
        <v>840</v>
      </c>
      <c r="CC482" s="51">
        <v>0</v>
      </c>
      <c r="CD482" s="51">
        <v>0</v>
      </c>
      <c r="CE482" s="51">
        <v>0</v>
      </c>
      <c r="CF482" s="44">
        <v>125506</v>
      </c>
      <c r="CG482" s="51">
        <v>1</v>
      </c>
      <c r="CH482" s="51">
        <v>1</v>
      </c>
      <c r="CI482" s="51">
        <v>1</v>
      </c>
      <c r="CJ482" s="51">
        <v>0</v>
      </c>
      <c r="CK482" s="51">
        <v>0</v>
      </c>
      <c r="CL482" s="51">
        <v>0</v>
      </c>
      <c r="CM482" s="51">
        <v>0</v>
      </c>
      <c r="CN482" s="51">
        <v>0</v>
      </c>
      <c r="CO482" s="51">
        <v>0</v>
      </c>
      <c r="CP482" s="51">
        <v>0</v>
      </c>
      <c r="CQ482" s="51">
        <v>0</v>
      </c>
      <c r="CR482" s="51">
        <v>0</v>
      </c>
    </row>
    <row r="483" s="51" customFormat="1" customHeight="1" spans="2:84">
      <c r="B483" s="48"/>
      <c r="H483" s="44"/>
      <c r="I483" s="48"/>
      <c r="J483" s="49"/>
      <c r="K483" s="48"/>
      <c r="L483" s="49"/>
      <c r="N483" s="44"/>
      <c r="O483" s="77"/>
      <c r="P483" s="77"/>
      <c r="Q483" s="77"/>
      <c r="R483" s="77"/>
      <c r="S483" s="64"/>
      <c r="T483" s="64"/>
      <c r="U483" s="64"/>
      <c r="V483" s="64"/>
      <c r="W483" s="63"/>
      <c r="X483" s="63"/>
      <c r="Y483" s="63"/>
      <c r="Z483" s="63"/>
      <c r="AA483" s="78"/>
      <c r="AB483" s="78"/>
      <c r="AC483" s="78"/>
      <c r="AD483" s="78"/>
      <c r="AE483" s="80" t="s">
        <v>715</v>
      </c>
      <c r="AF483" s="117" t="s">
        <v>716</v>
      </c>
      <c r="AG483" s="117" t="s">
        <v>717</v>
      </c>
      <c r="AH483" s="117" t="s">
        <v>718</v>
      </c>
      <c r="AI483" s="117" t="s">
        <v>720</v>
      </c>
      <c r="AJ483" s="117" t="s">
        <v>721</v>
      </c>
      <c r="AK483" s="117" t="s">
        <v>722</v>
      </c>
      <c r="AL483" s="117" t="s">
        <v>723</v>
      </c>
      <c r="AM483" s="117" t="s">
        <v>724</v>
      </c>
      <c r="AN483" s="49"/>
      <c r="AU483" s="62"/>
      <c r="BK483" s="87" t="s">
        <v>715</v>
      </c>
      <c r="BL483" s="117" t="s">
        <v>716</v>
      </c>
      <c r="BM483" s="117" t="s">
        <v>717</v>
      </c>
      <c r="BN483" s="117" t="s">
        <v>718</v>
      </c>
      <c r="BO483" s="117" t="s">
        <v>720</v>
      </c>
      <c r="BP483" s="117" t="s">
        <v>721</v>
      </c>
      <c r="BQ483" s="117" t="s">
        <v>722</v>
      </c>
      <c r="BR483" s="117" t="s">
        <v>723</v>
      </c>
      <c r="BS483" s="117" t="s">
        <v>724</v>
      </c>
      <c r="CF483" s="44"/>
    </row>
    <row r="484" s="51" customFormat="1" customHeight="1" spans="1:96">
      <c r="A484" s="51">
        <v>7038</v>
      </c>
      <c r="B484" s="79" t="s">
        <v>725</v>
      </c>
      <c r="C484" s="51">
        <v>2</v>
      </c>
      <c r="H484" s="50" t="s">
        <v>326</v>
      </c>
      <c r="I484" s="48" t="s">
        <v>639</v>
      </c>
      <c r="J484" s="49" t="s">
        <v>713</v>
      </c>
      <c r="K484" s="48" t="s">
        <v>714</v>
      </c>
      <c r="L484" s="49"/>
      <c r="N484" s="44"/>
      <c r="O484" s="77">
        <v>0</v>
      </c>
      <c r="P484" s="77">
        <v>0</v>
      </c>
      <c r="Q484" s="77">
        <v>0</v>
      </c>
      <c r="R484" s="77">
        <v>0</v>
      </c>
      <c r="S484" s="64">
        <v>0</v>
      </c>
      <c r="T484" s="64">
        <v>0</v>
      </c>
      <c r="U484" s="64">
        <v>0</v>
      </c>
      <c r="V484" s="64">
        <v>0</v>
      </c>
      <c r="W484" s="63">
        <v>0</v>
      </c>
      <c r="X484" s="63">
        <v>0</v>
      </c>
      <c r="Y484" s="63">
        <v>0</v>
      </c>
      <c r="Z484" s="63">
        <v>0</v>
      </c>
      <c r="AA484" s="78">
        <v>0</v>
      </c>
      <c r="AB484" s="78">
        <v>0</v>
      </c>
      <c r="AC484" s="78">
        <v>0</v>
      </c>
      <c r="AD484" s="78">
        <v>0</v>
      </c>
      <c r="AE484" s="48">
        <v>200101</v>
      </c>
      <c r="AF484" s="49">
        <v>200102</v>
      </c>
      <c r="AG484" s="49">
        <v>200859</v>
      </c>
      <c r="AH484" s="49"/>
      <c r="AI484" s="49"/>
      <c r="AJ484" s="49"/>
      <c r="AK484" s="49"/>
      <c r="AL484" s="49"/>
      <c r="AM484" s="49"/>
      <c r="AN484" s="49"/>
      <c r="AU484" s="62">
        <v>1</v>
      </c>
      <c r="AV484" s="51">
        <v>1</v>
      </c>
      <c r="AW484" s="51">
        <v>1</v>
      </c>
      <c r="BK484" s="62">
        <v>300</v>
      </c>
      <c r="BL484" s="51">
        <v>200</v>
      </c>
      <c r="BM484" s="51">
        <v>50</v>
      </c>
      <c r="CA484" s="51">
        <v>550</v>
      </c>
      <c r="CB484" s="51">
        <v>550</v>
      </c>
      <c r="CC484" s="51">
        <v>0</v>
      </c>
      <c r="CD484" s="51">
        <v>0</v>
      </c>
      <c r="CE484" s="51">
        <v>0</v>
      </c>
      <c r="CF484" s="44">
        <v>125507</v>
      </c>
      <c r="CG484" s="51">
        <v>1</v>
      </c>
      <c r="CH484" s="51">
        <v>1</v>
      </c>
      <c r="CI484" s="51">
        <v>1</v>
      </c>
      <c r="CJ484" s="51">
        <v>0</v>
      </c>
      <c r="CK484" s="51">
        <v>0</v>
      </c>
      <c r="CL484" s="51">
        <v>0</v>
      </c>
      <c r="CM484" s="51">
        <v>0</v>
      </c>
      <c r="CN484" s="51">
        <v>0</v>
      </c>
      <c r="CO484" s="51">
        <v>0</v>
      </c>
      <c r="CP484" s="51">
        <v>0</v>
      </c>
      <c r="CQ484" s="51">
        <v>0</v>
      </c>
      <c r="CR484" s="51">
        <v>0</v>
      </c>
    </row>
    <row r="485" s="51" customFormat="1" customHeight="1" spans="2:84">
      <c r="B485" s="44"/>
      <c r="H485" s="44"/>
      <c r="I485" s="48"/>
      <c r="J485" s="49"/>
      <c r="K485" s="48"/>
      <c r="L485" s="49"/>
      <c r="N485" s="44"/>
      <c r="O485" s="77"/>
      <c r="P485" s="77"/>
      <c r="Q485" s="77"/>
      <c r="R485" s="77"/>
      <c r="S485" s="64"/>
      <c r="T485" s="64"/>
      <c r="U485" s="64"/>
      <c r="V485" s="64"/>
      <c r="W485" s="63"/>
      <c r="X485" s="63"/>
      <c r="Y485" s="63"/>
      <c r="Z485" s="63"/>
      <c r="AA485" s="78"/>
      <c r="AB485" s="78"/>
      <c r="AC485" s="78"/>
      <c r="AD485" s="78"/>
      <c r="AE485" s="80" t="s">
        <v>715</v>
      </c>
      <c r="AF485" s="117" t="s">
        <v>716</v>
      </c>
      <c r="AG485" s="117" t="s">
        <v>726</v>
      </c>
      <c r="AH485" s="49"/>
      <c r="AI485" s="49"/>
      <c r="AJ485" s="49"/>
      <c r="AK485" s="49"/>
      <c r="AL485" s="49"/>
      <c r="AM485" s="49"/>
      <c r="AN485" s="49"/>
      <c r="AU485" s="62"/>
      <c r="BK485" s="87" t="s">
        <v>715</v>
      </c>
      <c r="BL485" s="117" t="s">
        <v>716</v>
      </c>
      <c r="BM485" s="117" t="s">
        <v>726</v>
      </c>
      <c r="BN485" s="49"/>
      <c r="CF485" s="44"/>
    </row>
    <row r="486" s="51" customFormat="1" customHeight="1" spans="1:96">
      <c r="A486" s="51">
        <v>7039</v>
      </c>
      <c r="B486" s="80" t="s">
        <v>727</v>
      </c>
      <c r="C486" s="51">
        <v>5</v>
      </c>
      <c r="H486" s="50" t="s">
        <v>326</v>
      </c>
      <c r="I486" s="48" t="s">
        <v>639</v>
      </c>
      <c r="J486" s="49" t="s">
        <v>713</v>
      </c>
      <c r="K486" s="48" t="s">
        <v>714</v>
      </c>
      <c r="L486" s="49"/>
      <c r="N486" s="44"/>
      <c r="O486" s="77">
        <v>0</v>
      </c>
      <c r="P486" s="77">
        <v>0</v>
      </c>
      <c r="Q486" s="77">
        <v>0</v>
      </c>
      <c r="R486" s="77">
        <v>0</v>
      </c>
      <c r="S486" s="64">
        <v>0</v>
      </c>
      <c r="T486" s="64">
        <v>0</v>
      </c>
      <c r="U486" s="64">
        <v>0</v>
      </c>
      <c r="V486" s="64">
        <v>0</v>
      </c>
      <c r="W486" s="63">
        <v>0</v>
      </c>
      <c r="X486" s="63">
        <v>0</v>
      </c>
      <c r="Y486" s="63">
        <v>0</v>
      </c>
      <c r="Z486" s="63">
        <v>0</v>
      </c>
      <c r="AA486" s="78">
        <v>0</v>
      </c>
      <c r="AB486" s="78">
        <v>0</v>
      </c>
      <c r="AC486" s="78">
        <v>0</v>
      </c>
      <c r="AD486" s="78">
        <v>0</v>
      </c>
      <c r="AE486" s="48">
        <v>200101</v>
      </c>
      <c r="AF486" s="49">
        <v>200102</v>
      </c>
      <c r="AG486" s="49">
        <v>200859</v>
      </c>
      <c r="AH486" s="49">
        <v>200305</v>
      </c>
      <c r="AI486" s="49">
        <v>200306</v>
      </c>
      <c r="AJ486" s="49">
        <v>200307</v>
      </c>
      <c r="AK486" s="49">
        <v>200308</v>
      </c>
      <c r="AL486" s="49">
        <v>200309</v>
      </c>
      <c r="AM486" s="49"/>
      <c r="AN486" s="49"/>
      <c r="AU486" s="62">
        <v>1</v>
      </c>
      <c r="AV486" s="51">
        <v>1</v>
      </c>
      <c r="AW486" s="51">
        <v>1</v>
      </c>
      <c r="AX486" s="51">
        <v>1</v>
      </c>
      <c r="AY486" s="51">
        <v>1</v>
      </c>
      <c r="AZ486" s="51">
        <v>1</v>
      </c>
      <c r="BA486" s="51">
        <v>1</v>
      </c>
      <c r="BB486" s="51">
        <v>1</v>
      </c>
      <c r="BK486" s="62">
        <v>300</v>
      </c>
      <c r="BL486" s="51">
        <v>200</v>
      </c>
      <c r="BM486" s="51">
        <v>30</v>
      </c>
      <c r="BN486" s="51">
        <v>20</v>
      </c>
      <c r="BO486" s="51">
        <v>10</v>
      </c>
      <c r="BP486" s="51">
        <v>100</v>
      </c>
      <c r="BQ486" s="51">
        <v>50</v>
      </c>
      <c r="BR486" s="51">
        <v>60</v>
      </c>
      <c r="CA486" s="51">
        <v>770</v>
      </c>
      <c r="CB486" s="51">
        <v>770</v>
      </c>
      <c r="CC486" s="51">
        <v>0</v>
      </c>
      <c r="CD486" s="51">
        <v>0</v>
      </c>
      <c r="CE486" s="51">
        <v>0</v>
      </c>
      <c r="CF486" s="44">
        <v>125508</v>
      </c>
      <c r="CG486" s="51">
        <v>1</v>
      </c>
      <c r="CH486" s="51">
        <v>1</v>
      </c>
      <c r="CI486" s="51">
        <v>1</v>
      </c>
      <c r="CJ486" s="51">
        <v>0</v>
      </c>
      <c r="CK486" s="51">
        <v>0</v>
      </c>
      <c r="CL486" s="51">
        <v>0</v>
      </c>
      <c r="CM486" s="51">
        <v>0</v>
      </c>
      <c r="CN486" s="51">
        <v>0</v>
      </c>
      <c r="CO486" s="51">
        <v>0</v>
      </c>
      <c r="CP486" s="51">
        <v>0</v>
      </c>
      <c r="CQ486" s="51">
        <v>0</v>
      </c>
      <c r="CR486" s="51">
        <v>0</v>
      </c>
    </row>
    <row r="487" s="51" customFormat="1" customHeight="1" spans="2:84">
      <c r="B487" s="48"/>
      <c r="H487" s="44"/>
      <c r="I487" s="48"/>
      <c r="J487" s="49"/>
      <c r="K487" s="48"/>
      <c r="L487" s="49"/>
      <c r="N487" s="44"/>
      <c r="O487" s="77"/>
      <c r="P487" s="77"/>
      <c r="Q487" s="77"/>
      <c r="R487" s="77"/>
      <c r="S487" s="64"/>
      <c r="T487" s="64"/>
      <c r="U487" s="64"/>
      <c r="V487" s="64"/>
      <c r="W487" s="63"/>
      <c r="X487" s="63"/>
      <c r="Y487" s="63"/>
      <c r="Z487" s="63"/>
      <c r="AA487" s="78"/>
      <c r="AB487" s="78"/>
      <c r="AC487" s="78"/>
      <c r="AD487" s="78"/>
      <c r="AE487" s="80" t="s">
        <v>715</v>
      </c>
      <c r="AF487" s="117" t="s">
        <v>716</v>
      </c>
      <c r="AG487" s="117" t="s">
        <v>728</v>
      </c>
      <c r="AH487" s="117" t="s">
        <v>720</v>
      </c>
      <c r="AI487" s="117" t="s">
        <v>721</v>
      </c>
      <c r="AJ487" s="117" t="s">
        <v>722</v>
      </c>
      <c r="AK487" s="117" t="s">
        <v>723</v>
      </c>
      <c r="AL487" s="117" t="s">
        <v>724</v>
      </c>
      <c r="AM487" s="49"/>
      <c r="AN487" s="49"/>
      <c r="AU487" s="62"/>
      <c r="BK487" s="87" t="s">
        <v>715</v>
      </c>
      <c r="BL487" s="117" t="s">
        <v>716</v>
      </c>
      <c r="BM487" s="117" t="s">
        <v>728</v>
      </c>
      <c r="BN487" s="117" t="s">
        <v>720</v>
      </c>
      <c r="BO487" s="117" t="s">
        <v>721</v>
      </c>
      <c r="BP487" s="117" t="s">
        <v>722</v>
      </c>
      <c r="BQ487" s="117" t="s">
        <v>723</v>
      </c>
      <c r="BR487" s="117" t="s">
        <v>724</v>
      </c>
      <c r="CF487" s="44"/>
    </row>
    <row r="488" s="58" customFormat="1" customHeight="1" spans="1:101">
      <c r="A488" s="58">
        <v>7100</v>
      </c>
      <c r="B488" s="135" t="s">
        <v>729</v>
      </c>
      <c r="N488" s="44"/>
      <c r="O488" s="77">
        <v>0</v>
      </c>
      <c r="P488" s="77">
        <v>0</v>
      </c>
      <c r="Q488" s="77">
        <v>0</v>
      </c>
      <c r="R488" s="77">
        <v>0</v>
      </c>
      <c r="S488" s="64">
        <v>0</v>
      </c>
      <c r="T488" s="64">
        <v>0</v>
      </c>
      <c r="U488" s="64">
        <v>0</v>
      </c>
      <c r="V488" s="64">
        <v>0</v>
      </c>
      <c r="W488" s="63">
        <v>0</v>
      </c>
      <c r="X488" s="63">
        <v>0</v>
      </c>
      <c r="Y488" s="63">
        <v>0</v>
      </c>
      <c r="Z488" s="63">
        <v>0</v>
      </c>
      <c r="AA488" s="78">
        <v>0</v>
      </c>
      <c r="AB488" s="78">
        <v>0</v>
      </c>
      <c r="AC488" s="78">
        <v>0</v>
      </c>
      <c r="AD488" s="78">
        <v>0</v>
      </c>
      <c r="AE488" s="48">
        <v>200051</v>
      </c>
      <c r="AU488" s="62">
        <v>1</v>
      </c>
      <c r="BK488" s="62">
        <v>100</v>
      </c>
      <c r="CA488" s="58">
        <v>100</v>
      </c>
      <c r="CB488" s="58">
        <v>100</v>
      </c>
      <c r="CC488" s="58">
        <v>0</v>
      </c>
      <c r="CD488" s="58">
        <v>0</v>
      </c>
      <c r="CE488" s="58">
        <v>0</v>
      </c>
      <c r="CF488" s="58">
        <v>0</v>
      </c>
      <c r="CG488" s="58">
        <v>1</v>
      </c>
      <c r="CH488" s="58">
        <v>0</v>
      </c>
      <c r="CI488" s="58">
        <v>1</v>
      </c>
      <c r="CJ488" s="58">
        <v>0</v>
      </c>
      <c r="CK488" s="58">
        <v>0</v>
      </c>
      <c r="CL488" s="58">
        <v>0</v>
      </c>
      <c r="CM488" s="58">
        <v>0</v>
      </c>
      <c r="CN488" s="58">
        <v>0</v>
      </c>
      <c r="CO488" s="58">
        <v>0</v>
      </c>
      <c r="CP488" s="58">
        <v>0</v>
      </c>
      <c r="CQ488" s="58">
        <v>1</v>
      </c>
      <c r="CR488" s="58">
        <v>0</v>
      </c>
      <c r="CV488" s="58">
        <v>0</v>
      </c>
      <c r="CW488" s="58">
        <v>0</v>
      </c>
    </row>
    <row r="489" s="51" customFormat="1" customHeight="1" spans="1:101">
      <c r="A489" s="51">
        <v>7101</v>
      </c>
      <c r="B489" s="123" t="s">
        <v>730</v>
      </c>
      <c r="N489" s="44"/>
      <c r="O489" s="77">
        <v>0</v>
      </c>
      <c r="P489" s="77">
        <v>0</v>
      </c>
      <c r="Q489" s="77">
        <v>0</v>
      </c>
      <c r="R489" s="77">
        <v>0</v>
      </c>
      <c r="S489" s="64">
        <v>0</v>
      </c>
      <c r="T489" s="64">
        <v>0</v>
      </c>
      <c r="U489" s="64">
        <v>0</v>
      </c>
      <c r="V489" s="64">
        <v>0</v>
      </c>
      <c r="W489" s="63">
        <v>0</v>
      </c>
      <c r="X489" s="63">
        <v>0</v>
      </c>
      <c r="Y489" s="63">
        <v>0</v>
      </c>
      <c r="Z489" s="63">
        <v>0</v>
      </c>
      <c r="AA489" s="78">
        <v>0</v>
      </c>
      <c r="AB489" s="78">
        <v>0</v>
      </c>
      <c r="AC489" s="78">
        <v>0</v>
      </c>
      <c r="AD489" s="78">
        <v>0</v>
      </c>
      <c r="AE489" s="48">
        <v>200801</v>
      </c>
      <c r="AU489" s="62">
        <v>1</v>
      </c>
      <c r="BK489" s="62">
        <v>100</v>
      </c>
      <c r="CA489" s="51">
        <v>100</v>
      </c>
      <c r="CB489" s="51">
        <v>100</v>
      </c>
      <c r="CC489" s="51">
        <v>0</v>
      </c>
      <c r="CD489" s="51">
        <v>0</v>
      </c>
      <c r="CE489" s="51">
        <v>0</v>
      </c>
      <c r="CF489" s="51">
        <v>0</v>
      </c>
      <c r="CG489" s="51">
        <v>1</v>
      </c>
      <c r="CH489" s="51">
        <v>0</v>
      </c>
      <c r="CI489" s="51">
        <v>1</v>
      </c>
      <c r="CJ489" s="51">
        <v>0</v>
      </c>
      <c r="CK489" s="51">
        <v>0</v>
      </c>
      <c r="CL489" s="51">
        <v>0</v>
      </c>
      <c r="CM489" s="51">
        <v>0</v>
      </c>
      <c r="CN489" s="51">
        <v>0</v>
      </c>
      <c r="CO489" s="51">
        <v>0</v>
      </c>
      <c r="CP489" s="51">
        <v>0</v>
      </c>
      <c r="CQ489" s="51">
        <v>1</v>
      </c>
      <c r="CR489" s="51">
        <v>0</v>
      </c>
      <c r="CV489" s="51">
        <v>0</v>
      </c>
      <c r="CW489" s="51">
        <v>0</v>
      </c>
    </row>
    <row r="490" s="51" customFormat="1" customHeight="1" spans="1:101">
      <c r="A490" s="51">
        <v>7102</v>
      </c>
      <c r="B490" s="123" t="s">
        <v>731</v>
      </c>
      <c r="N490" s="44"/>
      <c r="O490" s="77">
        <v>0</v>
      </c>
      <c r="P490" s="77">
        <v>0</v>
      </c>
      <c r="Q490" s="77">
        <v>0</v>
      </c>
      <c r="R490" s="77">
        <v>0</v>
      </c>
      <c r="S490" s="64">
        <v>0</v>
      </c>
      <c r="T490" s="64">
        <v>0</v>
      </c>
      <c r="U490" s="64">
        <v>0</v>
      </c>
      <c r="V490" s="64">
        <v>0</v>
      </c>
      <c r="W490" s="63">
        <v>0</v>
      </c>
      <c r="X490" s="63">
        <v>0</v>
      </c>
      <c r="Y490" s="63">
        <v>0</v>
      </c>
      <c r="Z490" s="63">
        <v>0</v>
      </c>
      <c r="AA490" s="78">
        <v>0</v>
      </c>
      <c r="AB490" s="78">
        <v>0</v>
      </c>
      <c r="AC490" s="78">
        <v>0</v>
      </c>
      <c r="AD490" s="78">
        <v>0</v>
      </c>
      <c r="AE490" s="48">
        <v>200802</v>
      </c>
      <c r="AU490" s="62">
        <v>1</v>
      </c>
      <c r="BK490" s="62">
        <v>100</v>
      </c>
      <c r="CA490" s="51">
        <v>100</v>
      </c>
      <c r="CB490" s="51">
        <v>100</v>
      </c>
      <c r="CC490" s="51">
        <v>0</v>
      </c>
      <c r="CD490" s="51">
        <v>0</v>
      </c>
      <c r="CE490" s="51">
        <v>0</v>
      </c>
      <c r="CF490" s="51">
        <v>0</v>
      </c>
      <c r="CG490" s="51">
        <v>1</v>
      </c>
      <c r="CH490" s="51">
        <v>0</v>
      </c>
      <c r="CI490" s="51">
        <v>1</v>
      </c>
      <c r="CJ490" s="51">
        <v>0</v>
      </c>
      <c r="CK490" s="51">
        <v>0</v>
      </c>
      <c r="CL490" s="51">
        <v>0</v>
      </c>
      <c r="CM490" s="51">
        <v>0</v>
      </c>
      <c r="CN490" s="51">
        <v>0</v>
      </c>
      <c r="CO490" s="51">
        <v>0</v>
      </c>
      <c r="CP490" s="51">
        <v>0</v>
      </c>
      <c r="CQ490" s="51">
        <v>1</v>
      </c>
      <c r="CR490" s="51">
        <v>0</v>
      </c>
      <c r="CV490" s="51">
        <v>0</v>
      </c>
      <c r="CW490" s="51">
        <v>0</v>
      </c>
    </row>
    <row r="491" s="49" customFormat="1" customHeight="1" spans="1:101">
      <c r="A491" s="49">
        <v>7103</v>
      </c>
      <c r="B491" s="117" t="s">
        <v>732</v>
      </c>
      <c r="N491" s="44"/>
      <c r="O491" s="77">
        <v>0</v>
      </c>
      <c r="P491" s="77">
        <v>0</v>
      </c>
      <c r="Q491" s="77">
        <v>0</v>
      </c>
      <c r="R491" s="77">
        <v>0</v>
      </c>
      <c r="S491" s="64">
        <v>0</v>
      </c>
      <c r="T491" s="64">
        <v>0</v>
      </c>
      <c r="U491" s="64">
        <v>0</v>
      </c>
      <c r="V491" s="64">
        <v>0</v>
      </c>
      <c r="W491" s="63">
        <v>0</v>
      </c>
      <c r="X491" s="63">
        <v>0</v>
      </c>
      <c r="Y491" s="63">
        <v>0</v>
      </c>
      <c r="Z491" s="63">
        <v>0</v>
      </c>
      <c r="AA491" s="78">
        <v>0</v>
      </c>
      <c r="AB491" s="78">
        <v>0</v>
      </c>
      <c r="AC491" s="78">
        <v>0</v>
      </c>
      <c r="AD491" s="78">
        <v>0</v>
      </c>
      <c r="AE491" s="48">
        <v>200803</v>
      </c>
      <c r="AU491" s="62">
        <v>1</v>
      </c>
      <c r="BK491" s="62">
        <v>100</v>
      </c>
      <c r="CA491" s="49">
        <v>100</v>
      </c>
      <c r="CB491" s="49">
        <v>100</v>
      </c>
      <c r="CC491" s="49">
        <v>0</v>
      </c>
      <c r="CD491" s="49">
        <v>0</v>
      </c>
      <c r="CE491" s="49">
        <v>0</v>
      </c>
      <c r="CF491" s="49">
        <v>0</v>
      </c>
      <c r="CG491" s="49">
        <v>1</v>
      </c>
      <c r="CH491" s="49">
        <v>0</v>
      </c>
      <c r="CI491" s="49">
        <v>1</v>
      </c>
      <c r="CJ491" s="49">
        <v>0</v>
      </c>
      <c r="CK491" s="49">
        <v>0</v>
      </c>
      <c r="CL491" s="49">
        <v>0</v>
      </c>
      <c r="CM491" s="49">
        <v>0</v>
      </c>
      <c r="CN491" s="49">
        <v>0</v>
      </c>
      <c r="CO491" s="49">
        <v>0</v>
      </c>
      <c r="CP491" s="49">
        <v>0</v>
      </c>
      <c r="CQ491" s="49">
        <v>1</v>
      </c>
      <c r="CR491" s="49">
        <v>0</v>
      </c>
      <c r="CV491" s="49">
        <v>0</v>
      </c>
      <c r="CW491" s="49">
        <v>0</v>
      </c>
    </row>
    <row r="492" s="49" customFormat="1" customHeight="1" spans="1:101">
      <c r="A492" s="49">
        <v>7104</v>
      </c>
      <c r="B492" s="117" t="s">
        <v>733</v>
      </c>
      <c r="N492" s="44"/>
      <c r="O492" s="77">
        <v>0</v>
      </c>
      <c r="P492" s="77">
        <v>0</v>
      </c>
      <c r="Q492" s="77">
        <v>0</v>
      </c>
      <c r="R492" s="77">
        <v>0</v>
      </c>
      <c r="S492" s="64">
        <v>0</v>
      </c>
      <c r="T492" s="64">
        <v>0</v>
      </c>
      <c r="U492" s="64">
        <v>0</v>
      </c>
      <c r="V492" s="64">
        <v>0</v>
      </c>
      <c r="W492" s="63">
        <v>0</v>
      </c>
      <c r="X492" s="63">
        <v>0</v>
      </c>
      <c r="Y492" s="63">
        <v>0</v>
      </c>
      <c r="Z492" s="63">
        <v>0</v>
      </c>
      <c r="AA492" s="78">
        <v>0</v>
      </c>
      <c r="AB492" s="78">
        <v>0</v>
      </c>
      <c r="AC492" s="78">
        <v>0</v>
      </c>
      <c r="AD492" s="78">
        <v>0</v>
      </c>
      <c r="AE492" s="48">
        <v>200804</v>
      </c>
      <c r="AU492" s="62">
        <v>1</v>
      </c>
      <c r="BK492" s="62">
        <v>100</v>
      </c>
      <c r="CA492" s="49">
        <v>100</v>
      </c>
      <c r="CB492" s="49">
        <v>100</v>
      </c>
      <c r="CC492" s="49">
        <v>0</v>
      </c>
      <c r="CD492" s="49">
        <v>0</v>
      </c>
      <c r="CE492" s="49">
        <v>0</v>
      </c>
      <c r="CF492" s="49">
        <v>0</v>
      </c>
      <c r="CG492" s="49">
        <v>1</v>
      </c>
      <c r="CH492" s="49">
        <v>0</v>
      </c>
      <c r="CI492" s="49">
        <v>1</v>
      </c>
      <c r="CJ492" s="49">
        <v>0</v>
      </c>
      <c r="CK492" s="49">
        <v>0</v>
      </c>
      <c r="CL492" s="49">
        <v>0</v>
      </c>
      <c r="CM492" s="49">
        <v>0</v>
      </c>
      <c r="CN492" s="49">
        <v>0</v>
      </c>
      <c r="CO492" s="49">
        <v>0</v>
      </c>
      <c r="CP492" s="49">
        <v>0</v>
      </c>
      <c r="CQ492" s="49">
        <v>1</v>
      </c>
      <c r="CR492" s="49">
        <v>0</v>
      </c>
      <c r="CV492" s="49">
        <v>0</v>
      </c>
      <c r="CW492" s="49">
        <v>0</v>
      </c>
    </row>
    <row r="493" s="51" customFormat="1" customHeight="1" spans="1:101">
      <c r="A493" s="51">
        <v>7105</v>
      </c>
      <c r="B493" s="123" t="s">
        <v>734</v>
      </c>
      <c r="N493" s="44"/>
      <c r="O493" s="77">
        <v>0</v>
      </c>
      <c r="P493" s="77">
        <v>0</v>
      </c>
      <c r="Q493" s="77">
        <v>0</v>
      </c>
      <c r="R493" s="77">
        <v>0</v>
      </c>
      <c r="S493" s="64">
        <v>0</v>
      </c>
      <c r="T493" s="64">
        <v>0</v>
      </c>
      <c r="U493" s="64">
        <v>0</v>
      </c>
      <c r="V493" s="64">
        <v>0</v>
      </c>
      <c r="W493" s="63">
        <v>0</v>
      </c>
      <c r="X493" s="63">
        <v>0</v>
      </c>
      <c r="Y493" s="63">
        <v>0</v>
      </c>
      <c r="Z493" s="63">
        <v>0</v>
      </c>
      <c r="AA493" s="78">
        <v>0</v>
      </c>
      <c r="AB493" s="78">
        <v>0</v>
      </c>
      <c r="AC493" s="78">
        <v>0</v>
      </c>
      <c r="AD493" s="78">
        <v>0</v>
      </c>
      <c r="AE493" s="48">
        <v>200805</v>
      </c>
      <c r="AU493" s="62">
        <v>1</v>
      </c>
      <c r="BK493" s="62">
        <v>100</v>
      </c>
      <c r="CA493" s="51">
        <v>100</v>
      </c>
      <c r="CB493" s="51">
        <v>100</v>
      </c>
      <c r="CC493" s="51">
        <v>0</v>
      </c>
      <c r="CD493" s="51">
        <v>0</v>
      </c>
      <c r="CE493" s="51">
        <v>0</v>
      </c>
      <c r="CF493" s="51">
        <v>0</v>
      </c>
      <c r="CG493" s="51">
        <v>1</v>
      </c>
      <c r="CH493" s="51">
        <v>0</v>
      </c>
      <c r="CI493" s="51">
        <v>1</v>
      </c>
      <c r="CJ493" s="51">
        <v>0</v>
      </c>
      <c r="CK493" s="51">
        <v>0</v>
      </c>
      <c r="CL493" s="51">
        <v>0</v>
      </c>
      <c r="CM493" s="51">
        <v>0</v>
      </c>
      <c r="CN493" s="51">
        <v>0</v>
      </c>
      <c r="CO493" s="51">
        <v>0</v>
      </c>
      <c r="CP493" s="51">
        <v>0</v>
      </c>
      <c r="CQ493" s="51">
        <v>1</v>
      </c>
      <c r="CR493" s="51">
        <v>0</v>
      </c>
      <c r="CV493" s="51">
        <v>0</v>
      </c>
      <c r="CW493" s="51">
        <v>0</v>
      </c>
    </row>
    <row r="494" s="51" customFormat="1" customHeight="1" spans="1:101">
      <c r="A494" s="51">
        <v>7106</v>
      </c>
      <c r="B494" s="123" t="s">
        <v>735</v>
      </c>
      <c r="N494" s="44"/>
      <c r="O494" s="77">
        <v>0</v>
      </c>
      <c r="P494" s="77">
        <v>0</v>
      </c>
      <c r="Q494" s="77">
        <v>0</v>
      </c>
      <c r="R494" s="77">
        <v>0</v>
      </c>
      <c r="S494" s="64">
        <v>0</v>
      </c>
      <c r="T494" s="64">
        <v>0</v>
      </c>
      <c r="U494" s="64">
        <v>0</v>
      </c>
      <c r="V494" s="64">
        <v>0</v>
      </c>
      <c r="W494" s="63">
        <v>0</v>
      </c>
      <c r="X494" s="63">
        <v>0</v>
      </c>
      <c r="Y494" s="63">
        <v>0</v>
      </c>
      <c r="Z494" s="63">
        <v>0</v>
      </c>
      <c r="AA494" s="78">
        <v>0</v>
      </c>
      <c r="AB494" s="78">
        <v>0</v>
      </c>
      <c r="AC494" s="78">
        <v>0</v>
      </c>
      <c r="AD494" s="78">
        <v>0</v>
      </c>
      <c r="AE494" s="48">
        <v>200806</v>
      </c>
      <c r="AU494" s="62">
        <v>1</v>
      </c>
      <c r="BK494" s="62">
        <v>100</v>
      </c>
      <c r="CA494" s="51">
        <v>100</v>
      </c>
      <c r="CB494" s="51">
        <v>100</v>
      </c>
      <c r="CC494" s="51">
        <v>0</v>
      </c>
      <c r="CD494" s="51">
        <v>0</v>
      </c>
      <c r="CE494" s="51">
        <v>0</v>
      </c>
      <c r="CF494" s="51">
        <v>0</v>
      </c>
      <c r="CG494" s="51">
        <v>1</v>
      </c>
      <c r="CH494" s="51">
        <v>0</v>
      </c>
      <c r="CI494" s="51">
        <v>1</v>
      </c>
      <c r="CJ494" s="51">
        <v>0</v>
      </c>
      <c r="CK494" s="51">
        <v>0</v>
      </c>
      <c r="CL494" s="51">
        <v>0</v>
      </c>
      <c r="CM494" s="51">
        <v>0</v>
      </c>
      <c r="CN494" s="51">
        <v>0</v>
      </c>
      <c r="CO494" s="51">
        <v>0</v>
      </c>
      <c r="CP494" s="51">
        <v>0</v>
      </c>
      <c r="CQ494" s="51">
        <v>1</v>
      </c>
      <c r="CR494" s="51">
        <v>0</v>
      </c>
      <c r="CV494" s="51">
        <v>0</v>
      </c>
      <c r="CW494" s="51">
        <v>0</v>
      </c>
    </row>
    <row r="495" s="49" customFormat="1" customHeight="1" spans="1:101">
      <c r="A495" s="49">
        <v>7107</v>
      </c>
      <c r="B495" s="117" t="s">
        <v>736</v>
      </c>
      <c r="N495" s="44"/>
      <c r="O495" s="77">
        <v>0</v>
      </c>
      <c r="P495" s="77">
        <v>0</v>
      </c>
      <c r="Q495" s="77">
        <v>0</v>
      </c>
      <c r="R495" s="77">
        <v>0</v>
      </c>
      <c r="S495" s="64">
        <v>0</v>
      </c>
      <c r="T495" s="64">
        <v>0</v>
      </c>
      <c r="U495" s="64">
        <v>0</v>
      </c>
      <c r="V495" s="64">
        <v>0</v>
      </c>
      <c r="W495" s="63">
        <v>0</v>
      </c>
      <c r="X495" s="63">
        <v>0</v>
      </c>
      <c r="Y495" s="63">
        <v>0</v>
      </c>
      <c r="Z495" s="63">
        <v>0</v>
      </c>
      <c r="AA495" s="78">
        <v>0</v>
      </c>
      <c r="AB495" s="78">
        <v>0</v>
      </c>
      <c r="AC495" s="78">
        <v>0</v>
      </c>
      <c r="AD495" s="78">
        <v>0</v>
      </c>
      <c r="AE495" s="48">
        <v>200807</v>
      </c>
      <c r="AU495" s="62">
        <v>1</v>
      </c>
      <c r="BK495" s="62">
        <v>100</v>
      </c>
      <c r="CA495" s="49">
        <v>100</v>
      </c>
      <c r="CB495" s="49">
        <v>100</v>
      </c>
      <c r="CC495" s="49">
        <v>0</v>
      </c>
      <c r="CD495" s="49">
        <v>0</v>
      </c>
      <c r="CE495" s="49">
        <v>0</v>
      </c>
      <c r="CF495" s="49">
        <v>0</v>
      </c>
      <c r="CG495" s="49">
        <v>1</v>
      </c>
      <c r="CH495" s="49">
        <v>0</v>
      </c>
      <c r="CI495" s="49">
        <v>1</v>
      </c>
      <c r="CJ495" s="49">
        <v>0</v>
      </c>
      <c r="CK495" s="49">
        <v>0</v>
      </c>
      <c r="CL495" s="49">
        <v>0</v>
      </c>
      <c r="CM495" s="49">
        <v>0</v>
      </c>
      <c r="CN495" s="49">
        <v>0</v>
      </c>
      <c r="CO495" s="49">
        <v>0</v>
      </c>
      <c r="CP495" s="49">
        <v>0</v>
      </c>
      <c r="CQ495" s="49">
        <v>1</v>
      </c>
      <c r="CR495" s="49">
        <v>0</v>
      </c>
      <c r="CV495" s="49">
        <v>0</v>
      </c>
      <c r="CW495" s="49">
        <v>0</v>
      </c>
    </row>
    <row r="496" s="51" customFormat="1" customHeight="1" spans="1:101">
      <c r="A496" s="51">
        <v>7108</v>
      </c>
      <c r="B496" s="123" t="s">
        <v>737</v>
      </c>
      <c r="N496" s="44"/>
      <c r="O496" s="77">
        <v>0</v>
      </c>
      <c r="P496" s="77">
        <v>0</v>
      </c>
      <c r="Q496" s="77">
        <v>0</v>
      </c>
      <c r="R496" s="77">
        <v>0</v>
      </c>
      <c r="S496" s="64">
        <v>0</v>
      </c>
      <c r="T496" s="64">
        <v>0</v>
      </c>
      <c r="U496" s="64">
        <v>0</v>
      </c>
      <c r="V496" s="64">
        <v>0</v>
      </c>
      <c r="W496" s="63">
        <v>0</v>
      </c>
      <c r="X496" s="63">
        <v>0</v>
      </c>
      <c r="Y496" s="63">
        <v>0</v>
      </c>
      <c r="Z496" s="63">
        <v>0</v>
      </c>
      <c r="AA496" s="78">
        <v>0</v>
      </c>
      <c r="AB496" s="78">
        <v>0</v>
      </c>
      <c r="AC496" s="78">
        <v>0</v>
      </c>
      <c r="AD496" s="78">
        <v>0</v>
      </c>
      <c r="AE496" s="48">
        <v>200808</v>
      </c>
      <c r="AU496" s="62">
        <v>1</v>
      </c>
      <c r="BK496" s="62">
        <v>100</v>
      </c>
      <c r="CA496" s="51">
        <v>100</v>
      </c>
      <c r="CB496" s="51">
        <v>100</v>
      </c>
      <c r="CC496" s="51">
        <v>0</v>
      </c>
      <c r="CD496" s="51">
        <v>0</v>
      </c>
      <c r="CE496" s="51">
        <v>0</v>
      </c>
      <c r="CF496" s="51">
        <v>0</v>
      </c>
      <c r="CG496" s="51">
        <v>1</v>
      </c>
      <c r="CH496" s="51">
        <v>0</v>
      </c>
      <c r="CI496" s="51">
        <v>1</v>
      </c>
      <c r="CJ496" s="51">
        <v>0</v>
      </c>
      <c r="CK496" s="51">
        <v>0</v>
      </c>
      <c r="CL496" s="51">
        <v>0</v>
      </c>
      <c r="CM496" s="51">
        <v>0</v>
      </c>
      <c r="CN496" s="51">
        <v>0</v>
      </c>
      <c r="CO496" s="51">
        <v>0</v>
      </c>
      <c r="CP496" s="51">
        <v>0</v>
      </c>
      <c r="CQ496" s="51">
        <v>1</v>
      </c>
      <c r="CR496" s="51">
        <v>0</v>
      </c>
      <c r="CV496" s="51">
        <v>0</v>
      </c>
      <c r="CW496" s="51">
        <v>0</v>
      </c>
    </row>
    <row r="497" s="49" customFormat="1" customHeight="1" spans="1:101">
      <c r="A497" s="49">
        <v>7109</v>
      </c>
      <c r="B497" s="117" t="s">
        <v>554</v>
      </c>
      <c r="N497" s="44"/>
      <c r="O497" s="77">
        <v>0</v>
      </c>
      <c r="P497" s="77">
        <v>0</v>
      </c>
      <c r="Q497" s="77">
        <v>0</v>
      </c>
      <c r="R497" s="77">
        <v>0</v>
      </c>
      <c r="S497" s="64">
        <v>0</v>
      </c>
      <c r="T497" s="64">
        <v>0</v>
      </c>
      <c r="U497" s="64">
        <v>0</v>
      </c>
      <c r="V497" s="64">
        <v>0</v>
      </c>
      <c r="W497" s="63">
        <v>0</v>
      </c>
      <c r="X497" s="63">
        <v>0</v>
      </c>
      <c r="Y497" s="63">
        <v>0</v>
      </c>
      <c r="Z497" s="63">
        <v>0</v>
      </c>
      <c r="AA497" s="78">
        <v>0</v>
      </c>
      <c r="AB497" s="78">
        <v>0</v>
      </c>
      <c r="AC497" s="78">
        <v>0</v>
      </c>
      <c r="AD497" s="78">
        <v>0</v>
      </c>
      <c r="AE497" s="48">
        <v>200809</v>
      </c>
      <c r="AU497" s="62">
        <v>1</v>
      </c>
      <c r="BK497" s="62">
        <v>100</v>
      </c>
      <c r="CA497" s="49">
        <v>100</v>
      </c>
      <c r="CB497" s="49">
        <v>100</v>
      </c>
      <c r="CC497" s="49">
        <v>0</v>
      </c>
      <c r="CD497" s="49">
        <v>0</v>
      </c>
      <c r="CE497" s="49">
        <v>0</v>
      </c>
      <c r="CF497" s="49">
        <v>0</v>
      </c>
      <c r="CG497" s="49">
        <v>1</v>
      </c>
      <c r="CH497" s="49">
        <v>0</v>
      </c>
      <c r="CI497" s="49">
        <v>1</v>
      </c>
      <c r="CJ497" s="49">
        <v>0</v>
      </c>
      <c r="CK497" s="49">
        <v>0</v>
      </c>
      <c r="CL497" s="49">
        <v>0</v>
      </c>
      <c r="CM497" s="49">
        <v>0</v>
      </c>
      <c r="CN497" s="49">
        <v>0</v>
      </c>
      <c r="CO497" s="49">
        <v>0</v>
      </c>
      <c r="CP497" s="49">
        <v>0</v>
      </c>
      <c r="CQ497" s="49">
        <v>1</v>
      </c>
      <c r="CR497" s="49">
        <v>0</v>
      </c>
      <c r="CV497" s="49">
        <v>0</v>
      </c>
      <c r="CW497" s="49">
        <v>0</v>
      </c>
    </row>
    <row r="498" s="49" customFormat="1" customHeight="1" spans="1:101">
      <c r="A498" s="49">
        <v>7110</v>
      </c>
      <c r="B498" s="117" t="s">
        <v>738</v>
      </c>
      <c r="N498" s="44"/>
      <c r="O498" s="77">
        <v>0</v>
      </c>
      <c r="P498" s="77">
        <v>0</v>
      </c>
      <c r="Q498" s="77">
        <v>0</v>
      </c>
      <c r="R498" s="77">
        <v>0</v>
      </c>
      <c r="S498" s="64">
        <v>0</v>
      </c>
      <c r="T498" s="64">
        <v>0</v>
      </c>
      <c r="U498" s="64">
        <v>0</v>
      </c>
      <c r="V498" s="64">
        <v>0</v>
      </c>
      <c r="W498" s="63">
        <v>0</v>
      </c>
      <c r="X498" s="63">
        <v>0</v>
      </c>
      <c r="Y498" s="63">
        <v>0</v>
      </c>
      <c r="Z498" s="63">
        <v>0</v>
      </c>
      <c r="AA498" s="78">
        <v>0</v>
      </c>
      <c r="AB498" s="78">
        <v>0</v>
      </c>
      <c r="AC498" s="78">
        <v>0</v>
      </c>
      <c r="AD498" s="78">
        <v>0</v>
      </c>
      <c r="AE498" s="48">
        <v>200810</v>
      </c>
      <c r="AU498" s="62">
        <v>1</v>
      </c>
      <c r="BK498" s="62">
        <v>100</v>
      </c>
      <c r="CA498" s="49">
        <v>100</v>
      </c>
      <c r="CB498" s="49">
        <v>100</v>
      </c>
      <c r="CC498" s="49">
        <v>0</v>
      </c>
      <c r="CD498" s="49">
        <v>0</v>
      </c>
      <c r="CE498" s="49">
        <v>0</v>
      </c>
      <c r="CF498" s="49">
        <v>0</v>
      </c>
      <c r="CG498" s="49">
        <v>1</v>
      </c>
      <c r="CH498" s="49">
        <v>0</v>
      </c>
      <c r="CI498" s="49">
        <v>1</v>
      </c>
      <c r="CJ498" s="49">
        <v>0</v>
      </c>
      <c r="CK498" s="49">
        <v>0</v>
      </c>
      <c r="CL498" s="49">
        <v>0</v>
      </c>
      <c r="CM498" s="49">
        <v>0</v>
      </c>
      <c r="CN498" s="49">
        <v>0</v>
      </c>
      <c r="CO498" s="49">
        <v>0</v>
      </c>
      <c r="CP498" s="49">
        <v>0</v>
      </c>
      <c r="CQ498" s="49">
        <v>1</v>
      </c>
      <c r="CR498" s="49">
        <v>0</v>
      </c>
      <c r="CV498" s="49">
        <v>0</v>
      </c>
      <c r="CW498" s="49">
        <v>0</v>
      </c>
    </row>
    <row r="499" s="51" customFormat="1" customHeight="1" spans="1:101">
      <c r="A499" s="51">
        <v>7111</v>
      </c>
      <c r="B499" s="123" t="s">
        <v>739</v>
      </c>
      <c r="N499" s="44"/>
      <c r="O499" s="77">
        <v>0</v>
      </c>
      <c r="P499" s="77">
        <v>0</v>
      </c>
      <c r="Q499" s="77">
        <v>0</v>
      </c>
      <c r="R499" s="77">
        <v>0</v>
      </c>
      <c r="S499" s="64">
        <v>0</v>
      </c>
      <c r="T499" s="64">
        <v>0</v>
      </c>
      <c r="U499" s="64">
        <v>0</v>
      </c>
      <c r="V499" s="64">
        <v>0</v>
      </c>
      <c r="W499" s="63">
        <v>0</v>
      </c>
      <c r="X499" s="63">
        <v>0</v>
      </c>
      <c r="Y499" s="63">
        <v>0</v>
      </c>
      <c r="Z499" s="63">
        <v>0</v>
      </c>
      <c r="AA499" s="78">
        <v>0</v>
      </c>
      <c r="AB499" s="78">
        <v>0</v>
      </c>
      <c r="AC499" s="78">
        <v>0</v>
      </c>
      <c r="AD499" s="78">
        <v>0</v>
      </c>
      <c r="AE499" s="48">
        <v>200821</v>
      </c>
      <c r="AU499" s="62">
        <v>1</v>
      </c>
      <c r="BK499" s="62">
        <v>100</v>
      </c>
      <c r="CA499" s="51">
        <v>100</v>
      </c>
      <c r="CB499" s="51">
        <v>100</v>
      </c>
      <c r="CC499" s="51">
        <v>0</v>
      </c>
      <c r="CD499" s="51">
        <v>0</v>
      </c>
      <c r="CE499" s="51">
        <v>0</v>
      </c>
      <c r="CF499" s="51">
        <v>0</v>
      </c>
      <c r="CG499" s="51">
        <v>1</v>
      </c>
      <c r="CH499" s="51">
        <v>0</v>
      </c>
      <c r="CI499" s="51">
        <v>1</v>
      </c>
      <c r="CJ499" s="51">
        <v>0</v>
      </c>
      <c r="CK499" s="51">
        <v>0</v>
      </c>
      <c r="CL499" s="51">
        <v>0</v>
      </c>
      <c r="CM499" s="51">
        <v>0</v>
      </c>
      <c r="CN499" s="51">
        <v>0</v>
      </c>
      <c r="CO499" s="51">
        <v>0</v>
      </c>
      <c r="CP499" s="51">
        <v>0</v>
      </c>
      <c r="CQ499" s="51">
        <v>1</v>
      </c>
      <c r="CR499" s="51">
        <v>0</v>
      </c>
      <c r="CV499" s="51">
        <v>0</v>
      </c>
      <c r="CW499" s="51">
        <v>0</v>
      </c>
    </row>
    <row r="500" s="51" customFormat="1" customHeight="1" spans="1:101">
      <c r="A500" s="51">
        <v>7112</v>
      </c>
      <c r="B500" s="123" t="s">
        <v>740</v>
      </c>
      <c r="N500" s="44"/>
      <c r="O500" s="77">
        <v>0</v>
      </c>
      <c r="P500" s="77">
        <v>0</v>
      </c>
      <c r="Q500" s="77">
        <v>0</v>
      </c>
      <c r="R500" s="77">
        <v>0</v>
      </c>
      <c r="S500" s="64">
        <v>0</v>
      </c>
      <c r="T500" s="64">
        <v>0</v>
      </c>
      <c r="U500" s="64">
        <v>0</v>
      </c>
      <c r="V500" s="64">
        <v>0</v>
      </c>
      <c r="W500" s="63">
        <v>0</v>
      </c>
      <c r="X500" s="63">
        <v>0</v>
      </c>
      <c r="Y500" s="63">
        <v>0</v>
      </c>
      <c r="Z500" s="63">
        <v>0</v>
      </c>
      <c r="AA500" s="78">
        <v>0</v>
      </c>
      <c r="AB500" s="78">
        <v>0</v>
      </c>
      <c r="AC500" s="78">
        <v>0</v>
      </c>
      <c r="AD500" s="78">
        <v>0</v>
      </c>
      <c r="AE500" s="48">
        <v>200822</v>
      </c>
      <c r="AU500" s="62">
        <v>1</v>
      </c>
      <c r="BK500" s="62">
        <v>100</v>
      </c>
      <c r="CA500" s="51">
        <v>100</v>
      </c>
      <c r="CB500" s="51">
        <v>100</v>
      </c>
      <c r="CC500" s="51">
        <v>0</v>
      </c>
      <c r="CD500" s="51">
        <v>0</v>
      </c>
      <c r="CE500" s="51">
        <v>0</v>
      </c>
      <c r="CF500" s="51">
        <v>0</v>
      </c>
      <c r="CG500" s="51">
        <v>1</v>
      </c>
      <c r="CH500" s="51">
        <v>0</v>
      </c>
      <c r="CI500" s="51">
        <v>1</v>
      </c>
      <c r="CJ500" s="51">
        <v>0</v>
      </c>
      <c r="CK500" s="51">
        <v>0</v>
      </c>
      <c r="CL500" s="51">
        <v>0</v>
      </c>
      <c r="CM500" s="51">
        <v>0</v>
      </c>
      <c r="CN500" s="51">
        <v>0</v>
      </c>
      <c r="CO500" s="51">
        <v>0</v>
      </c>
      <c r="CP500" s="51">
        <v>0</v>
      </c>
      <c r="CQ500" s="51">
        <v>1</v>
      </c>
      <c r="CR500" s="51">
        <v>0</v>
      </c>
      <c r="CV500" s="51">
        <v>0</v>
      </c>
      <c r="CW500" s="51">
        <v>0</v>
      </c>
    </row>
    <row r="501" s="51" customFormat="1" customHeight="1" spans="1:101">
      <c r="A501" s="51">
        <v>7113</v>
      </c>
      <c r="B501" s="123" t="s">
        <v>741</v>
      </c>
      <c r="N501" s="44"/>
      <c r="O501" s="77">
        <v>0</v>
      </c>
      <c r="P501" s="77">
        <v>0</v>
      </c>
      <c r="Q501" s="77">
        <v>0</v>
      </c>
      <c r="R501" s="77">
        <v>0</v>
      </c>
      <c r="S501" s="64">
        <v>0</v>
      </c>
      <c r="T501" s="64">
        <v>0</v>
      </c>
      <c r="U501" s="64">
        <v>0</v>
      </c>
      <c r="V501" s="64">
        <v>0</v>
      </c>
      <c r="W501" s="63">
        <v>0</v>
      </c>
      <c r="X501" s="63">
        <v>0</v>
      </c>
      <c r="Y501" s="63">
        <v>0</v>
      </c>
      <c r="Z501" s="63">
        <v>0</v>
      </c>
      <c r="AA501" s="78">
        <v>0</v>
      </c>
      <c r="AB501" s="78">
        <v>0</v>
      </c>
      <c r="AC501" s="78">
        <v>0</v>
      </c>
      <c r="AD501" s="78">
        <v>0</v>
      </c>
      <c r="AE501" s="48">
        <v>200823</v>
      </c>
      <c r="AU501" s="62">
        <v>1</v>
      </c>
      <c r="BK501" s="62">
        <v>100</v>
      </c>
      <c r="CA501" s="51">
        <v>100</v>
      </c>
      <c r="CB501" s="51">
        <v>100</v>
      </c>
      <c r="CC501" s="51">
        <v>0</v>
      </c>
      <c r="CD501" s="51">
        <v>0</v>
      </c>
      <c r="CE501" s="51">
        <v>0</v>
      </c>
      <c r="CF501" s="51">
        <v>0</v>
      </c>
      <c r="CG501" s="51">
        <v>1</v>
      </c>
      <c r="CH501" s="51">
        <v>0</v>
      </c>
      <c r="CI501" s="51">
        <v>1</v>
      </c>
      <c r="CJ501" s="51">
        <v>0</v>
      </c>
      <c r="CK501" s="51">
        <v>0</v>
      </c>
      <c r="CL501" s="51">
        <v>0</v>
      </c>
      <c r="CM501" s="51">
        <v>0</v>
      </c>
      <c r="CN501" s="51">
        <v>0</v>
      </c>
      <c r="CO501" s="51">
        <v>0</v>
      </c>
      <c r="CP501" s="51">
        <v>0</v>
      </c>
      <c r="CQ501" s="51">
        <v>1</v>
      </c>
      <c r="CR501" s="51">
        <v>0</v>
      </c>
      <c r="CV501" s="51">
        <v>0</v>
      </c>
      <c r="CW501" s="51">
        <v>0</v>
      </c>
    </row>
    <row r="502" s="49" customFormat="1" customHeight="1" spans="1:101">
      <c r="A502" s="49">
        <v>7114</v>
      </c>
      <c r="B502" s="117" t="s">
        <v>742</v>
      </c>
      <c r="N502" s="44"/>
      <c r="O502" s="77">
        <v>200194</v>
      </c>
      <c r="P502" s="77">
        <v>1</v>
      </c>
      <c r="Q502" s="77">
        <v>0</v>
      </c>
      <c r="R502" s="77">
        <v>0</v>
      </c>
      <c r="S502" s="64">
        <v>0</v>
      </c>
      <c r="T502" s="64">
        <v>0</v>
      </c>
      <c r="U502" s="64">
        <v>0</v>
      </c>
      <c r="V502" s="64">
        <v>0</v>
      </c>
      <c r="W502" s="63">
        <v>0</v>
      </c>
      <c r="X502" s="63">
        <v>0</v>
      </c>
      <c r="Y502" s="63">
        <v>0</v>
      </c>
      <c r="Z502" s="63">
        <v>0</v>
      </c>
      <c r="AA502" s="78">
        <v>0</v>
      </c>
      <c r="AB502" s="78">
        <v>0</v>
      </c>
      <c r="AC502" s="78">
        <v>0</v>
      </c>
      <c r="AD502" s="78">
        <v>0</v>
      </c>
      <c r="AE502" s="48">
        <v>200814</v>
      </c>
      <c r="AU502" s="62">
        <v>1</v>
      </c>
      <c r="BK502" s="62">
        <v>100</v>
      </c>
      <c r="CA502" s="49">
        <v>100</v>
      </c>
      <c r="CB502" s="49">
        <v>100</v>
      </c>
      <c r="CC502" s="49">
        <v>0</v>
      </c>
      <c r="CD502" s="49">
        <v>0</v>
      </c>
      <c r="CE502" s="49">
        <v>0</v>
      </c>
      <c r="CF502" s="49">
        <v>0</v>
      </c>
      <c r="CG502" s="49">
        <v>1</v>
      </c>
      <c r="CH502" s="49">
        <v>0</v>
      </c>
      <c r="CI502" s="49">
        <v>1</v>
      </c>
      <c r="CJ502" s="49">
        <v>0</v>
      </c>
      <c r="CK502" s="49">
        <v>0</v>
      </c>
      <c r="CL502" s="49">
        <v>0</v>
      </c>
      <c r="CM502" s="49">
        <v>0</v>
      </c>
      <c r="CN502" s="49">
        <v>0</v>
      </c>
      <c r="CO502" s="49">
        <v>0</v>
      </c>
      <c r="CP502" s="49">
        <v>0</v>
      </c>
      <c r="CQ502" s="49">
        <v>1</v>
      </c>
      <c r="CR502" s="49">
        <v>0</v>
      </c>
      <c r="CV502" s="49">
        <v>0</v>
      </c>
      <c r="CW502" s="49">
        <v>0</v>
      </c>
    </row>
    <row r="503" s="49" customFormat="1" customHeight="1" spans="1:101">
      <c r="A503" s="49">
        <v>7115</v>
      </c>
      <c r="B503" s="117" t="s">
        <v>743</v>
      </c>
      <c r="N503" s="44"/>
      <c r="O503" s="77">
        <v>200195</v>
      </c>
      <c r="P503" s="77">
        <v>1</v>
      </c>
      <c r="Q503" s="77">
        <v>0</v>
      </c>
      <c r="R503" s="77">
        <v>0</v>
      </c>
      <c r="S503" s="64">
        <v>0</v>
      </c>
      <c r="T503" s="64">
        <v>0</v>
      </c>
      <c r="U503" s="64">
        <v>0</v>
      </c>
      <c r="V503" s="64">
        <v>0</v>
      </c>
      <c r="W503" s="63">
        <v>0</v>
      </c>
      <c r="X503" s="63">
        <v>0</v>
      </c>
      <c r="Y503" s="63">
        <v>0</v>
      </c>
      <c r="Z503" s="63">
        <v>0</v>
      </c>
      <c r="AA503" s="78">
        <v>0</v>
      </c>
      <c r="AB503" s="78">
        <v>0</v>
      </c>
      <c r="AC503" s="78">
        <v>0</v>
      </c>
      <c r="AD503" s="78">
        <v>0</v>
      </c>
      <c r="AE503" s="48">
        <v>200815</v>
      </c>
      <c r="AU503" s="62">
        <v>1</v>
      </c>
      <c r="BK503" s="62">
        <v>100</v>
      </c>
      <c r="CA503" s="49">
        <v>100</v>
      </c>
      <c r="CB503" s="49">
        <v>100</v>
      </c>
      <c r="CC503" s="49">
        <v>0</v>
      </c>
      <c r="CD503" s="49">
        <v>0</v>
      </c>
      <c r="CE503" s="49">
        <v>0</v>
      </c>
      <c r="CF503" s="49">
        <v>0</v>
      </c>
      <c r="CG503" s="49">
        <v>1</v>
      </c>
      <c r="CH503" s="49">
        <v>0</v>
      </c>
      <c r="CI503" s="49">
        <v>1</v>
      </c>
      <c r="CJ503" s="49">
        <v>0</v>
      </c>
      <c r="CK503" s="49">
        <v>0</v>
      </c>
      <c r="CL503" s="49">
        <v>0</v>
      </c>
      <c r="CM503" s="49">
        <v>0</v>
      </c>
      <c r="CN503" s="49">
        <v>0</v>
      </c>
      <c r="CO503" s="49">
        <v>0</v>
      </c>
      <c r="CP503" s="49">
        <v>0</v>
      </c>
      <c r="CQ503" s="49">
        <v>1</v>
      </c>
      <c r="CR503" s="49">
        <v>0</v>
      </c>
      <c r="CV503" s="49">
        <v>0</v>
      </c>
      <c r="CW503" s="49">
        <v>0</v>
      </c>
    </row>
    <row r="504" s="49" customFormat="1" customHeight="1" spans="1:101">
      <c r="A504" s="49">
        <v>7116</v>
      </c>
      <c r="B504" s="117" t="s">
        <v>744</v>
      </c>
      <c r="N504" s="44"/>
      <c r="O504" s="77">
        <v>200829</v>
      </c>
      <c r="P504" s="77">
        <v>10</v>
      </c>
      <c r="Q504" s="77">
        <v>0</v>
      </c>
      <c r="R504" s="77">
        <v>0</v>
      </c>
      <c r="S504" s="64">
        <v>0</v>
      </c>
      <c r="T504" s="64">
        <v>0</v>
      </c>
      <c r="U504" s="64">
        <v>0</v>
      </c>
      <c r="V504" s="64">
        <v>0</v>
      </c>
      <c r="W504" s="63">
        <v>0</v>
      </c>
      <c r="X504" s="63">
        <v>0</v>
      </c>
      <c r="Y504" s="63">
        <v>0</v>
      </c>
      <c r="Z504" s="63">
        <v>0</v>
      </c>
      <c r="AA504" s="78">
        <v>0</v>
      </c>
      <c r="AB504" s="78">
        <v>0</v>
      </c>
      <c r="AC504" s="78">
        <v>0</v>
      </c>
      <c r="AD504" s="78">
        <v>0</v>
      </c>
      <c r="AE504" s="48">
        <v>200824</v>
      </c>
      <c r="AU504" s="62">
        <v>1</v>
      </c>
      <c r="BK504" s="62">
        <v>100</v>
      </c>
      <c r="CA504" s="49">
        <v>100</v>
      </c>
      <c r="CB504" s="49">
        <v>100</v>
      </c>
      <c r="CC504" s="49">
        <v>0</v>
      </c>
      <c r="CD504" s="49">
        <v>1</v>
      </c>
      <c r="CE504" s="49">
        <v>0</v>
      </c>
      <c r="CF504" s="49">
        <v>0</v>
      </c>
      <c r="CG504" s="49">
        <v>1</v>
      </c>
      <c r="CH504" s="49">
        <v>0</v>
      </c>
      <c r="CI504" s="49">
        <v>1</v>
      </c>
      <c r="CJ504" s="49">
        <v>0</v>
      </c>
      <c r="CK504" s="49">
        <v>0</v>
      </c>
      <c r="CL504" s="49">
        <v>0</v>
      </c>
      <c r="CM504" s="49">
        <v>0</v>
      </c>
      <c r="CN504" s="49">
        <v>0</v>
      </c>
      <c r="CO504" s="49">
        <v>0</v>
      </c>
      <c r="CP504" s="49">
        <v>0</v>
      </c>
      <c r="CQ504" s="49">
        <v>1</v>
      </c>
      <c r="CR504" s="49">
        <v>0</v>
      </c>
      <c r="CV504" s="49">
        <v>0</v>
      </c>
      <c r="CW504" s="49">
        <v>0</v>
      </c>
    </row>
    <row r="505" s="51" customFormat="1" customHeight="1" spans="1:101">
      <c r="A505" s="51">
        <v>7117</v>
      </c>
      <c r="B505" s="123" t="s">
        <v>745</v>
      </c>
      <c r="J505" s="51">
        <v>500000</v>
      </c>
      <c r="N505" s="44"/>
      <c r="O505" s="77">
        <v>200072</v>
      </c>
      <c r="P505" s="77">
        <v>1</v>
      </c>
      <c r="Q505" s="77">
        <v>0</v>
      </c>
      <c r="R505" s="77">
        <v>0</v>
      </c>
      <c r="S505" s="64">
        <v>0</v>
      </c>
      <c r="T505" s="64">
        <v>0</v>
      </c>
      <c r="U505" s="64">
        <v>0</v>
      </c>
      <c r="V505" s="64">
        <v>0</v>
      </c>
      <c r="W505" s="63">
        <v>0</v>
      </c>
      <c r="X505" s="63">
        <v>0</v>
      </c>
      <c r="Y505" s="63">
        <v>0</v>
      </c>
      <c r="Z505" s="63">
        <v>0</v>
      </c>
      <c r="AA505" s="78">
        <v>0</v>
      </c>
      <c r="AB505" s="78">
        <v>0</v>
      </c>
      <c r="AC505" s="78">
        <v>0</v>
      </c>
      <c r="AD505" s="78">
        <v>0</v>
      </c>
      <c r="AE505" s="48"/>
      <c r="AU505" s="62"/>
      <c r="BK505" s="62"/>
      <c r="CA505" s="51">
        <v>0</v>
      </c>
      <c r="CB505" s="51">
        <v>1000</v>
      </c>
      <c r="CC505" s="51">
        <v>0</v>
      </c>
      <c r="CD505" s="51">
        <v>0</v>
      </c>
      <c r="CE505" s="51">
        <v>0</v>
      </c>
      <c r="CF505" s="51">
        <v>0</v>
      </c>
      <c r="CG505" s="51">
        <v>1</v>
      </c>
      <c r="CH505" s="51">
        <v>0</v>
      </c>
      <c r="CI505" s="51">
        <v>1</v>
      </c>
      <c r="CJ505" s="51">
        <v>0</v>
      </c>
      <c r="CK505" s="51">
        <v>0</v>
      </c>
      <c r="CL505" s="51">
        <v>0</v>
      </c>
      <c r="CM505" s="51">
        <v>0</v>
      </c>
      <c r="CN505" s="51">
        <v>0</v>
      </c>
      <c r="CO505" s="51">
        <v>0</v>
      </c>
      <c r="CP505" s="51">
        <v>0</v>
      </c>
      <c r="CQ505" s="51">
        <v>1</v>
      </c>
      <c r="CR505" s="51">
        <v>0</v>
      </c>
      <c r="CV505" s="51">
        <v>0</v>
      </c>
      <c r="CW505" s="51">
        <v>0</v>
      </c>
    </row>
    <row r="506" s="51" customFormat="1" customHeight="1" spans="1:101">
      <c r="A506" s="51">
        <v>7118</v>
      </c>
      <c r="B506" s="123" t="s">
        <v>746</v>
      </c>
      <c r="K506" s="51">
        <v>20000</v>
      </c>
      <c r="N506" s="44"/>
      <c r="O506" s="77">
        <v>0</v>
      </c>
      <c r="P506" s="77">
        <v>0</v>
      </c>
      <c r="Q506" s="77">
        <v>0</v>
      </c>
      <c r="R506" s="77">
        <v>0</v>
      </c>
      <c r="S506" s="64">
        <v>0</v>
      </c>
      <c r="T506" s="64">
        <v>0</v>
      </c>
      <c r="U506" s="64">
        <v>0</v>
      </c>
      <c r="V506" s="64">
        <v>0</v>
      </c>
      <c r="W506" s="63">
        <v>0</v>
      </c>
      <c r="X506" s="63">
        <v>0</v>
      </c>
      <c r="Y506" s="63">
        <v>0</v>
      </c>
      <c r="Z506" s="63">
        <v>0</v>
      </c>
      <c r="AA506" s="78">
        <v>0</v>
      </c>
      <c r="AB506" s="78">
        <v>0</v>
      </c>
      <c r="AC506" s="78">
        <v>0</v>
      </c>
      <c r="AD506" s="78">
        <v>0</v>
      </c>
      <c r="AE506" s="48">
        <v>200810</v>
      </c>
      <c r="AF506" s="51">
        <v>200105</v>
      </c>
      <c r="AU506" s="62">
        <v>1</v>
      </c>
      <c r="AV506" s="51">
        <v>1</v>
      </c>
      <c r="BK506" s="62">
        <v>100</v>
      </c>
      <c r="BL506" s="51">
        <v>100</v>
      </c>
      <c r="CA506" s="51">
        <v>200</v>
      </c>
      <c r="CB506" s="51">
        <v>200</v>
      </c>
      <c r="CC506" s="51">
        <v>0</v>
      </c>
      <c r="CD506" s="51">
        <v>1</v>
      </c>
      <c r="CE506" s="51">
        <v>0</v>
      </c>
      <c r="CF506" s="51">
        <v>0</v>
      </c>
      <c r="CG506" s="51">
        <v>1</v>
      </c>
      <c r="CH506" s="51">
        <v>0</v>
      </c>
      <c r="CI506" s="51">
        <v>1</v>
      </c>
      <c r="CJ506" s="51">
        <v>0</v>
      </c>
      <c r="CK506" s="51">
        <v>0</v>
      </c>
      <c r="CL506" s="51">
        <v>0</v>
      </c>
      <c r="CM506" s="51">
        <v>0</v>
      </c>
      <c r="CN506" s="51">
        <v>0</v>
      </c>
      <c r="CO506" s="51">
        <v>0</v>
      </c>
      <c r="CP506" s="51">
        <v>0</v>
      </c>
      <c r="CQ506" s="51">
        <v>1</v>
      </c>
      <c r="CR506" s="51">
        <v>0</v>
      </c>
      <c r="CV506" s="51">
        <v>0</v>
      </c>
      <c r="CW506" s="51">
        <v>0</v>
      </c>
    </row>
    <row r="507" s="51" customFormat="1" customHeight="1" spans="1:101">
      <c r="A507" s="51">
        <v>7119</v>
      </c>
      <c r="B507" s="123" t="s">
        <v>747</v>
      </c>
      <c r="N507" s="44"/>
      <c r="O507" s="77">
        <v>0</v>
      </c>
      <c r="P507" s="77">
        <v>0</v>
      </c>
      <c r="Q507" s="77">
        <v>0</v>
      </c>
      <c r="R507" s="77">
        <v>0</v>
      </c>
      <c r="S507" s="64">
        <v>0</v>
      </c>
      <c r="T507" s="64">
        <v>0</v>
      </c>
      <c r="U507" s="64">
        <v>0</v>
      </c>
      <c r="V507" s="64">
        <v>0</v>
      </c>
      <c r="W507" s="63">
        <v>0</v>
      </c>
      <c r="X507" s="63">
        <v>0</v>
      </c>
      <c r="Y507" s="63">
        <v>0</v>
      </c>
      <c r="Z507" s="63">
        <v>0</v>
      </c>
      <c r="AA507" s="78">
        <v>0</v>
      </c>
      <c r="AB507" s="78">
        <v>0</v>
      </c>
      <c r="AC507" s="78">
        <v>0</v>
      </c>
      <c r="AD507" s="78">
        <v>0</v>
      </c>
      <c r="AE507" s="48"/>
      <c r="AG507" s="49"/>
      <c r="AH507" s="49"/>
      <c r="AI507" s="49"/>
      <c r="AJ507" s="49"/>
      <c r="AK507" s="49"/>
      <c r="AL507" s="49"/>
      <c r="AM507" s="49"/>
      <c r="AN507" s="49"/>
      <c r="AU507" s="62"/>
      <c r="BK507" s="62"/>
      <c r="CA507" s="51">
        <v>1000</v>
      </c>
      <c r="CB507" s="51">
        <v>1000</v>
      </c>
      <c r="CC507" s="51">
        <v>0</v>
      </c>
      <c r="CD507" s="51">
        <v>1</v>
      </c>
      <c r="CE507" s="51">
        <v>0</v>
      </c>
      <c r="CF507" s="51">
        <v>0</v>
      </c>
      <c r="CG507" s="51">
        <v>1</v>
      </c>
      <c r="CH507" s="51">
        <v>0</v>
      </c>
      <c r="CI507" s="51">
        <v>1</v>
      </c>
      <c r="CJ507" s="51">
        <v>0</v>
      </c>
      <c r="CK507" s="51">
        <v>0</v>
      </c>
      <c r="CL507" s="51">
        <v>0</v>
      </c>
      <c r="CM507" s="51">
        <v>0</v>
      </c>
      <c r="CN507" s="51">
        <v>0</v>
      </c>
      <c r="CO507" s="51">
        <v>0</v>
      </c>
      <c r="CP507" s="51">
        <v>0</v>
      </c>
      <c r="CQ507" s="51">
        <v>1</v>
      </c>
      <c r="CR507" s="51">
        <v>0</v>
      </c>
      <c r="CV507" s="51">
        <v>0</v>
      </c>
      <c r="CW507" s="51">
        <v>0</v>
      </c>
    </row>
    <row r="508" s="49" customFormat="1" customHeight="1" spans="1:101">
      <c r="A508" s="49">
        <v>7120</v>
      </c>
      <c r="B508" s="117" t="s">
        <v>748</v>
      </c>
      <c r="J508" s="49">
        <v>500000</v>
      </c>
      <c r="K508" s="49">
        <v>10</v>
      </c>
      <c r="N508" s="44"/>
      <c r="O508" s="77"/>
      <c r="P508" s="77"/>
      <c r="Q508" s="77"/>
      <c r="R508" s="77"/>
      <c r="S508" s="64"/>
      <c r="T508" s="64"/>
      <c r="U508" s="64"/>
      <c r="V508" s="64"/>
      <c r="W508" s="63"/>
      <c r="X508" s="63"/>
      <c r="Y508" s="63"/>
      <c r="Z508" s="63"/>
      <c r="AA508" s="78"/>
      <c r="AB508" s="78"/>
      <c r="AC508" s="78"/>
      <c r="AD508" s="78"/>
      <c r="AE508" s="48"/>
      <c r="AF508" s="49" t="s">
        <v>116</v>
      </c>
      <c r="AG508" s="49" t="s">
        <v>116</v>
      </c>
      <c r="AH508" s="49" t="s">
        <v>116</v>
      </c>
      <c r="AI508" s="49" t="s">
        <v>116</v>
      </c>
      <c r="AJ508" s="49" t="s">
        <v>116</v>
      </c>
      <c r="AK508" s="49" t="s">
        <v>116</v>
      </c>
      <c r="AL508" s="49" t="s">
        <v>116</v>
      </c>
      <c r="AM508" s="49" t="s">
        <v>116</v>
      </c>
      <c r="AR508" s="49" t="s">
        <v>116</v>
      </c>
      <c r="AS508" s="49" t="s">
        <v>116</v>
      </c>
      <c r="AT508" s="49" t="s">
        <v>116</v>
      </c>
      <c r="AU508" s="62"/>
      <c r="BK508" s="62"/>
      <c r="CA508" s="49">
        <v>0</v>
      </c>
      <c r="CB508" s="49">
        <v>1000</v>
      </c>
      <c r="CC508" s="49">
        <v>0</v>
      </c>
      <c r="CD508" s="49">
        <v>0</v>
      </c>
      <c r="CE508" s="49">
        <v>0</v>
      </c>
      <c r="CF508" s="49">
        <v>0</v>
      </c>
      <c r="CG508" s="49">
        <v>0</v>
      </c>
      <c r="CH508" s="49">
        <v>0</v>
      </c>
      <c r="CI508" s="49">
        <v>1</v>
      </c>
      <c r="CK508" s="49">
        <v>0</v>
      </c>
      <c r="CL508" s="49">
        <v>0</v>
      </c>
      <c r="CM508" s="49">
        <v>0</v>
      </c>
      <c r="CN508" s="49">
        <v>0</v>
      </c>
      <c r="CO508" s="49">
        <v>0</v>
      </c>
      <c r="CP508" s="49">
        <v>0</v>
      </c>
      <c r="CQ508" s="49">
        <v>0</v>
      </c>
      <c r="CR508" s="49">
        <v>0</v>
      </c>
      <c r="CV508" s="49">
        <v>0</v>
      </c>
      <c r="CW508" s="49">
        <v>0</v>
      </c>
    </row>
    <row r="509" s="49" customFormat="1" customHeight="1" spans="1:101">
      <c r="A509" s="49">
        <v>7121</v>
      </c>
      <c r="B509" s="117" t="s">
        <v>749</v>
      </c>
      <c r="J509" s="49">
        <v>100000</v>
      </c>
      <c r="K509" s="49">
        <v>500</v>
      </c>
      <c r="N509" s="44"/>
      <c r="O509" s="77"/>
      <c r="P509" s="77"/>
      <c r="Q509" s="77"/>
      <c r="R509" s="77"/>
      <c r="S509" s="64"/>
      <c r="T509" s="64"/>
      <c r="U509" s="64"/>
      <c r="V509" s="64"/>
      <c r="W509" s="63"/>
      <c r="X509" s="63"/>
      <c r="Y509" s="63"/>
      <c r="Z509" s="63"/>
      <c r="AA509" s="78"/>
      <c r="AB509" s="78"/>
      <c r="AC509" s="78"/>
      <c r="AD509" s="78"/>
      <c r="AE509" s="48"/>
      <c r="AF509" s="49" t="s">
        <v>116</v>
      </c>
      <c r="AG509" s="49" t="s">
        <v>116</v>
      </c>
      <c r="AH509" s="49" t="s">
        <v>116</v>
      </c>
      <c r="AI509" s="49" t="s">
        <v>116</v>
      </c>
      <c r="AJ509" s="49" t="s">
        <v>116</v>
      </c>
      <c r="AK509" s="49" t="s">
        <v>116</v>
      </c>
      <c r="AL509" s="49" t="s">
        <v>116</v>
      </c>
      <c r="AM509" s="49" t="s">
        <v>116</v>
      </c>
      <c r="AR509" s="49" t="s">
        <v>116</v>
      </c>
      <c r="AS509" s="49" t="s">
        <v>116</v>
      </c>
      <c r="AT509" s="49" t="s">
        <v>116</v>
      </c>
      <c r="AU509" s="62"/>
      <c r="BK509" s="62"/>
      <c r="CA509" s="49">
        <v>0</v>
      </c>
      <c r="CB509" s="49">
        <v>1000</v>
      </c>
      <c r="CC509" s="49">
        <v>0</v>
      </c>
      <c r="CD509" s="49">
        <v>0</v>
      </c>
      <c r="CE509" s="49">
        <v>0</v>
      </c>
      <c r="CF509" s="49">
        <v>0</v>
      </c>
      <c r="CG509" s="49">
        <v>0</v>
      </c>
      <c r="CH509" s="49">
        <v>0</v>
      </c>
      <c r="CI509" s="49">
        <v>1</v>
      </c>
      <c r="CK509" s="49">
        <v>0</v>
      </c>
      <c r="CL509" s="49">
        <v>0</v>
      </c>
      <c r="CM509" s="49">
        <v>0</v>
      </c>
      <c r="CN509" s="49">
        <v>0</v>
      </c>
      <c r="CO509" s="49">
        <v>0</v>
      </c>
      <c r="CP509" s="49">
        <v>0</v>
      </c>
      <c r="CQ509" s="49">
        <v>0</v>
      </c>
      <c r="CR509" s="49">
        <v>0</v>
      </c>
      <c r="CV509" s="49">
        <v>0</v>
      </c>
      <c r="CW509" s="49">
        <v>0</v>
      </c>
    </row>
    <row r="510" s="51" customFormat="1" customHeight="1" spans="1:101">
      <c r="A510" s="51">
        <v>7122</v>
      </c>
      <c r="B510" s="123" t="s">
        <v>750</v>
      </c>
      <c r="J510" s="51">
        <v>100000</v>
      </c>
      <c r="K510" s="48">
        <v>200</v>
      </c>
      <c r="N510" s="44"/>
      <c r="O510" s="77">
        <v>200303</v>
      </c>
      <c r="P510" s="77">
        <v>1</v>
      </c>
      <c r="Q510" s="77">
        <v>0</v>
      </c>
      <c r="R510" s="77">
        <v>0</v>
      </c>
      <c r="S510" s="64">
        <v>0</v>
      </c>
      <c r="T510" s="64">
        <v>0</v>
      </c>
      <c r="U510" s="64">
        <v>0</v>
      </c>
      <c r="V510" s="64">
        <v>0</v>
      </c>
      <c r="W510" s="63">
        <v>0</v>
      </c>
      <c r="X510" s="63">
        <v>0</v>
      </c>
      <c r="Y510" s="63">
        <v>0</v>
      </c>
      <c r="Z510" s="63">
        <v>0</v>
      </c>
      <c r="AA510" s="78">
        <v>0</v>
      </c>
      <c r="AB510" s="78">
        <v>0</v>
      </c>
      <c r="AC510" s="78">
        <v>0</v>
      </c>
      <c r="AD510" s="78">
        <v>0</v>
      </c>
      <c r="AE510" s="48">
        <v>201204</v>
      </c>
      <c r="AF510" s="136">
        <v>201205</v>
      </c>
      <c r="AG510" s="136">
        <v>201206</v>
      </c>
      <c r="AH510" s="49">
        <v>200810</v>
      </c>
      <c r="AI510" s="49">
        <v>200837</v>
      </c>
      <c r="AJ510" s="49">
        <v>200838</v>
      </c>
      <c r="AK510" s="49"/>
      <c r="AL510" s="49" t="s">
        <v>116</v>
      </c>
      <c r="AM510" s="49" t="s">
        <v>116</v>
      </c>
      <c r="AN510" s="49"/>
      <c r="AR510" s="51" t="s">
        <v>116</v>
      </c>
      <c r="AS510" s="51" t="s">
        <v>116</v>
      </c>
      <c r="AT510" s="51" t="s">
        <v>116</v>
      </c>
      <c r="AU510" s="62">
        <v>1</v>
      </c>
      <c r="AV510" s="51">
        <v>1</v>
      </c>
      <c r="AW510" s="51">
        <v>1</v>
      </c>
      <c r="AX510" s="51">
        <v>1</v>
      </c>
      <c r="AY510" s="51">
        <v>1</v>
      </c>
      <c r="AZ510" s="51">
        <v>1</v>
      </c>
      <c r="BK510" s="62">
        <v>50</v>
      </c>
      <c r="BL510" s="51">
        <v>50</v>
      </c>
      <c r="BM510" s="51">
        <v>50</v>
      </c>
      <c r="BN510" s="51">
        <v>50</v>
      </c>
      <c r="BO510" s="51">
        <v>50</v>
      </c>
      <c r="BP510" s="51">
        <v>50</v>
      </c>
      <c r="CA510" s="51">
        <v>300</v>
      </c>
      <c r="CB510" s="51">
        <v>1000</v>
      </c>
      <c r="CC510" s="51">
        <v>0</v>
      </c>
      <c r="CD510" s="51">
        <v>0</v>
      </c>
      <c r="CE510" s="51">
        <v>0</v>
      </c>
      <c r="CF510" s="51">
        <v>0</v>
      </c>
      <c r="CG510" s="51">
        <v>0</v>
      </c>
      <c r="CH510" s="51">
        <v>0</v>
      </c>
      <c r="CI510" s="51">
        <v>1</v>
      </c>
      <c r="CK510" s="51">
        <v>0</v>
      </c>
      <c r="CL510" s="51">
        <v>0</v>
      </c>
      <c r="CM510" s="51">
        <v>0</v>
      </c>
      <c r="CN510" s="51">
        <v>0</v>
      </c>
      <c r="CO510" s="51">
        <v>0</v>
      </c>
      <c r="CP510" s="51">
        <v>0</v>
      </c>
      <c r="CQ510" s="51">
        <v>0</v>
      </c>
      <c r="CR510" s="51">
        <v>0</v>
      </c>
      <c r="CV510" s="51">
        <v>0</v>
      </c>
      <c r="CW510" s="51">
        <v>0</v>
      </c>
    </row>
    <row r="511" s="51" customFormat="1" customHeight="1" spans="1:101">
      <c r="A511" s="51">
        <v>7123</v>
      </c>
      <c r="B511" s="123" t="s">
        <v>373</v>
      </c>
      <c r="K511" s="48" t="s">
        <v>751</v>
      </c>
      <c r="N511" s="44"/>
      <c r="O511" s="77">
        <v>0</v>
      </c>
      <c r="P511" s="77">
        <v>0</v>
      </c>
      <c r="Q511" s="77">
        <v>0</v>
      </c>
      <c r="R511" s="77">
        <v>0</v>
      </c>
      <c r="S511" s="64">
        <v>0</v>
      </c>
      <c r="T511" s="64">
        <v>0</v>
      </c>
      <c r="U511" s="64">
        <v>0</v>
      </c>
      <c r="V511" s="64">
        <v>0</v>
      </c>
      <c r="W511" s="63">
        <v>0</v>
      </c>
      <c r="X511" s="63">
        <v>0</v>
      </c>
      <c r="Y511" s="63">
        <v>0</v>
      </c>
      <c r="Z511" s="63">
        <v>0</v>
      </c>
      <c r="AA511" s="78">
        <v>0</v>
      </c>
      <c r="AB511" s="78">
        <v>0</v>
      </c>
      <c r="AC511" s="78">
        <v>0</v>
      </c>
      <c r="AD511" s="78">
        <v>0</v>
      </c>
      <c r="AE511" s="48">
        <v>200802</v>
      </c>
      <c r="AF511" s="51">
        <v>200804</v>
      </c>
      <c r="AG511" s="49">
        <v>200806</v>
      </c>
      <c r="AH511" s="51">
        <v>200807</v>
      </c>
      <c r="AI511" s="51">
        <v>200808</v>
      </c>
      <c r="AJ511" s="51">
        <v>200815</v>
      </c>
      <c r="AK511" s="49"/>
      <c r="AL511" s="49" t="s">
        <v>116</v>
      </c>
      <c r="AM511" s="49" t="s">
        <v>116</v>
      </c>
      <c r="AN511" s="49"/>
      <c r="AR511" s="51" t="s">
        <v>116</v>
      </c>
      <c r="AS511" s="51" t="s">
        <v>116</v>
      </c>
      <c r="AT511" s="51" t="s">
        <v>116</v>
      </c>
      <c r="AU511" s="62">
        <v>1</v>
      </c>
      <c r="AV511" s="51">
        <v>1</v>
      </c>
      <c r="AW511" s="51">
        <v>1</v>
      </c>
      <c r="AX511" s="51">
        <v>1</v>
      </c>
      <c r="AY511" s="51">
        <v>1</v>
      </c>
      <c r="AZ511" s="51">
        <v>1</v>
      </c>
      <c r="BK511" s="62">
        <v>50</v>
      </c>
      <c r="BL511" s="51">
        <v>50</v>
      </c>
      <c r="BM511" s="51">
        <v>50</v>
      </c>
      <c r="BN511" s="51">
        <v>50</v>
      </c>
      <c r="BO511" s="51">
        <v>50</v>
      </c>
      <c r="BP511" s="51">
        <v>50</v>
      </c>
      <c r="CA511" s="51">
        <v>300</v>
      </c>
      <c r="CB511" s="51">
        <v>300</v>
      </c>
      <c r="CC511" s="51">
        <v>0</v>
      </c>
      <c r="CD511" s="51">
        <v>0</v>
      </c>
      <c r="CE511" s="51">
        <v>0</v>
      </c>
      <c r="CF511" s="51">
        <v>193018</v>
      </c>
      <c r="CG511" s="51">
        <v>0</v>
      </c>
      <c r="CH511" s="51">
        <v>0</v>
      </c>
      <c r="CI511" s="51">
        <v>1</v>
      </c>
      <c r="CK511" s="51">
        <v>0</v>
      </c>
      <c r="CL511" s="51">
        <v>0</v>
      </c>
      <c r="CM511" s="51">
        <v>0</v>
      </c>
      <c r="CN511" s="51">
        <v>0</v>
      </c>
      <c r="CO511" s="51">
        <v>0</v>
      </c>
      <c r="CP511" s="51">
        <v>0</v>
      </c>
      <c r="CQ511" s="51">
        <v>0</v>
      </c>
      <c r="CR511" s="51">
        <v>0</v>
      </c>
      <c r="CV511" s="51">
        <v>0</v>
      </c>
      <c r="CW511" s="51">
        <v>0</v>
      </c>
    </row>
    <row r="512" s="51" customFormat="1" customHeight="1" spans="1:101">
      <c r="A512" s="51">
        <v>7124</v>
      </c>
      <c r="B512" s="123" t="s">
        <v>752</v>
      </c>
      <c r="N512" s="44"/>
      <c r="O512" s="77">
        <v>0</v>
      </c>
      <c r="P512" s="77">
        <v>0</v>
      </c>
      <c r="Q512" s="77">
        <v>0</v>
      </c>
      <c r="R512" s="77">
        <v>0</v>
      </c>
      <c r="S512" s="64">
        <v>0</v>
      </c>
      <c r="T512" s="64">
        <v>0</v>
      </c>
      <c r="U512" s="64">
        <v>0</v>
      </c>
      <c r="V512" s="64">
        <v>0</v>
      </c>
      <c r="W512" s="63">
        <v>0</v>
      </c>
      <c r="X512" s="63">
        <v>0</v>
      </c>
      <c r="Y512" s="63">
        <v>0</v>
      </c>
      <c r="Z512" s="63">
        <v>0</v>
      </c>
      <c r="AA512" s="78">
        <v>0</v>
      </c>
      <c r="AB512" s="78">
        <v>0</v>
      </c>
      <c r="AC512" s="78">
        <v>0</v>
      </c>
      <c r="AD512" s="78">
        <v>0</v>
      </c>
      <c r="AE512" s="48">
        <v>200506</v>
      </c>
      <c r="AU512" s="62">
        <v>1</v>
      </c>
      <c r="BK512" s="62">
        <v>100</v>
      </c>
      <c r="CA512" s="51">
        <v>100</v>
      </c>
      <c r="CB512" s="51">
        <v>100</v>
      </c>
      <c r="CC512" s="51">
        <v>0</v>
      </c>
      <c r="CD512" s="51">
        <v>0</v>
      </c>
      <c r="CE512" s="51">
        <v>0</v>
      </c>
      <c r="CF512" s="51">
        <v>0</v>
      </c>
      <c r="CG512" s="51">
        <v>1</v>
      </c>
      <c r="CH512" s="51">
        <v>0</v>
      </c>
      <c r="CI512" s="51">
        <v>1</v>
      </c>
      <c r="CJ512" s="51">
        <v>0</v>
      </c>
      <c r="CK512" s="51">
        <v>0</v>
      </c>
      <c r="CL512" s="51">
        <v>0</v>
      </c>
      <c r="CM512" s="51">
        <v>0</v>
      </c>
      <c r="CN512" s="51">
        <v>0</v>
      </c>
      <c r="CO512" s="51">
        <v>0</v>
      </c>
      <c r="CP512" s="51">
        <v>0</v>
      </c>
      <c r="CQ512" s="51">
        <v>1</v>
      </c>
      <c r="CR512" s="51">
        <v>0</v>
      </c>
      <c r="CV512" s="51">
        <v>0</v>
      </c>
      <c r="CW512" s="51">
        <v>0</v>
      </c>
    </row>
    <row r="513" s="58" customFormat="1" customHeight="1" spans="1:101">
      <c r="A513" s="58">
        <v>7200</v>
      </c>
      <c r="B513" s="135" t="s">
        <v>753</v>
      </c>
      <c r="N513" s="44"/>
      <c r="O513" s="77">
        <v>0</v>
      </c>
      <c r="P513" s="77">
        <v>0</v>
      </c>
      <c r="Q513" s="77">
        <v>0</v>
      </c>
      <c r="R513" s="77">
        <v>0</v>
      </c>
      <c r="S513" s="64">
        <v>0</v>
      </c>
      <c r="T513" s="64">
        <v>0</v>
      </c>
      <c r="U513" s="64">
        <v>0</v>
      </c>
      <c r="V513" s="64">
        <v>0</v>
      </c>
      <c r="W513" s="63">
        <v>0</v>
      </c>
      <c r="X513" s="63">
        <v>0</v>
      </c>
      <c r="Y513" s="63">
        <v>0</v>
      </c>
      <c r="Z513" s="63">
        <v>0</v>
      </c>
      <c r="AA513" s="78">
        <v>0</v>
      </c>
      <c r="AB513" s="78">
        <v>0</v>
      </c>
      <c r="AC513" s="78">
        <v>0</v>
      </c>
      <c r="AD513" s="78">
        <v>0</v>
      </c>
      <c r="AE513" s="48">
        <v>200051</v>
      </c>
      <c r="AU513" s="62">
        <v>1</v>
      </c>
      <c r="BK513" s="62">
        <v>100</v>
      </c>
      <c r="CA513" s="58">
        <v>100</v>
      </c>
      <c r="CB513" s="58">
        <v>100</v>
      </c>
      <c r="CC513" s="58">
        <v>0</v>
      </c>
      <c r="CD513" s="58">
        <v>0</v>
      </c>
      <c r="CE513" s="58">
        <v>0</v>
      </c>
      <c r="CF513" s="58">
        <v>0</v>
      </c>
      <c r="CG513" s="58">
        <v>1</v>
      </c>
      <c r="CH513" s="58">
        <v>0</v>
      </c>
      <c r="CI513" s="58">
        <v>1</v>
      </c>
      <c r="CJ513" s="58">
        <v>0</v>
      </c>
      <c r="CK513" s="58">
        <v>0</v>
      </c>
      <c r="CL513" s="58">
        <v>0</v>
      </c>
      <c r="CM513" s="58">
        <v>0</v>
      </c>
      <c r="CN513" s="58">
        <v>0</v>
      </c>
      <c r="CO513" s="58">
        <v>0</v>
      </c>
      <c r="CP513" s="58">
        <v>0</v>
      </c>
      <c r="CQ513" s="58">
        <v>1</v>
      </c>
      <c r="CR513" s="58">
        <v>0</v>
      </c>
      <c r="CV513" s="58">
        <v>0</v>
      </c>
      <c r="CW513" s="58">
        <v>0</v>
      </c>
    </row>
    <row r="514" s="51" customFormat="1" customHeight="1" spans="1:101">
      <c r="A514" s="51">
        <v>7201</v>
      </c>
      <c r="B514" s="139" t="s">
        <v>754</v>
      </c>
      <c r="N514" s="44"/>
      <c r="O514" s="77">
        <v>200105</v>
      </c>
      <c r="P514" s="77">
        <v>5</v>
      </c>
      <c r="Q514" s="77">
        <v>0</v>
      </c>
      <c r="R514" s="77">
        <v>0</v>
      </c>
      <c r="S514" s="64">
        <v>0</v>
      </c>
      <c r="T514" s="64">
        <v>0</v>
      </c>
      <c r="U514" s="64">
        <v>0</v>
      </c>
      <c r="V514" s="64">
        <v>0</v>
      </c>
      <c r="W514" s="63">
        <v>0</v>
      </c>
      <c r="X514" s="63">
        <v>0</v>
      </c>
      <c r="Y514" s="63">
        <v>0</v>
      </c>
      <c r="Z514" s="63">
        <v>0</v>
      </c>
      <c r="AA514" s="78">
        <v>0</v>
      </c>
      <c r="AB514" s="78">
        <v>0</v>
      </c>
      <c r="AC514" s="78">
        <v>0</v>
      </c>
      <c r="AD514" s="78">
        <v>0</v>
      </c>
      <c r="AE514" s="48">
        <v>200109</v>
      </c>
      <c r="AF514" s="49">
        <v>200106</v>
      </c>
      <c r="AG514" s="49">
        <v>200103</v>
      </c>
      <c r="AH514" s="49">
        <v>200104</v>
      </c>
      <c r="AU514" s="62">
        <v>1</v>
      </c>
      <c r="AV514" s="51">
        <v>2</v>
      </c>
      <c r="AW514" s="51">
        <v>2</v>
      </c>
      <c r="AX514" s="51">
        <v>1</v>
      </c>
      <c r="BK514" s="62">
        <v>250</v>
      </c>
      <c r="BL514" s="51">
        <v>250</v>
      </c>
      <c r="BM514" s="51">
        <v>250</v>
      </c>
      <c r="BN514" s="51">
        <v>250</v>
      </c>
      <c r="CA514" s="51">
        <v>1000</v>
      </c>
      <c r="CB514" s="51">
        <v>1000</v>
      </c>
      <c r="CC514" s="51">
        <v>0</v>
      </c>
      <c r="CD514" s="51">
        <v>0</v>
      </c>
      <c r="CE514" s="51">
        <v>0</v>
      </c>
      <c r="CF514" s="49">
        <v>193019</v>
      </c>
      <c r="CG514" s="51">
        <v>0</v>
      </c>
      <c r="CH514" s="51">
        <v>0</v>
      </c>
      <c r="CI514" s="51">
        <v>1</v>
      </c>
      <c r="CJ514" s="51">
        <v>0</v>
      </c>
      <c r="CK514" s="51">
        <v>0</v>
      </c>
      <c r="CL514" s="51">
        <v>0</v>
      </c>
      <c r="CM514" s="51">
        <v>0</v>
      </c>
      <c r="CN514" s="51">
        <v>0</v>
      </c>
      <c r="CO514" s="51">
        <v>0</v>
      </c>
      <c r="CP514" s="51">
        <v>0</v>
      </c>
      <c r="CQ514" s="51">
        <v>1</v>
      </c>
      <c r="CR514" s="51">
        <v>0</v>
      </c>
      <c r="CV514" s="51">
        <v>0</v>
      </c>
      <c r="CW514" s="51">
        <v>0</v>
      </c>
    </row>
    <row r="515" s="51" customFormat="1" customHeight="1" spans="1:101">
      <c r="A515" s="51">
        <v>7202</v>
      </c>
      <c r="B515" s="139" t="s">
        <v>755</v>
      </c>
      <c r="N515" s="44"/>
      <c r="O515" s="77">
        <v>200211</v>
      </c>
      <c r="P515" s="77">
        <v>2</v>
      </c>
      <c r="Q515" s="77">
        <v>0</v>
      </c>
      <c r="R515" s="77">
        <v>0</v>
      </c>
      <c r="S515" s="64">
        <v>200209</v>
      </c>
      <c r="T515" s="64">
        <v>2</v>
      </c>
      <c r="U515" s="64">
        <v>0</v>
      </c>
      <c r="V515" s="64">
        <v>0</v>
      </c>
      <c r="W515" s="63">
        <v>0</v>
      </c>
      <c r="X515" s="63">
        <v>0</v>
      </c>
      <c r="Y515" s="63">
        <v>0</v>
      </c>
      <c r="Z515" s="63">
        <v>0</v>
      </c>
      <c r="AA515" s="78">
        <v>0</v>
      </c>
      <c r="AB515" s="78">
        <v>0</v>
      </c>
      <c r="AC515" s="78">
        <v>0</v>
      </c>
      <c r="AD515" s="78">
        <v>0</v>
      </c>
      <c r="AE515" s="48">
        <v>200301</v>
      </c>
      <c r="AF515" s="49">
        <v>200302</v>
      </c>
      <c r="AG515" s="51"/>
      <c r="AH515" s="51"/>
      <c r="AU515" s="62">
        <v>1</v>
      </c>
      <c r="AV515" s="51">
        <v>1</v>
      </c>
      <c r="BK515" s="62">
        <v>300</v>
      </c>
      <c r="BL515" s="51">
        <v>200</v>
      </c>
      <c r="CA515" s="51">
        <v>500</v>
      </c>
      <c r="CB515" s="51">
        <v>1000</v>
      </c>
      <c r="CC515" s="51">
        <v>0</v>
      </c>
      <c r="CD515" s="51">
        <v>0</v>
      </c>
      <c r="CE515" s="51">
        <v>0</v>
      </c>
      <c r="CF515" s="49">
        <v>193020</v>
      </c>
      <c r="CG515" s="51">
        <v>0</v>
      </c>
      <c r="CH515" s="51">
        <v>0</v>
      </c>
      <c r="CI515" s="51">
        <v>1</v>
      </c>
      <c r="CJ515" s="51">
        <v>0</v>
      </c>
      <c r="CK515" s="51">
        <v>0</v>
      </c>
      <c r="CL515" s="51">
        <v>0</v>
      </c>
      <c r="CM515" s="51">
        <v>0</v>
      </c>
      <c r="CN515" s="51">
        <v>0</v>
      </c>
      <c r="CO515" s="51">
        <v>0</v>
      </c>
      <c r="CP515" s="51">
        <v>0</v>
      </c>
      <c r="CQ515" s="51">
        <v>1</v>
      </c>
      <c r="CR515" s="51">
        <v>0</v>
      </c>
      <c r="CV515" s="51">
        <v>0</v>
      </c>
      <c r="CW515" s="51">
        <v>0</v>
      </c>
    </row>
    <row r="516" s="51" customFormat="1" customHeight="1" spans="1:101">
      <c r="A516" s="51">
        <v>7203</v>
      </c>
      <c r="B516" s="123" t="s">
        <v>756</v>
      </c>
      <c r="N516" s="44"/>
      <c r="O516" s="77">
        <v>200860</v>
      </c>
      <c r="P516" s="77">
        <v>1</v>
      </c>
      <c r="Q516" s="77">
        <v>0</v>
      </c>
      <c r="R516" s="77">
        <v>0</v>
      </c>
      <c r="S516" s="64">
        <v>0</v>
      </c>
      <c r="T516" s="64">
        <v>0</v>
      </c>
      <c r="U516" s="64">
        <v>0</v>
      </c>
      <c r="V516" s="64">
        <v>0</v>
      </c>
      <c r="W516" s="63">
        <v>0</v>
      </c>
      <c r="X516" s="63">
        <v>0</v>
      </c>
      <c r="Y516" s="63">
        <v>0</v>
      </c>
      <c r="Z516" s="63">
        <v>0</v>
      </c>
      <c r="AA516" s="78">
        <v>0</v>
      </c>
      <c r="AB516" s="78">
        <v>0</v>
      </c>
      <c r="AC516" s="78">
        <v>0</v>
      </c>
      <c r="AD516" s="78">
        <v>0</v>
      </c>
      <c r="AE516" s="48">
        <v>200401</v>
      </c>
      <c r="AF516" s="49">
        <v>200402</v>
      </c>
      <c r="AG516" s="51"/>
      <c r="AH516" s="51"/>
      <c r="AU516" s="62">
        <v>1</v>
      </c>
      <c r="AV516" s="51">
        <v>1</v>
      </c>
      <c r="BK516" s="62">
        <v>250</v>
      </c>
      <c r="BL516" s="51">
        <v>250</v>
      </c>
      <c r="CA516" s="51">
        <v>500</v>
      </c>
      <c r="CB516" s="51">
        <v>1000</v>
      </c>
      <c r="CC516" s="51">
        <v>0</v>
      </c>
      <c r="CD516" s="51">
        <v>0</v>
      </c>
      <c r="CE516" s="51">
        <v>0</v>
      </c>
      <c r="CF516" s="49">
        <v>193021</v>
      </c>
      <c r="CG516" s="51">
        <v>0</v>
      </c>
      <c r="CH516" s="51">
        <v>0</v>
      </c>
      <c r="CI516" s="51">
        <v>1</v>
      </c>
      <c r="CJ516" s="51">
        <v>0</v>
      </c>
      <c r="CK516" s="51">
        <v>0</v>
      </c>
      <c r="CL516" s="51">
        <v>0</v>
      </c>
      <c r="CM516" s="51">
        <v>0</v>
      </c>
      <c r="CN516" s="51">
        <v>0</v>
      </c>
      <c r="CO516" s="51">
        <v>0</v>
      </c>
      <c r="CP516" s="51">
        <v>0</v>
      </c>
      <c r="CQ516" s="51">
        <v>1</v>
      </c>
      <c r="CR516" s="51">
        <v>0</v>
      </c>
      <c r="CV516" s="51">
        <v>0</v>
      </c>
      <c r="CW516" s="51">
        <v>0</v>
      </c>
    </row>
    <row r="517" s="58" customFormat="1" customHeight="1" spans="1:101">
      <c r="A517" s="58">
        <v>7299</v>
      </c>
      <c r="B517" s="135" t="s">
        <v>757</v>
      </c>
      <c r="O517" s="77">
        <v>0</v>
      </c>
      <c r="P517" s="77">
        <v>0</v>
      </c>
      <c r="Q517" s="77">
        <v>0</v>
      </c>
      <c r="R517" s="77">
        <v>0</v>
      </c>
      <c r="S517" s="64">
        <v>0</v>
      </c>
      <c r="T517" s="64">
        <v>0</v>
      </c>
      <c r="U517" s="64">
        <v>0</v>
      </c>
      <c r="V517" s="64">
        <v>0</v>
      </c>
      <c r="W517" s="63">
        <v>0</v>
      </c>
      <c r="X517" s="63">
        <v>0</v>
      </c>
      <c r="Y517" s="63">
        <v>0</v>
      </c>
      <c r="Z517" s="63">
        <v>0</v>
      </c>
      <c r="AA517" s="78">
        <v>0</v>
      </c>
      <c r="AB517" s="78">
        <v>0</v>
      </c>
      <c r="AC517" s="78">
        <v>0</v>
      </c>
      <c r="AD517" s="78">
        <v>0</v>
      </c>
      <c r="AE517" s="48">
        <v>200307</v>
      </c>
      <c r="AF517" s="58">
        <v>200308</v>
      </c>
      <c r="AG517" s="58">
        <v>200309</v>
      </c>
      <c r="AU517" s="62">
        <v>1</v>
      </c>
      <c r="AV517" s="58">
        <v>1</v>
      </c>
      <c r="AW517" s="58">
        <v>1</v>
      </c>
      <c r="BK517" s="62">
        <v>250</v>
      </c>
      <c r="BL517" s="58">
        <v>250</v>
      </c>
      <c r="BM517" s="58">
        <v>500</v>
      </c>
      <c r="CA517" s="58">
        <v>1000</v>
      </c>
      <c r="CB517" s="58">
        <v>1000</v>
      </c>
      <c r="CC517" s="58">
        <v>0</v>
      </c>
      <c r="CD517" s="58">
        <v>0</v>
      </c>
      <c r="CE517" s="58">
        <v>0</v>
      </c>
      <c r="CF517" s="58">
        <v>0</v>
      </c>
      <c r="CG517" s="58">
        <v>0</v>
      </c>
      <c r="CH517" s="58">
        <v>0</v>
      </c>
      <c r="CI517" s="58">
        <v>1</v>
      </c>
      <c r="CK517" s="58">
        <v>0</v>
      </c>
      <c r="CL517" s="58">
        <v>0</v>
      </c>
      <c r="CM517" s="58">
        <v>0</v>
      </c>
      <c r="CN517" s="58">
        <v>0</v>
      </c>
      <c r="CO517" s="58">
        <v>0</v>
      </c>
      <c r="CP517" s="58">
        <v>0</v>
      </c>
      <c r="CQ517" s="58">
        <v>0</v>
      </c>
      <c r="CR517" s="58">
        <v>0</v>
      </c>
      <c r="CV517" s="58">
        <v>0</v>
      </c>
      <c r="CW517" s="58">
        <v>0</v>
      </c>
    </row>
    <row r="518" s="51" customFormat="1" customHeight="1" spans="1:101">
      <c r="A518" s="51">
        <v>7300</v>
      </c>
      <c r="B518" s="123" t="s">
        <v>758</v>
      </c>
      <c r="O518" s="77">
        <v>0</v>
      </c>
      <c r="P518" s="77">
        <v>0</v>
      </c>
      <c r="Q518" s="77">
        <v>0</v>
      </c>
      <c r="R518" s="77">
        <v>0</v>
      </c>
      <c r="S518" s="64">
        <v>0</v>
      </c>
      <c r="T518" s="64">
        <v>0</v>
      </c>
      <c r="U518" s="64">
        <v>0</v>
      </c>
      <c r="V518" s="64">
        <v>0</v>
      </c>
      <c r="W518" s="63">
        <v>0</v>
      </c>
      <c r="X518" s="63">
        <v>0</v>
      </c>
      <c r="Y518" s="63">
        <v>0</v>
      </c>
      <c r="Z518" s="63">
        <v>0</v>
      </c>
      <c r="AA518" s="78">
        <v>0</v>
      </c>
      <c r="AB518" s="78">
        <v>0</v>
      </c>
      <c r="AC518" s="78">
        <v>0</v>
      </c>
      <c r="AD518" s="78">
        <v>0</v>
      </c>
      <c r="AE518" s="48">
        <v>200307</v>
      </c>
      <c r="AF518" s="51">
        <v>200308</v>
      </c>
      <c r="AG518" s="51">
        <v>200309</v>
      </c>
      <c r="AU518" s="62">
        <v>1</v>
      </c>
      <c r="AV518" s="51">
        <v>1</v>
      </c>
      <c r="AW518" s="51">
        <v>1</v>
      </c>
      <c r="BK518" s="62">
        <v>250</v>
      </c>
      <c r="BL518" s="51">
        <v>250</v>
      </c>
      <c r="BM518" s="51">
        <v>500</v>
      </c>
      <c r="CA518" s="51">
        <v>1000</v>
      </c>
      <c r="CB518" s="51">
        <v>1000</v>
      </c>
      <c r="CC518" s="51">
        <v>0</v>
      </c>
      <c r="CD518" s="51">
        <v>0</v>
      </c>
      <c r="CE518" s="51">
        <v>0</v>
      </c>
      <c r="CF518" s="51">
        <v>170018</v>
      </c>
      <c r="CG518" s="51">
        <v>0</v>
      </c>
      <c r="CH518" s="51">
        <v>0</v>
      </c>
      <c r="CI518" s="51">
        <v>1</v>
      </c>
      <c r="CK518" s="51">
        <v>0</v>
      </c>
      <c r="CL518" s="51">
        <v>0</v>
      </c>
      <c r="CM518" s="51">
        <v>0</v>
      </c>
      <c r="CN518" s="51">
        <v>0</v>
      </c>
      <c r="CO518" s="51">
        <v>0</v>
      </c>
      <c r="CP518" s="51">
        <v>0</v>
      </c>
      <c r="CQ518" s="51">
        <v>0</v>
      </c>
      <c r="CR518" s="51">
        <v>0</v>
      </c>
      <c r="CV518" s="51">
        <v>0</v>
      </c>
      <c r="CW518" s="51">
        <v>0</v>
      </c>
    </row>
    <row r="519" s="51" customFormat="1" customHeight="1" spans="1:101">
      <c r="A519" s="51">
        <v>7301</v>
      </c>
      <c r="B519" s="123" t="s">
        <v>759</v>
      </c>
      <c r="O519" s="77">
        <v>0</v>
      </c>
      <c r="P519" s="77">
        <v>0</v>
      </c>
      <c r="Q519" s="77">
        <v>0</v>
      </c>
      <c r="R519" s="77">
        <v>0</v>
      </c>
      <c r="S519" s="64">
        <v>0</v>
      </c>
      <c r="T519" s="64">
        <v>0</v>
      </c>
      <c r="U519" s="64">
        <v>0</v>
      </c>
      <c r="V519" s="64">
        <v>0</v>
      </c>
      <c r="W519" s="63">
        <v>0</v>
      </c>
      <c r="X519" s="63">
        <v>0</v>
      </c>
      <c r="Y519" s="63">
        <v>0</v>
      </c>
      <c r="Z519" s="63">
        <v>0</v>
      </c>
      <c r="AA519" s="78">
        <v>0</v>
      </c>
      <c r="AB519" s="78">
        <v>0</v>
      </c>
      <c r="AC519" s="78">
        <v>0</v>
      </c>
      <c r="AD519" s="78">
        <v>0</v>
      </c>
      <c r="AE519" s="48">
        <v>200305</v>
      </c>
      <c r="AF519" s="51">
        <v>200306</v>
      </c>
      <c r="AU519" s="62">
        <v>1</v>
      </c>
      <c r="AV519" s="51">
        <v>1</v>
      </c>
      <c r="BK519" s="62">
        <v>500</v>
      </c>
      <c r="BL519" s="51">
        <v>500</v>
      </c>
      <c r="CA519" s="51">
        <v>1000</v>
      </c>
      <c r="CB519" s="51">
        <v>1000</v>
      </c>
      <c r="CC519" s="51">
        <v>0</v>
      </c>
      <c r="CD519" s="51">
        <v>0</v>
      </c>
      <c r="CE519" s="51">
        <v>0</v>
      </c>
      <c r="CF519" s="51">
        <v>170017</v>
      </c>
      <c r="CG519" s="51">
        <v>0</v>
      </c>
      <c r="CH519" s="51">
        <v>0</v>
      </c>
      <c r="CI519" s="51">
        <v>1</v>
      </c>
      <c r="CK519" s="51">
        <v>0</v>
      </c>
      <c r="CL519" s="51">
        <v>0</v>
      </c>
      <c r="CM519" s="51">
        <v>0</v>
      </c>
      <c r="CN519" s="51">
        <v>0</v>
      </c>
      <c r="CO519" s="51">
        <v>0</v>
      </c>
      <c r="CP519" s="51">
        <v>0</v>
      </c>
      <c r="CQ519" s="51">
        <v>0</v>
      </c>
      <c r="CR519" s="51">
        <v>0</v>
      </c>
      <c r="CV519" s="51">
        <v>0</v>
      </c>
      <c r="CW519" s="51">
        <v>0</v>
      </c>
    </row>
    <row r="520" s="51" customFormat="1" customHeight="1" spans="1:101">
      <c r="A520" s="51">
        <v>7302</v>
      </c>
      <c r="B520" s="123" t="s">
        <v>760</v>
      </c>
      <c r="O520" s="77">
        <v>200109</v>
      </c>
      <c r="P520" s="77">
        <v>1</v>
      </c>
      <c r="Q520" s="77">
        <v>0</v>
      </c>
      <c r="R520" s="77">
        <v>0</v>
      </c>
      <c r="S520" s="64">
        <v>0</v>
      </c>
      <c r="T520" s="64">
        <v>0</v>
      </c>
      <c r="U520" s="64">
        <v>0</v>
      </c>
      <c r="V520" s="64">
        <v>0</v>
      </c>
      <c r="W520" s="63">
        <v>0</v>
      </c>
      <c r="X520" s="63">
        <v>0</v>
      </c>
      <c r="Y520" s="63">
        <v>0</v>
      </c>
      <c r="Z520" s="63">
        <v>0</v>
      </c>
      <c r="AA520" s="78">
        <v>0</v>
      </c>
      <c r="AB520" s="78">
        <v>0</v>
      </c>
      <c r="AC520" s="78">
        <v>0</v>
      </c>
      <c r="AD520" s="78">
        <v>0</v>
      </c>
      <c r="AE520" s="48"/>
      <c r="AU520" s="62"/>
      <c r="BK520" s="62"/>
      <c r="CA520" s="51">
        <v>1000</v>
      </c>
      <c r="CB520" s="51">
        <v>1000</v>
      </c>
      <c r="CC520" s="51">
        <v>0</v>
      </c>
      <c r="CD520" s="51">
        <v>0</v>
      </c>
      <c r="CE520" s="51">
        <v>0</v>
      </c>
      <c r="CF520" s="51">
        <v>170018</v>
      </c>
      <c r="CG520" s="51">
        <v>0</v>
      </c>
      <c r="CH520" s="51">
        <v>0</v>
      </c>
      <c r="CI520" s="51">
        <v>1</v>
      </c>
      <c r="CK520" s="51">
        <v>0</v>
      </c>
      <c r="CL520" s="51">
        <v>0</v>
      </c>
      <c r="CM520" s="51">
        <v>0</v>
      </c>
      <c r="CN520" s="51">
        <v>0</v>
      </c>
      <c r="CO520" s="51">
        <v>0</v>
      </c>
      <c r="CP520" s="51">
        <v>0</v>
      </c>
      <c r="CQ520" s="51">
        <v>0</v>
      </c>
      <c r="CR520" s="51">
        <v>0</v>
      </c>
      <c r="CV520" s="51">
        <v>0</v>
      </c>
      <c r="CW520" s="51">
        <v>0</v>
      </c>
    </row>
    <row r="521" s="51" customFormat="1" customHeight="1" spans="1:101">
      <c r="A521" s="51">
        <v>7303</v>
      </c>
      <c r="B521" s="123" t="s">
        <v>761</v>
      </c>
      <c r="O521" s="77">
        <v>200110</v>
      </c>
      <c r="P521" s="77">
        <v>1</v>
      </c>
      <c r="Q521" s="77">
        <v>0</v>
      </c>
      <c r="R521" s="77">
        <v>0</v>
      </c>
      <c r="S521" s="64">
        <v>0</v>
      </c>
      <c r="T521" s="64">
        <v>0</v>
      </c>
      <c r="U521" s="64">
        <v>0</v>
      </c>
      <c r="V521" s="64">
        <v>0</v>
      </c>
      <c r="W521" s="63">
        <v>0</v>
      </c>
      <c r="X521" s="63">
        <v>0</v>
      </c>
      <c r="Y521" s="63">
        <v>0</v>
      </c>
      <c r="Z521" s="63">
        <v>0</v>
      </c>
      <c r="AA521" s="78">
        <v>0</v>
      </c>
      <c r="AB521" s="78">
        <v>0</v>
      </c>
      <c r="AC521" s="78">
        <v>0</v>
      </c>
      <c r="AD521" s="78">
        <v>0</v>
      </c>
      <c r="AE521" s="48"/>
      <c r="AU521" s="62"/>
      <c r="BK521" s="62"/>
      <c r="CA521" s="51">
        <v>1000</v>
      </c>
      <c r="CB521" s="51">
        <v>1000</v>
      </c>
      <c r="CC521" s="51">
        <v>0</v>
      </c>
      <c r="CD521" s="51">
        <v>0</v>
      </c>
      <c r="CE521" s="51">
        <v>0</v>
      </c>
      <c r="CF521" s="51">
        <v>170017</v>
      </c>
      <c r="CG521" s="51">
        <v>0</v>
      </c>
      <c r="CH521" s="51">
        <v>0</v>
      </c>
      <c r="CI521" s="51">
        <v>1</v>
      </c>
      <c r="CK521" s="51">
        <v>0</v>
      </c>
      <c r="CL521" s="51">
        <v>0</v>
      </c>
      <c r="CM521" s="51">
        <v>0</v>
      </c>
      <c r="CN521" s="51">
        <v>0</v>
      </c>
      <c r="CO521" s="51">
        <v>0</v>
      </c>
      <c r="CP521" s="51">
        <v>0</v>
      </c>
      <c r="CQ521" s="51">
        <v>0</v>
      </c>
      <c r="CR521" s="51">
        <v>0</v>
      </c>
      <c r="CV521" s="51">
        <v>0</v>
      </c>
      <c r="CW521" s="51">
        <v>0</v>
      </c>
    </row>
    <row r="522" s="51" customFormat="1" customHeight="1" spans="1:101">
      <c r="A522" s="51">
        <v>7304</v>
      </c>
      <c r="B522" s="123" t="s">
        <v>762</v>
      </c>
      <c r="O522" s="77">
        <v>200111</v>
      </c>
      <c r="P522" s="77">
        <v>1</v>
      </c>
      <c r="Q522" s="77">
        <v>0</v>
      </c>
      <c r="R522" s="77">
        <v>0</v>
      </c>
      <c r="S522" s="64">
        <v>0</v>
      </c>
      <c r="T522" s="64">
        <v>0</v>
      </c>
      <c r="U522" s="64">
        <v>0</v>
      </c>
      <c r="V522" s="64">
        <v>0</v>
      </c>
      <c r="W522" s="63">
        <v>0</v>
      </c>
      <c r="X522" s="63">
        <v>0</v>
      </c>
      <c r="Y522" s="63">
        <v>0</v>
      </c>
      <c r="Z522" s="63">
        <v>0</v>
      </c>
      <c r="AA522" s="78">
        <v>0</v>
      </c>
      <c r="AB522" s="78">
        <v>0</v>
      </c>
      <c r="AC522" s="78">
        <v>0</v>
      </c>
      <c r="AD522" s="78">
        <v>0</v>
      </c>
      <c r="AE522" s="48"/>
      <c r="AU522" s="62"/>
      <c r="BK522" s="62"/>
      <c r="CA522" s="51">
        <v>1000</v>
      </c>
      <c r="CB522" s="51">
        <v>1000</v>
      </c>
      <c r="CC522" s="51">
        <v>0</v>
      </c>
      <c r="CD522" s="51">
        <v>0</v>
      </c>
      <c r="CE522" s="51">
        <v>0</v>
      </c>
      <c r="CF522" s="51">
        <v>170018</v>
      </c>
      <c r="CG522" s="51">
        <v>0</v>
      </c>
      <c r="CH522" s="51">
        <v>0</v>
      </c>
      <c r="CI522" s="51">
        <v>1</v>
      </c>
      <c r="CK522" s="51">
        <v>0</v>
      </c>
      <c r="CL522" s="51">
        <v>0</v>
      </c>
      <c r="CM522" s="51">
        <v>0</v>
      </c>
      <c r="CN522" s="51">
        <v>0</v>
      </c>
      <c r="CO522" s="51">
        <v>0</v>
      </c>
      <c r="CP522" s="51">
        <v>0</v>
      </c>
      <c r="CQ522" s="51">
        <v>0</v>
      </c>
      <c r="CR522" s="51">
        <v>0</v>
      </c>
      <c r="CV522" s="51">
        <v>0</v>
      </c>
      <c r="CW522" s="51">
        <v>0</v>
      </c>
    </row>
    <row r="523" s="51" customFormat="1" customHeight="1" spans="1:101">
      <c r="A523" s="51">
        <v>7305</v>
      </c>
      <c r="B523" s="123" t="s">
        <v>763</v>
      </c>
      <c r="O523" s="77">
        <v>200112</v>
      </c>
      <c r="P523" s="77">
        <v>1</v>
      </c>
      <c r="Q523" s="77">
        <v>0</v>
      </c>
      <c r="R523" s="77">
        <v>0</v>
      </c>
      <c r="S523" s="64">
        <v>0</v>
      </c>
      <c r="T523" s="64">
        <v>0</v>
      </c>
      <c r="U523" s="64">
        <v>0</v>
      </c>
      <c r="V523" s="64">
        <v>0</v>
      </c>
      <c r="W523" s="63">
        <v>0</v>
      </c>
      <c r="X523" s="63">
        <v>0</v>
      </c>
      <c r="Y523" s="63">
        <v>0</v>
      </c>
      <c r="Z523" s="63">
        <v>0</v>
      </c>
      <c r="AA523" s="78">
        <v>0</v>
      </c>
      <c r="AB523" s="78">
        <v>0</v>
      </c>
      <c r="AC523" s="78">
        <v>0</v>
      </c>
      <c r="AD523" s="78">
        <v>0</v>
      </c>
      <c r="AE523" s="48"/>
      <c r="AU523" s="62"/>
      <c r="BK523" s="62"/>
      <c r="CA523" s="51">
        <v>1000</v>
      </c>
      <c r="CB523" s="51">
        <v>1000</v>
      </c>
      <c r="CC523" s="51">
        <v>0</v>
      </c>
      <c r="CD523" s="51">
        <v>0</v>
      </c>
      <c r="CE523" s="51">
        <v>0</v>
      </c>
      <c r="CF523" s="51">
        <v>170017</v>
      </c>
      <c r="CG523" s="51">
        <v>0</v>
      </c>
      <c r="CH523" s="51">
        <v>0</v>
      </c>
      <c r="CI523" s="51">
        <v>1</v>
      </c>
      <c r="CK523" s="51">
        <v>0</v>
      </c>
      <c r="CL523" s="51">
        <v>0</v>
      </c>
      <c r="CM523" s="51">
        <v>0</v>
      </c>
      <c r="CN523" s="51">
        <v>0</v>
      </c>
      <c r="CO523" s="51">
        <v>0</v>
      </c>
      <c r="CP523" s="51">
        <v>0</v>
      </c>
      <c r="CQ523" s="51">
        <v>0</v>
      </c>
      <c r="CR523" s="51">
        <v>0</v>
      </c>
      <c r="CV523" s="51">
        <v>0</v>
      </c>
      <c r="CW523" s="51">
        <v>0</v>
      </c>
    </row>
    <row r="524" s="51" customFormat="1" customHeight="1" spans="1:101">
      <c r="A524" s="51">
        <v>7306</v>
      </c>
      <c r="B524" s="123" t="s">
        <v>764</v>
      </c>
      <c r="O524" s="77">
        <v>200401</v>
      </c>
      <c r="P524" s="77">
        <v>1</v>
      </c>
      <c r="Q524" s="77">
        <v>0</v>
      </c>
      <c r="R524" s="77">
        <v>0</v>
      </c>
      <c r="S524" s="64">
        <v>0</v>
      </c>
      <c r="T524" s="64">
        <v>0</v>
      </c>
      <c r="U524" s="64">
        <v>0</v>
      </c>
      <c r="V524" s="64">
        <v>0</v>
      </c>
      <c r="W524" s="63">
        <v>0</v>
      </c>
      <c r="X524" s="63">
        <v>0</v>
      </c>
      <c r="Y524" s="63">
        <v>0</v>
      </c>
      <c r="Z524" s="63">
        <v>0</v>
      </c>
      <c r="AA524" s="78">
        <v>0</v>
      </c>
      <c r="AB524" s="78">
        <v>0</v>
      </c>
      <c r="AC524" s="78">
        <v>0</v>
      </c>
      <c r="AD524" s="78">
        <v>0</v>
      </c>
      <c r="AE524" s="48"/>
      <c r="AU524" s="62"/>
      <c r="BK524" s="62"/>
      <c r="CA524" s="51">
        <v>1000</v>
      </c>
      <c r="CB524" s="51">
        <v>1000</v>
      </c>
      <c r="CC524" s="51">
        <v>0</v>
      </c>
      <c r="CD524" s="51">
        <v>0</v>
      </c>
      <c r="CE524" s="51">
        <v>0</v>
      </c>
      <c r="CF524" s="51">
        <v>170018</v>
      </c>
      <c r="CG524" s="51">
        <v>0</v>
      </c>
      <c r="CH524" s="51">
        <v>0</v>
      </c>
      <c r="CI524" s="51">
        <v>1</v>
      </c>
      <c r="CK524" s="51">
        <v>0</v>
      </c>
      <c r="CL524" s="51">
        <v>0</v>
      </c>
      <c r="CM524" s="51">
        <v>0</v>
      </c>
      <c r="CN524" s="51">
        <v>0</v>
      </c>
      <c r="CO524" s="51">
        <v>0</v>
      </c>
      <c r="CP524" s="51">
        <v>0</v>
      </c>
      <c r="CQ524" s="51">
        <v>0</v>
      </c>
      <c r="CR524" s="51">
        <v>0</v>
      </c>
      <c r="CV524" s="51">
        <v>0</v>
      </c>
      <c r="CW524" s="51">
        <v>0</v>
      </c>
    </row>
    <row r="525" s="51" customFormat="1" customHeight="1" spans="1:101">
      <c r="A525" s="51">
        <v>7307</v>
      </c>
      <c r="B525" s="123" t="s">
        <v>765</v>
      </c>
      <c r="O525" s="77">
        <v>200402</v>
      </c>
      <c r="P525" s="77">
        <v>1</v>
      </c>
      <c r="Q525" s="77">
        <v>0</v>
      </c>
      <c r="R525" s="77">
        <v>0</v>
      </c>
      <c r="S525" s="64">
        <v>0</v>
      </c>
      <c r="T525" s="64">
        <v>0</v>
      </c>
      <c r="U525" s="64">
        <v>0</v>
      </c>
      <c r="V525" s="64">
        <v>0</v>
      </c>
      <c r="W525" s="63">
        <v>0</v>
      </c>
      <c r="X525" s="63">
        <v>0</v>
      </c>
      <c r="Y525" s="63">
        <v>0</v>
      </c>
      <c r="Z525" s="63">
        <v>0</v>
      </c>
      <c r="AA525" s="78">
        <v>0</v>
      </c>
      <c r="AB525" s="78">
        <v>0</v>
      </c>
      <c r="AC525" s="78">
        <v>0</v>
      </c>
      <c r="AD525" s="78">
        <v>0</v>
      </c>
      <c r="AE525" s="48"/>
      <c r="AU525" s="62"/>
      <c r="BK525" s="62"/>
      <c r="CA525" s="51">
        <v>1000</v>
      </c>
      <c r="CB525" s="51">
        <v>1000</v>
      </c>
      <c r="CC525" s="51">
        <v>0</v>
      </c>
      <c r="CD525" s="51">
        <v>0</v>
      </c>
      <c r="CE525" s="51">
        <v>0</v>
      </c>
      <c r="CF525" s="51">
        <v>170018</v>
      </c>
      <c r="CG525" s="51">
        <v>0</v>
      </c>
      <c r="CH525" s="51">
        <v>0</v>
      </c>
      <c r="CI525" s="51">
        <v>1</v>
      </c>
      <c r="CK525" s="51">
        <v>0</v>
      </c>
      <c r="CL525" s="51">
        <v>0</v>
      </c>
      <c r="CM525" s="51">
        <v>0</v>
      </c>
      <c r="CN525" s="51">
        <v>0</v>
      </c>
      <c r="CO525" s="51">
        <v>0</v>
      </c>
      <c r="CP525" s="51">
        <v>0</v>
      </c>
      <c r="CQ525" s="51">
        <v>0</v>
      </c>
      <c r="CR525" s="51">
        <v>0</v>
      </c>
      <c r="CV525" s="51">
        <v>0</v>
      </c>
      <c r="CW525" s="51">
        <v>0</v>
      </c>
    </row>
    <row r="526" s="51" customFormat="1" customHeight="1" spans="1:101">
      <c r="A526" s="51">
        <v>7308</v>
      </c>
      <c r="B526" s="123" t="s">
        <v>766</v>
      </c>
      <c r="O526" s="77">
        <v>200401</v>
      </c>
      <c r="P526" s="77">
        <v>2</v>
      </c>
      <c r="Q526" s="77">
        <v>0</v>
      </c>
      <c r="R526" s="77">
        <v>0</v>
      </c>
      <c r="S526" s="64">
        <v>0</v>
      </c>
      <c r="T526" s="64">
        <v>0</v>
      </c>
      <c r="U526" s="64">
        <v>0</v>
      </c>
      <c r="V526" s="64">
        <v>0</v>
      </c>
      <c r="W526" s="63">
        <v>0</v>
      </c>
      <c r="X526" s="63">
        <v>0</v>
      </c>
      <c r="Y526" s="63">
        <v>0</v>
      </c>
      <c r="Z526" s="63">
        <v>0</v>
      </c>
      <c r="AA526" s="78">
        <v>0</v>
      </c>
      <c r="AB526" s="78">
        <v>0</v>
      </c>
      <c r="AC526" s="78">
        <v>0</v>
      </c>
      <c r="AD526" s="78">
        <v>0</v>
      </c>
      <c r="AE526" s="48"/>
      <c r="AU526" s="62"/>
      <c r="BK526" s="62"/>
      <c r="CA526" s="51">
        <v>1000</v>
      </c>
      <c r="CB526" s="51">
        <v>1000</v>
      </c>
      <c r="CC526" s="51">
        <v>0</v>
      </c>
      <c r="CD526" s="51">
        <v>0</v>
      </c>
      <c r="CE526" s="51">
        <v>0</v>
      </c>
      <c r="CF526" s="51">
        <v>170017</v>
      </c>
      <c r="CG526" s="51">
        <v>0</v>
      </c>
      <c r="CH526" s="51">
        <v>0</v>
      </c>
      <c r="CI526" s="51">
        <v>1</v>
      </c>
      <c r="CK526" s="51">
        <v>0</v>
      </c>
      <c r="CL526" s="51">
        <v>0</v>
      </c>
      <c r="CM526" s="51">
        <v>0</v>
      </c>
      <c r="CN526" s="51">
        <v>0</v>
      </c>
      <c r="CO526" s="51">
        <v>0</v>
      </c>
      <c r="CP526" s="51">
        <v>0</v>
      </c>
      <c r="CQ526" s="51">
        <v>0</v>
      </c>
      <c r="CR526" s="51">
        <v>0</v>
      </c>
      <c r="CV526" s="51">
        <v>0</v>
      </c>
      <c r="CW526" s="51">
        <v>0</v>
      </c>
    </row>
    <row r="527" s="51" customFormat="1" customHeight="1" spans="1:101">
      <c r="A527" s="51">
        <v>7309</v>
      </c>
      <c r="B527" s="123" t="s">
        <v>767</v>
      </c>
      <c r="O527" s="77">
        <v>200402</v>
      </c>
      <c r="P527" s="77">
        <v>2</v>
      </c>
      <c r="Q527" s="77">
        <v>0</v>
      </c>
      <c r="R527" s="77">
        <v>0</v>
      </c>
      <c r="S527" s="64">
        <v>0</v>
      </c>
      <c r="T527" s="64">
        <v>0</v>
      </c>
      <c r="U527" s="64">
        <v>0</v>
      </c>
      <c r="V527" s="64">
        <v>0</v>
      </c>
      <c r="W527" s="63">
        <v>0</v>
      </c>
      <c r="X527" s="63">
        <v>0</v>
      </c>
      <c r="Y527" s="63">
        <v>0</v>
      </c>
      <c r="Z527" s="63">
        <v>0</v>
      </c>
      <c r="AA527" s="78">
        <v>0</v>
      </c>
      <c r="AB527" s="78">
        <v>0</v>
      </c>
      <c r="AC527" s="78">
        <v>0</v>
      </c>
      <c r="AD527" s="78">
        <v>0</v>
      </c>
      <c r="AE527" s="48"/>
      <c r="AU527" s="62"/>
      <c r="BK527" s="62"/>
      <c r="CA527" s="51">
        <v>1000</v>
      </c>
      <c r="CB527" s="51">
        <v>1000</v>
      </c>
      <c r="CC527" s="51">
        <v>0</v>
      </c>
      <c r="CD527" s="51">
        <v>0</v>
      </c>
      <c r="CE527" s="51">
        <v>0</v>
      </c>
      <c r="CF527" s="51">
        <v>170017</v>
      </c>
      <c r="CG527" s="51">
        <v>0</v>
      </c>
      <c r="CH527" s="51">
        <v>0</v>
      </c>
      <c r="CI527" s="51">
        <v>1</v>
      </c>
      <c r="CK527" s="51">
        <v>0</v>
      </c>
      <c r="CL527" s="51">
        <v>0</v>
      </c>
      <c r="CM527" s="51">
        <v>0</v>
      </c>
      <c r="CN527" s="51">
        <v>0</v>
      </c>
      <c r="CO527" s="51">
        <v>0</v>
      </c>
      <c r="CP527" s="51">
        <v>0</v>
      </c>
      <c r="CQ527" s="51">
        <v>0</v>
      </c>
      <c r="CR527" s="51">
        <v>0</v>
      </c>
      <c r="CV527" s="51">
        <v>0</v>
      </c>
      <c r="CW527" s="51">
        <v>0</v>
      </c>
    </row>
    <row r="528" s="51" customFormat="1" customHeight="1" spans="1:101">
      <c r="A528" s="51">
        <v>7310</v>
      </c>
      <c r="B528" s="123" t="s">
        <v>768</v>
      </c>
      <c r="O528" s="77">
        <v>200501</v>
      </c>
      <c r="P528" s="77">
        <v>1</v>
      </c>
      <c r="Q528" s="77">
        <v>0</v>
      </c>
      <c r="R528" s="77">
        <v>0</v>
      </c>
      <c r="S528" s="64">
        <v>0</v>
      </c>
      <c r="T528" s="64">
        <v>0</v>
      </c>
      <c r="U528" s="64">
        <v>0</v>
      </c>
      <c r="V528" s="64">
        <v>0</v>
      </c>
      <c r="W528" s="63">
        <v>0</v>
      </c>
      <c r="X528" s="63">
        <v>0</v>
      </c>
      <c r="Y528" s="63">
        <v>0</v>
      </c>
      <c r="Z528" s="63">
        <v>0</v>
      </c>
      <c r="AA528" s="78">
        <v>0</v>
      </c>
      <c r="AB528" s="78">
        <v>0</v>
      </c>
      <c r="AC528" s="78">
        <v>0</v>
      </c>
      <c r="AD528" s="78">
        <v>0</v>
      </c>
      <c r="AE528" s="48"/>
      <c r="AU528" s="62"/>
      <c r="BK528" s="62"/>
      <c r="CA528" s="51">
        <v>1000</v>
      </c>
      <c r="CB528" s="51">
        <v>1000</v>
      </c>
      <c r="CC528" s="51">
        <v>0</v>
      </c>
      <c r="CD528" s="51">
        <v>0</v>
      </c>
      <c r="CE528" s="51">
        <v>0</v>
      </c>
      <c r="CF528" s="51">
        <v>170017</v>
      </c>
      <c r="CG528" s="51">
        <v>0</v>
      </c>
      <c r="CH528" s="51">
        <v>0</v>
      </c>
      <c r="CI528" s="51">
        <v>1</v>
      </c>
      <c r="CK528" s="51">
        <v>0</v>
      </c>
      <c r="CL528" s="51">
        <v>0</v>
      </c>
      <c r="CM528" s="51">
        <v>0</v>
      </c>
      <c r="CN528" s="51">
        <v>0</v>
      </c>
      <c r="CO528" s="51">
        <v>0</v>
      </c>
      <c r="CP528" s="51">
        <v>0</v>
      </c>
      <c r="CQ528" s="51">
        <v>0</v>
      </c>
      <c r="CR528" s="51">
        <v>0</v>
      </c>
      <c r="CV528" s="51">
        <v>0</v>
      </c>
      <c r="CW528" s="51">
        <v>0</v>
      </c>
    </row>
    <row r="529" s="51" customFormat="1" customHeight="1" spans="1:101">
      <c r="A529" s="51">
        <v>7311</v>
      </c>
      <c r="B529" s="123" t="s">
        <v>769</v>
      </c>
      <c r="O529" s="77">
        <v>200502</v>
      </c>
      <c r="P529" s="77">
        <v>1</v>
      </c>
      <c r="Q529" s="77">
        <v>0</v>
      </c>
      <c r="R529" s="77">
        <v>0</v>
      </c>
      <c r="S529" s="64">
        <v>0</v>
      </c>
      <c r="T529" s="64">
        <v>0</v>
      </c>
      <c r="U529" s="64">
        <v>0</v>
      </c>
      <c r="V529" s="64">
        <v>0</v>
      </c>
      <c r="W529" s="63">
        <v>0</v>
      </c>
      <c r="X529" s="63">
        <v>0</v>
      </c>
      <c r="Y529" s="63">
        <v>0</v>
      </c>
      <c r="Z529" s="63">
        <v>0</v>
      </c>
      <c r="AA529" s="78">
        <v>0</v>
      </c>
      <c r="AB529" s="78">
        <v>0</v>
      </c>
      <c r="AC529" s="78">
        <v>0</v>
      </c>
      <c r="AD529" s="78">
        <v>0</v>
      </c>
      <c r="AE529" s="48"/>
      <c r="AU529" s="62"/>
      <c r="BK529" s="62"/>
      <c r="CA529" s="51">
        <v>1000</v>
      </c>
      <c r="CB529" s="51">
        <v>1000</v>
      </c>
      <c r="CC529" s="51">
        <v>0</v>
      </c>
      <c r="CD529" s="51">
        <v>0</v>
      </c>
      <c r="CE529" s="51">
        <v>0</v>
      </c>
      <c r="CF529" s="51">
        <v>170017</v>
      </c>
      <c r="CG529" s="51">
        <v>0</v>
      </c>
      <c r="CH529" s="51">
        <v>0</v>
      </c>
      <c r="CI529" s="51">
        <v>1</v>
      </c>
      <c r="CK529" s="51">
        <v>0</v>
      </c>
      <c r="CL529" s="51">
        <v>0</v>
      </c>
      <c r="CM529" s="51">
        <v>0</v>
      </c>
      <c r="CN529" s="51">
        <v>0</v>
      </c>
      <c r="CO529" s="51">
        <v>0</v>
      </c>
      <c r="CP529" s="51">
        <v>0</v>
      </c>
      <c r="CQ529" s="51">
        <v>0</v>
      </c>
      <c r="CR529" s="51">
        <v>0</v>
      </c>
      <c r="CV529" s="51">
        <v>0</v>
      </c>
      <c r="CW529" s="51">
        <v>0</v>
      </c>
    </row>
    <row r="530" s="51" customFormat="1" customHeight="1" spans="1:101">
      <c r="A530" s="51">
        <v>7312</v>
      </c>
      <c r="B530" s="123" t="s">
        <v>770</v>
      </c>
      <c r="O530" s="77">
        <v>200503</v>
      </c>
      <c r="P530" s="77">
        <v>1</v>
      </c>
      <c r="Q530" s="77">
        <v>0</v>
      </c>
      <c r="R530" s="77">
        <v>0</v>
      </c>
      <c r="S530" s="64">
        <v>0</v>
      </c>
      <c r="T530" s="64">
        <v>0</v>
      </c>
      <c r="U530" s="64">
        <v>0</v>
      </c>
      <c r="V530" s="64">
        <v>0</v>
      </c>
      <c r="W530" s="63">
        <v>0</v>
      </c>
      <c r="X530" s="63">
        <v>0</v>
      </c>
      <c r="Y530" s="63">
        <v>0</v>
      </c>
      <c r="Z530" s="63">
        <v>0</v>
      </c>
      <c r="AA530" s="78">
        <v>0</v>
      </c>
      <c r="AB530" s="78">
        <v>0</v>
      </c>
      <c r="AC530" s="78">
        <v>0</v>
      </c>
      <c r="AD530" s="78">
        <v>0</v>
      </c>
      <c r="AE530" s="48"/>
      <c r="AU530" s="62"/>
      <c r="BK530" s="62"/>
      <c r="CA530" s="51">
        <v>1000</v>
      </c>
      <c r="CB530" s="51">
        <v>1000</v>
      </c>
      <c r="CC530" s="51">
        <v>0</v>
      </c>
      <c r="CD530" s="51">
        <v>0</v>
      </c>
      <c r="CE530" s="51">
        <v>0</v>
      </c>
      <c r="CF530" s="51">
        <v>170017</v>
      </c>
      <c r="CG530" s="51">
        <v>0</v>
      </c>
      <c r="CH530" s="51">
        <v>0</v>
      </c>
      <c r="CI530" s="51">
        <v>1</v>
      </c>
      <c r="CK530" s="51">
        <v>0</v>
      </c>
      <c r="CL530" s="51">
        <v>0</v>
      </c>
      <c r="CM530" s="51">
        <v>0</v>
      </c>
      <c r="CN530" s="51">
        <v>0</v>
      </c>
      <c r="CO530" s="51">
        <v>0</v>
      </c>
      <c r="CP530" s="51">
        <v>0</v>
      </c>
      <c r="CQ530" s="51">
        <v>0</v>
      </c>
      <c r="CR530" s="51">
        <v>0</v>
      </c>
      <c r="CV530" s="51">
        <v>0</v>
      </c>
      <c r="CW530" s="51">
        <v>0</v>
      </c>
    </row>
    <row r="531" s="51" customFormat="1" customHeight="1" spans="1:101">
      <c r="A531" s="51">
        <v>7313</v>
      </c>
      <c r="B531" s="123" t="s">
        <v>771</v>
      </c>
      <c r="O531" s="77">
        <v>200116</v>
      </c>
      <c r="P531" s="77">
        <v>1</v>
      </c>
      <c r="Q531" s="77">
        <v>0</v>
      </c>
      <c r="R531" s="77">
        <v>0</v>
      </c>
      <c r="S531" s="64">
        <v>0</v>
      </c>
      <c r="T531" s="64">
        <v>0</v>
      </c>
      <c r="U531" s="64">
        <v>0</v>
      </c>
      <c r="V531" s="64">
        <v>0</v>
      </c>
      <c r="W531" s="63">
        <v>0</v>
      </c>
      <c r="X531" s="63">
        <v>0</v>
      </c>
      <c r="Y531" s="63">
        <v>0</v>
      </c>
      <c r="Z531" s="63">
        <v>0</v>
      </c>
      <c r="AA531" s="78">
        <v>0</v>
      </c>
      <c r="AB531" s="78">
        <v>0</v>
      </c>
      <c r="AC531" s="78">
        <v>0</v>
      </c>
      <c r="AD531" s="78">
        <v>0</v>
      </c>
      <c r="AE531" s="48"/>
      <c r="AU531" s="62"/>
      <c r="BK531" s="62"/>
      <c r="CA531" s="51">
        <v>1000</v>
      </c>
      <c r="CB531" s="51">
        <v>1000</v>
      </c>
      <c r="CC531" s="51">
        <v>0</v>
      </c>
      <c r="CD531" s="51">
        <v>0</v>
      </c>
      <c r="CE531" s="51">
        <v>0</v>
      </c>
      <c r="CF531" s="51">
        <v>170017</v>
      </c>
      <c r="CG531" s="51">
        <v>0</v>
      </c>
      <c r="CH531" s="51">
        <v>0</v>
      </c>
      <c r="CI531" s="51">
        <v>1</v>
      </c>
      <c r="CK531" s="51">
        <v>0</v>
      </c>
      <c r="CL531" s="51">
        <v>0</v>
      </c>
      <c r="CM531" s="51">
        <v>0</v>
      </c>
      <c r="CN531" s="51">
        <v>0</v>
      </c>
      <c r="CO531" s="51">
        <v>0</v>
      </c>
      <c r="CP531" s="51">
        <v>0</v>
      </c>
      <c r="CQ531" s="51">
        <v>0</v>
      </c>
      <c r="CR531" s="51">
        <v>0</v>
      </c>
      <c r="CV531" s="51">
        <v>0</v>
      </c>
      <c r="CW531" s="51">
        <v>0</v>
      </c>
    </row>
    <row r="532" s="51" customFormat="1" customHeight="1" spans="1:101">
      <c r="A532" s="51">
        <v>7314</v>
      </c>
      <c r="B532" s="123" t="s">
        <v>772</v>
      </c>
      <c r="O532" s="77">
        <v>200067</v>
      </c>
      <c r="P532" s="77">
        <v>1</v>
      </c>
      <c r="Q532" s="77">
        <v>0</v>
      </c>
      <c r="R532" s="77">
        <v>0</v>
      </c>
      <c r="S532" s="64">
        <v>0</v>
      </c>
      <c r="T532" s="64">
        <v>0</v>
      </c>
      <c r="U532" s="64">
        <v>0</v>
      </c>
      <c r="V532" s="64">
        <v>0</v>
      </c>
      <c r="W532" s="63">
        <v>0</v>
      </c>
      <c r="X532" s="63">
        <v>0</v>
      </c>
      <c r="Y532" s="63">
        <v>0</v>
      </c>
      <c r="Z532" s="63">
        <v>0</v>
      </c>
      <c r="AA532" s="78">
        <v>0</v>
      </c>
      <c r="AB532" s="78">
        <v>0</v>
      </c>
      <c r="AC532" s="78">
        <v>0</v>
      </c>
      <c r="AD532" s="78">
        <v>0</v>
      </c>
      <c r="AE532" s="48"/>
      <c r="AU532" s="62"/>
      <c r="BK532" s="62"/>
      <c r="CA532" s="51">
        <v>1000</v>
      </c>
      <c r="CB532" s="51">
        <v>1000</v>
      </c>
      <c r="CC532" s="51">
        <v>0</v>
      </c>
      <c r="CD532" s="51">
        <v>0</v>
      </c>
      <c r="CE532" s="51">
        <v>0</v>
      </c>
      <c r="CF532" s="51">
        <v>0</v>
      </c>
      <c r="CG532" s="51">
        <v>0</v>
      </c>
      <c r="CH532" s="51">
        <v>0</v>
      </c>
      <c r="CI532" s="51">
        <v>1</v>
      </c>
      <c r="CK532" s="51">
        <v>0</v>
      </c>
      <c r="CL532" s="51">
        <v>0</v>
      </c>
      <c r="CM532" s="51">
        <v>0</v>
      </c>
      <c r="CN532" s="51">
        <v>0</v>
      </c>
      <c r="CO532" s="51">
        <v>0</v>
      </c>
      <c r="CP532" s="51">
        <v>0</v>
      </c>
      <c r="CQ532" s="51">
        <v>0</v>
      </c>
      <c r="CR532" s="51">
        <v>0</v>
      </c>
      <c r="CV532" s="51">
        <v>0</v>
      </c>
      <c r="CW532" s="51">
        <v>0</v>
      </c>
    </row>
    <row r="533" s="51" customFormat="1" customHeight="1" spans="1:101">
      <c r="A533" s="51">
        <v>7315</v>
      </c>
      <c r="B533" s="123" t="s">
        <v>773</v>
      </c>
      <c r="O533" s="77">
        <v>200067</v>
      </c>
      <c r="P533" s="77">
        <v>3</v>
      </c>
      <c r="Q533" s="77">
        <v>0</v>
      </c>
      <c r="R533" s="77">
        <v>0</v>
      </c>
      <c r="S533" s="64">
        <v>0</v>
      </c>
      <c r="T533" s="64">
        <v>0</v>
      </c>
      <c r="U533" s="64">
        <v>0</v>
      </c>
      <c r="V533" s="64">
        <v>0</v>
      </c>
      <c r="W533" s="63">
        <v>0</v>
      </c>
      <c r="X533" s="63">
        <v>0</v>
      </c>
      <c r="Y533" s="63">
        <v>0</v>
      </c>
      <c r="Z533" s="63">
        <v>0</v>
      </c>
      <c r="AA533" s="78">
        <v>0</v>
      </c>
      <c r="AB533" s="78">
        <v>0</v>
      </c>
      <c r="AC533" s="78">
        <v>0</v>
      </c>
      <c r="AD533" s="78">
        <v>0</v>
      </c>
      <c r="AE533" s="48"/>
      <c r="AU533" s="62"/>
      <c r="BK533" s="62"/>
      <c r="CA533" s="51">
        <v>1000</v>
      </c>
      <c r="CB533" s="51">
        <v>1000</v>
      </c>
      <c r="CC533" s="51">
        <v>0</v>
      </c>
      <c r="CD533" s="51">
        <v>0</v>
      </c>
      <c r="CE533" s="51">
        <v>0</v>
      </c>
      <c r="CF533" s="51">
        <v>0</v>
      </c>
      <c r="CG533" s="51">
        <v>0</v>
      </c>
      <c r="CH533" s="51">
        <v>0</v>
      </c>
      <c r="CI533" s="51">
        <v>1</v>
      </c>
      <c r="CK533" s="51">
        <v>0</v>
      </c>
      <c r="CL533" s="51">
        <v>0</v>
      </c>
      <c r="CM533" s="51">
        <v>0</v>
      </c>
      <c r="CN533" s="51">
        <v>0</v>
      </c>
      <c r="CO533" s="51">
        <v>0</v>
      </c>
      <c r="CP533" s="51">
        <v>0</v>
      </c>
      <c r="CQ533" s="51">
        <v>0</v>
      </c>
      <c r="CR533" s="51">
        <v>0</v>
      </c>
      <c r="CV533" s="51">
        <v>0</v>
      </c>
      <c r="CW533" s="51">
        <v>0</v>
      </c>
    </row>
    <row r="534" s="51" customFormat="1" customHeight="1" spans="1:101">
      <c r="A534" s="51">
        <v>7316</v>
      </c>
      <c r="B534" s="123" t="s">
        <v>774</v>
      </c>
      <c r="O534" s="77">
        <v>200875</v>
      </c>
      <c r="P534" s="77">
        <v>1</v>
      </c>
      <c r="Q534" s="77">
        <v>0</v>
      </c>
      <c r="R534" s="77">
        <v>0</v>
      </c>
      <c r="S534" s="64">
        <v>0</v>
      </c>
      <c r="T534" s="64">
        <v>0</v>
      </c>
      <c r="U534" s="64">
        <v>0</v>
      </c>
      <c r="V534" s="64">
        <v>0</v>
      </c>
      <c r="W534" s="63">
        <v>0</v>
      </c>
      <c r="X534" s="63">
        <v>0</v>
      </c>
      <c r="Y534" s="63">
        <v>0</v>
      </c>
      <c r="Z534" s="63">
        <v>0</v>
      </c>
      <c r="AA534" s="78">
        <v>0</v>
      </c>
      <c r="AB534" s="78">
        <v>0</v>
      </c>
      <c r="AC534" s="78">
        <v>0</v>
      </c>
      <c r="AD534" s="78">
        <v>0</v>
      </c>
      <c r="AE534" s="48"/>
      <c r="AU534" s="62"/>
      <c r="BK534" s="62"/>
      <c r="CA534" s="51">
        <v>1000</v>
      </c>
      <c r="CB534" s="51">
        <v>1000</v>
      </c>
      <c r="CC534" s="51">
        <v>0</v>
      </c>
      <c r="CD534" s="51">
        <v>0</v>
      </c>
      <c r="CE534" s="51">
        <v>0</v>
      </c>
      <c r="CF534" s="51">
        <v>0</v>
      </c>
      <c r="CG534" s="51">
        <v>0</v>
      </c>
      <c r="CH534" s="51">
        <v>0</v>
      </c>
      <c r="CI534" s="51">
        <v>1</v>
      </c>
      <c r="CK534" s="51">
        <v>0</v>
      </c>
      <c r="CL534" s="51">
        <v>0</v>
      </c>
      <c r="CM534" s="51">
        <v>0</v>
      </c>
      <c r="CN534" s="51">
        <v>0</v>
      </c>
      <c r="CO534" s="51">
        <v>0</v>
      </c>
      <c r="CP534" s="51">
        <v>0</v>
      </c>
      <c r="CQ534" s="51">
        <v>0</v>
      </c>
      <c r="CR534" s="51">
        <v>0</v>
      </c>
      <c r="CV534" s="51">
        <v>0</v>
      </c>
      <c r="CW534" s="51">
        <v>0</v>
      </c>
    </row>
    <row r="535" s="51" customFormat="1" customHeight="1" spans="1:101">
      <c r="A535" s="51">
        <v>7317</v>
      </c>
      <c r="B535" s="123" t="s">
        <v>775</v>
      </c>
      <c r="O535" s="77">
        <v>201201</v>
      </c>
      <c r="P535" s="77">
        <v>1</v>
      </c>
      <c r="Q535" s="77">
        <v>0</v>
      </c>
      <c r="R535" s="77">
        <v>0</v>
      </c>
      <c r="S535" s="64">
        <v>0</v>
      </c>
      <c r="T535" s="64">
        <v>0</v>
      </c>
      <c r="U535" s="64">
        <v>0</v>
      </c>
      <c r="V535" s="64">
        <v>0</v>
      </c>
      <c r="W535" s="63">
        <v>0</v>
      </c>
      <c r="X535" s="63">
        <v>0</v>
      </c>
      <c r="Y535" s="63">
        <v>0</v>
      </c>
      <c r="Z535" s="63">
        <v>0</v>
      </c>
      <c r="AA535" s="78">
        <v>0</v>
      </c>
      <c r="AB535" s="78">
        <v>0</v>
      </c>
      <c r="AC535" s="78">
        <v>0</v>
      </c>
      <c r="AD535" s="78">
        <v>0</v>
      </c>
      <c r="AE535" s="48"/>
      <c r="AU535" s="62"/>
      <c r="BK535" s="62"/>
      <c r="CA535" s="51">
        <v>1000</v>
      </c>
      <c r="CB535" s="51">
        <v>1000</v>
      </c>
      <c r="CC535" s="51">
        <v>0</v>
      </c>
      <c r="CD535" s="51">
        <v>0</v>
      </c>
      <c r="CE535" s="51">
        <v>0</v>
      </c>
      <c r="CF535" s="51">
        <v>0</v>
      </c>
      <c r="CG535" s="51">
        <v>0</v>
      </c>
      <c r="CH535" s="51">
        <v>0</v>
      </c>
      <c r="CI535" s="51">
        <v>1</v>
      </c>
      <c r="CK535" s="51">
        <v>0</v>
      </c>
      <c r="CL535" s="51">
        <v>0</v>
      </c>
      <c r="CM535" s="51">
        <v>0</v>
      </c>
      <c r="CN535" s="51">
        <v>0</v>
      </c>
      <c r="CO535" s="51">
        <v>0</v>
      </c>
      <c r="CP535" s="51">
        <v>0</v>
      </c>
      <c r="CQ535" s="51">
        <v>0</v>
      </c>
      <c r="CR535" s="51">
        <v>0</v>
      </c>
      <c r="CV535" s="51">
        <v>0</v>
      </c>
      <c r="CW535" s="51">
        <v>0</v>
      </c>
    </row>
    <row r="536" s="51" customFormat="1" customHeight="1" spans="1:101">
      <c r="A536" s="51">
        <v>7318</v>
      </c>
      <c r="B536" s="123" t="s">
        <v>776</v>
      </c>
      <c r="O536" s="77">
        <v>200121</v>
      </c>
      <c r="P536" s="77">
        <v>1</v>
      </c>
      <c r="Q536" s="77">
        <v>0</v>
      </c>
      <c r="R536" s="77">
        <v>0</v>
      </c>
      <c r="S536" s="64">
        <v>0</v>
      </c>
      <c r="T536" s="64">
        <v>0</v>
      </c>
      <c r="U536" s="64">
        <v>0</v>
      </c>
      <c r="V536" s="64">
        <v>0</v>
      </c>
      <c r="W536" s="63">
        <v>0</v>
      </c>
      <c r="X536" s="63">
        <v>0</v>
      </c>
      <c r="Y536" s="63">
        <v>0</v>
      </c>
      <c r="Z536" s="63">
        <v>0</v>
      </c>
      <c r="AA536" s="78">
        <v>0</v>
      </c>
      <c r="AB536" s="78">
        <v>0</v>
      </c>
      <c r="AC536" s="78">
        <v>0</v>
      </c>
      <c r="AD536" s="78">
        <v>0</v>
      </c>
      <c r="AE536" s="48"/>
      <c r="AU536" s="62"/>
      <c r="BK536" s="62"/>
      <c r="CA536" s="51">
        <v>1000</v>
      </c>
      <c r="CB536" s="51">
        <v>1000</v>
      </c>
      <c r="CC536" s="51">
        <v>0</v>
      </c>
      <c r="CD536" s="51">
        <v>0</v>
      </c>
      <c r="CE536" s="51">
        <v>0</v>
      </c>
      <c r="CF536" s="51">
        <v>0</v>
      </c>
      <c r="CG536" s="51">
        <v>0</v>
      </c>
      <c r="CH536" s="51">
        <v>0</v>
      </c>
      <c r="CI536" s="51">
        <v>1</v>
      </c>
      <c r="CK536" s="51">
        <v>0</v>
      </c>
      <c r="CL536" s="51">
        <v>0</v>
      </c>
      <c r="CM536" s="51">
        <v>0</v>
      </c>
      <c r="CN536" s="51">
        <v>0</v>
      </c>
      <c r="CO536" s="51">
        <v>0</v>
      </c>
      <c r="CP536" s="51">
        <v>0</v>
      </c>
      <c r="CQ536" s="51">
        <v>0</v>
      </c>
      <c r="CR536" s="51">
        <v>0</v>
      </c>
      <c r="CV536" s="51">
        <v>0</v>
      </c>
      <c r="CW536" s="51">
        <v>0</v>
      </c>
    </row>
    <row r="537" s="51" customFormat="1" customHeight="1" spans="1:101">
      <c r="A537" s="51">
        <v>7319</v>
      </c>
      <c r="B537" s="123" t="s">
        <v>777</v>
      </c>
      <c r="O537" s="77">
        <v>200511</v>
      </c>
      <c r="P537" s="77">
        <v>1</v>
      </c>
      <c r="Q537" s="77">
        <v>0</v>
      </c>
      <c r="R537" s="77">
        <v>0</v>
      </c>
      <c r="S537" s="64">
        <v>0</v>
      </c>
      <c r="T537" s="64">
        <v>0</v>
      </c>
      <c r="U537" s="64">
        <v>0</v>
      </c>
      <c r="V537" s="64">
        <v>0</v>
      </c>
      <c r="W537" s="63">
        <v>0</v>
      </c>
      <c r="X537" s="63">
        <v>0</v>
      </c>
      <c r="Y537" s="63">
        <v>0</v>
      </c>
      <c r="Z537" s="63">
        <v>0</v>
      </c>
      <c r="AA537" s="78">
        <v>0</v>
      </c>
      <c r="AB537" s="78">
        <v>0</v>
      </c>
      <c r="AC537" s="78">
        <v>0</v>
      </c>
      <c r="AD537" s="78">
        <v>0</v>
      </c>
      <c r="AE537" s="48"/>
      <c r="AU537" s="62"/>
      <c r="BK537" s="62"/>
      <c r="CA537" s="51">
        <v>1000</v>
      </c>
      <c r="CB537" s="51">
        <v>1000</v>
      </c>
      <c r="CC537" s="51">
        <v>0</v>
      </c>
      <c r="CD537" s="51">
        <v>0</v>
      </c>
      <c r="CE537" s="51">
        <v>0</v>
      </c>
      <c r="CF537" s="51">
        <v>0</v>
      </c>
      <c r="CG537" s="51">
        <v>0</v>
      </c>
      <c r="CH537" s="51">
        <v>0</v>
      </c>
      <c r="CI537" s="51">
        <v>1</v>
      </c>
      <c r="CK537" s="51">
        <v>0</v>
      </c>
      <c r="CL537" s="51">
        <v>0</v>
      </c>
      <c r="CM537" s="51">
        <v>0</v>
      </c>
      <c r="CN537" s="51">
        <v>0</v>
      </c>
      <c r="CO537" s="51">
        <v>0</v>
      </c>
      <c r="CP537" s="51">
        <v>0</v>
      </c>
      <c r="CQ537" s="51">
        <v>0</v>
      </c>
      <c r="CR537" s="51">
        <v>0</v>
      </c>
      <c r="CV537" s="51">
        <v>0</v>
      </c>
      <c r="CW537" s="51">
        <v>0</v>
      </c>
    </row>
    <row r="538" s="51" customFormat="1" customHeight="1" spans="1:101">
      <c r="A538" s="51">
        <v>7320</v>
      </c>
      <c r="B538" s="123" t="s">
        <v>778</v>
      </c>
      <c r="O538" s="77">
        <v>201202</v>
      </c>
      <c r="P538" s="77">
        <v>1</v>
      </c>
      <c r="Q538" s="77">
        <v>0</v>
      </c>
      <c r="R538" s="77">
        <v>0</v>
      </c>
      <c r="S538" s="64">
        <v>0</v>
      </c>
      <c r="T538" s="64">
        <v>0</v>
      </c>
      <c r="U538" s="64">
        <v>0</v>
      </c>
      <c r="V538" s="64">
        <v>0</v>
      </c>
      <c r="W538" s="63">
        <v>0</v>
      </c>
      <c r="X538" s="63">
        <v>0</v>
      </c>
      <c r="Y538" s="63">
        <v>0</v>
      </c>
      <c r="Z538" s="63">
        <v>0</v>
      </c>
      <c r="AA538" s="78">
        <v>0</v>
      </c>
      <c r="AB538" s="78">
        <v>0</v>
      </c>
      <c r="AC538" s="78">
        <v>0</v>
      </c>
      <c r="AD538" s="78">
        <v>0</v>
      </c>
      <c r="AE538" s="48"/>
      <c r="AU538" s="62"/>
      <c r="BK538" s="62"/>
      <c r="CA538" s="51">
        <v>1000</v>
      </c>
      <c r="CB538" s="51">
        <v>1000</v>
      </c>
      <c r="CC538" s="51">
        <v>0</v>
      </c>
      <c r="CD538" s="51">
        <v>0</v>
      </c>
      <c r="CE538" s="51">
        <v>0</v>
      </c>
      <c r="CF538" s="51">
        <v>193457</v>
      </c>
      <c r="CG538" s="51">
        <v>0</v>
      </c>
      <c r="CH538" s="51">
        <v>0</v>
      </c>
      <c r="CI538" s="51">
        <v>1</v>
      </c>
      <c r="CK538" s="51">
        <v>0</v>
      </c>
      <c r="CL538" s="51">
        <v>0</v>
      </c>
      <c r="CM538" s="51">
        <v>0</v>
      </c>
      <c r="CN538" s="51">
        <v>0</v>
      </c>
      <c r="CO538" s="51">
        <v>0</v>
      </c>
      <c r="CP538" s="51">
        <v>0</v>
      </c>
      <c r="CQ538" s="51">
        <v>0</v>
      </c>
      <c r="CR538" s="51">
        <v>0</v>
      </c>
      <c r="CV538" s="51">
        <v>0</v>
      </c>
      <c r="CW538" s="51">
        <v>0</v>
      </c>
    </row>
    <row r="539" s="58" customFormat="1" customHeight="1" spans="1:104">
      <c r="A539" s="58">
        <v>7400</v>
      </c>
      <c r="B539" s="135" t="s">
        <v>779</v>
      </c>
      <c r="O539" s="77">
        <v>0</v>
      </c>
      <c r="P539" s="77">
        <v>0</v>
      </c>
      <c r="Q539" s="77">
        <v>0</v>
      </c>
      <c r="R539" s="77">
        <v>0</v>
      </c>
      <c r="S539" s="64">
        <v>0</v>
      </c>
      <c r="T539" s="64">
        <v>0</v>
      </c>
      <c r="U539" s="64">
        <v>0</v>
      </c>
      <c r="V539" s="64">
        <v>0</v>
      </c>
      <c r="W539" s="63">
        <v>0</v>
      </c>
      <c r="X539" s="63">
        <v>0</v>
      </c>
      <c r="Y539" s="63">
        <v>0</v>
      </c>
      <c r="Z539" s="63">
        <v>0</v>
      </c>
      <c r="AA539" s="78">
        <v>0</v>
      </c>
      <c r="AB539" s="78">
        <v>0</v>
      </c>
      <c r="AC539" s="78">
        <v>0</v>
      </c>
      <c r="AD539" s="78">
        <v>0</v>
      </c>
      <c r="AE539" s="48"/>
      <c r="AU539" s="62"/>
      <c r="BK539" s="62"/>
      <c r="CA539" s="51">
        <v>1000</v>
      </c>
      <c r="CB539" s="51">
        <v>1000</v>
      </c>
      <c r="CC539" s="51">
        <v>0</v>
      </c>
      <c r="CD539" s="51">
        <v>0</v>
      </c>
      <c r="CE539" s="51">
        <v>0</v>
      </c>
      <c r="CF539" s="51">
        <v>0</v>
      </c>
      <c r="CG539" s="51">
        <v>0</v>
      </c>
      <c r="CH539" s="51">
        <v>0</v>
      </c>
      <c r="CI539" s="51">
        <v>1</v>
      </c>
      <c r="CJ539" s="51"/>
      <c r="CK539" s="51">
        <v>0</v>
      </c>
      <c r="CL539" s="51">
        <v>0</v>
      </c>
      <c r="CM539" s="51">
        <v>0</v>
      </c>
      <c r="CN539" s="51">
        <v>0</v>
      </c>
      <c r="CO539" s="51">
        <v>0</v>
      </c>
      <c r="CP539" s="51">
        <v>0</v>
      </c>
      <c r="CQ539" s="51">
        <v>0</v>
      </c>
      <c r="CR539" s="51">
        <v>0</v>
      </c>
      <c r="CS539" s="51"/>
      <c r="CT539" s="51"/>
      <c r="CU539" s="51"/>
      <c r="CV539" s="51">
        <v>0</v>
      </c>
      <c r="CW539" s="51">
        <v>0</v>
      </c>
      <c r="CX539" s="51"/>
      <c r="CY539" s="51"/>
      <c r="CZ539" s="51"/>
    </row>
    <row r="540" s="48" customFormat="1" customHeight="1" spans="1:101">
      <c r="A540" s="95">
        <v>7401</v>
      </c>
      <c r="B540" s="80" t="s">
        <v>780</v>
      </c>
      <c r="H540" s="48" t="s">
        <v>781</v>
      </c>
      <c r="J540" s="48">
        <v>1000000</v>
      </c>
      <c r="K540" s="48">
        <v>10000</v>
      </c>
      <c r="O540" s="48">
        <v>0</v>
      </c>
      <c r="P540" s="48">
        <v>0</v>
      </c>
      <c r="Q540" s="48">
        <v>0</v>
      </c>
      <c r="R540" s="48">
        <v>0</v>
      </c>
      <c r="S540" s="48">
        <v>0</v>
      </c>
      <c r="T540" s="48">
        <v>0</v>
      </c>
      <c r="U540" s="48">
        <v>0</v>
      </c>
      <c r="V540" s="48">
        <v>0</v>
      </c>
      <c r="W540" s="48">
        <v>0</v>
      </c>
      <c r="X540" s="48">
        <v>0</v>
      </c>
      <c r="Y540" s="48">
        <v>0</v>
      </c>
      <c r="Z540" s="48">
        <v>0</v>
      </c>
      <c r="AA540" s="48">
        <v>0</v>
      </c>
      <c r="AB540" s="48">
        <v>0</v>
      </c>
      <c r="AC540" s="48">
        <v>0</v>
      </c>
      <c r="AD540" s="48">
        <v>0</v>
      </c>
      <c r="AE540" s="48">
        <v>200811</v>
      </c>
      <c r="AF540" s="48">
        <v>200812</v>
      </c>
      <c r="AG540" s="48">
        <v>200560</v>
      </c>
      <c r="AH540" s="48">
        <v>200561</v>
      </c>
      <c r="AU540" s="48">
        <v>1</v>
      </c>
      <c r="AV540" s="48">
        <v>1</v>
      </c>
      <c r="AW540" s="48">
        <v>1</v>
      </c>
      <c r="AX540" s="48">
        <v>1</v>
      </c>
      <c r="BK540" s="48">
        <v>20</v>
      </c>
      <c r="BL540" s="48">
        <v>20</v>
      </c>
      <c r="BM540" s="48">
        <v>80</v>
      </c>
      <c r="BN540" s="48">
        <v>80</v>
      </c>
      <c r="CA540" s="48">
        <v>200</v>
      </c>
      <c r="CB540" s="48">
        <v>200</v>
      </c>
      <c r="CC540" s="48">
        <v>0</v>
      </c>
      <c r="CD540" s="48">
        <v>0</v>
      </c>
      <c r="CE540" s="48">
        <v>0</v>
      </c>
      <c r="CF540" s="48">
        <v>0</v>
      </c>
      <c r="CG540" s="48">
        <v>0</v>
      </c>
      <c r="CH540" s="48">
        <v>0</v>
      </c>
      <c r="CI540" s="48">
        <v>1</v>
      </c>
      <c r="CK540" s="48">
        <v>0</v>
      </c>
      <c r="CL540" s="48">
        <v>0</v>
      </c>
      <c r="CM540" s="48">
        <v>0</v>
      </c>
      <c r="CN540" s="48">
        <v>0</v>
      </c>
      <c r="CO540" s="48">
        <v>0</v>
      </c>
      <c r="CP540" s="48">
        <v>0</v>
      </c>
      <c r="CQ540" s="48">
        <v>0</v>
      </c>
      <c r="CR540" s="48">
        <v>0</v>
      </c>
      <c r="CV540" s="48">
        <v>0</v>
      </c>
      <c r="CW540" s="48">
        <v>0</v>
      </c>
    </row>
    <row r="541" s="48" customFormat="1" customHeight="1" spans="1:101">
      <c r="A541" s="95">
        <v>7402</v>
      </c>
      <c r="B541" s="80" t="s">
        <v>782</v>
      </c>
      <c r="H541" s="48" t="s">
        <v>781</v>
      </c>
      <c r="J541" s="48">
        <v>1000000</v>
      </c>
      <c r="K541" s="48">
        <v>10000</v>
      </c>
      <c r="O541" s="48">
        <v>0</v>
      </c>
      <c r="P541" s="48">
        <v>0</v>
      </c>
      <c r="Q541" s="48">
        <v>0</v>
      </c>
      <c r="R541" s="48">
        <v>0</v>
      </c>
      <c r="S541" s="48">
        <v>0</v>
      </c>
      <c r="T541" s="48">
        <v>0</v>
      </c>
      <c r="U541" s="48">
        <v>0</v>
      </c>
      <c r="V541" s="48">
        <v>0</v>
      </c>
      <c r="W541" s="48">
        <v>0</v>
      </c>
      <c r="X541" s="48">
        <v>0</v>
      </c>
      <c r="Y541" s="48">
        <v>0</v>
      </c>
      <c r="Z541" s="48">
        <v>0</v>
      </c>
      <c r="AA541" s="48">
        <v>0</v>
      </c>
      <c r="AB541" s="48">
        <v>0</v>
      </c>
      <c r="AC541" s="48">
        <v>0</v>
      </c>
      <c r="AD541" s="48">
        <v>0</v>
      </c>
      <c r="AE541" s="48">
        <v>200811</v>
      </c>
      <c r="AF541" s="48">
        <v>200812</v>
      </c>
      <c r="AG541" s="48">
        <v>200560</v>
      </c>
      <c r="AH541" s="48">
        <v>200561</v>
      </c>
      <c r="AU541" s="48">
        <v>1</v>
      </c>
      <c r="AV541" s="48">
        <v>1</v>
      </c>
      <c r="AW541" s="48">
        <v>1</v>
      </c>
      <c r="AX541" s="48">
        <v>1</v>
      </c>
      <c r="BK541" s="48">
        <v>20</v>
      </c>
      <c r="BL541" s="48">
        <v>20</v>
      </c>
      <c r="BM541" s="48">
        <v>80</v>
      </c>
      <c r="BN541" s="48">
        <v>80</v>
      </c>
      <c r="CA541" s="48">
        <v>200</v>
      </c>
      <c r="CB541" s="48">
        <v>200</v>
      </c>
      <c r="CC541" s="48">
        <v>0</v>
      </c>
      <c r="CD541" s="48">
        <v>0</v>
      </c>
      <c r="CE541" s="48">
        <v>0</v>
      </c>
      <c r="CF541" s="48">
        <v>0</v>
      </c>
      <c r="CG541" s="48">
        <v>0</v>
      </c>
      <c r="CH541" s="48">
        <v>0</v>
      </c>
      <c r="CI541" s="48">
        <v>1</v>
      </c>
      <c r="CK541" s="48">
        <v>0</v>
      </c>
      <c r="CL541" s="48">
        <v>0</v>
      </c>
      <c r="CM541" s="48">
        <v>0</v>
      </c>
      <c r="CN541" s="48">
        <v>0</v>
      </c>
      <c r="CO541" s="48">
        <v>0</v>
      </c>
      <c r="CP541" s="48">
        <v>0</v>
      </c>
      <c r="CQ541" s="48">
        <v>0</v>
      </c>
      <c r="CR541" s="48">
        <v>0</v>
      </c>
      <c r="CV541" s="48">
        <v>0</v>
      </c>
      <c r="CW541" s="48">
        <v>0</v>
      </c>
    </row>
    <row r="542" s="48" customFormat="1" customHeight="1" spans="1:101">
      <c r="A542" s="95">
        <v>7403</v>
      </c>
      <c r="B542" s="80" t="s">
        <v>783</v>
      </c>
      <c r="H542" s="48" t="s">
        <v>781</v>
      </c>
      <c r="J542" s="48">
        <v>1000000</v>
      </c>
      <c r="K542" s="48">
        <v>10000</v>
      </c>
      <c r="O542" s="48">
        <v>0</v>
      </c>
      <c r="P542" s="48">
        <v>0</v>
      </c>
      <c r="Q542" s="48">
        <v>0</v>
      </c>
      <c r="R542" s="48">
        <v>0</v>
      </c>
      <c r="S542" s="48">
        <v>0</v>
      </c>
      <c r="T542" s="48">
        <v>0</v>
      </c>
      <c r="U542" s="48">
        <v>0</v>
      </c>
      <c r="V542" s="48">
        <v>0</v>
      </c>
      <c r="W542" s="48">
        <v>0</v>
      </c>
      <c r="X542" s="48">
        <v>0</v>
      </c>
      <c r="Y542" s="48">
        <v>0</v>
      </c>
      <c r="Z542" s="48">
        <v>0</v>
      </c>
      <c r="AA542" s="48">
        <v>0</v>
      </c>
      <c r="AB542" s="48">
        <v>0</v>
      </c>
      <c r="AC542" s="48">
        <v>0</v>
      </c>
      <c r="AD542" s="48">
        <v>0</v>
      </c>
      <c r="AE542" s="48">
        <v>200811</v>
      </c>
      <c r="AF542" s="48">
        <v>200812</v>
      </c>
      <c r="AG542" s="48">
        <v>200560</v>
      </c>
      <c r="AH542" s="48">
        <v>200561</v>
      </c>
      <c r="AU542" s="48">
        <v>1</v>
      </c>
      <c r="AV542" s="48">
        <v>1</v>
      </c>
      <c r="AW542" s="48">
        <v>1</v>
      </c>
      <c r="AX542" s="48">
        <v>1</v>
      </c>
      <c r="BK542" s="48">
        <v>20</v>
      </c>
      <c r="BL542" s="48">
        <v>20</v>
      </c>
      <c r="BM542" s="48">
        <v>80</v>
      </c>
      <c r="BN542" s="48">
        <v>80</v>
      </c>
      <c r="CA542" s="48">
        <v>200</v>
      </c>
      <c r="CB542" s="48">
        <v>200</v>
      </c>
      <c r="CC542" s="48">
        <v>0</v>
      </c>
      <c r="CD542" s="48">
        <v>0</v>
      </c>
      <c r="CE542" s="48">
        <v>0</v>
      </c>
      <c r="CF542" s="48">
        <v>0</v>
      </c>
      <c r="CG542" s="48">
        <v>0</v>
      </c>
      <c r="CH542" s="48">
        <v>0</v>
      </c>
      <c r="CI542" s="48">
        <v>1</v>
      </c>
      <c r="CK542" s="48">
        <v>0</v>
      </c>
      <c r="CL542" s="48">
        <v>0</v>
      </c>
      <c r="CM542" s="48">
        <v>0</v>
      </c>
      <c r="CN542" s="48">
        <v>0</v>
      </c>
      <c r="CO542" s="48">
        <v>0</v>
      </c>
      <c r="CP542" s="48">
        <v>0</v>
      </c>
      <c r="CQ542" s="48">
        <v>0</v>
      </c>
      <c r="CR542" s="48">
        <v>0</v>
      </c>
      <c r="CV542" s="48">
        <v>0</v>
      </c>
      <c r="CW542" s="48">
        <v>0</v>
      </c>
    </row>
    <row r="543" s="48" customFormat="1" customHeight="1" spans="1:101">
      <c r="A543" s="95">
        <v>7404</v>
      </c>
      <c r="B543" s="80" t="s">
        <v>784</v>
      </c>
      <c r="H543" s="48" t="s">
        <v>781</v>
      </c>
      <c r="J543" s="48">
        <v>1000000</v>
      </c>
      <c r="K543" s="48">
        <v>10000</v>
      </c>
      <c r="O543" s="48">
        <v>0</v>
      </c>
      <c r="P543" s="48">
        <v>0</v>
      </c>
      <c r="Q543" s="48">
        <v>0</v>
      </c>
      <c r="R543" s="48">
        <v>0</v>
      </c>
      <c r="S543" s="48">
        <v>0</v>
      </c>
      <c r="T543" s="48">
        <v>0</v>
      </c>
      <c r="U543" s="48">
        <v>0</v>
      </c>
      <c r="V543" s="48">
        <v>0</v>
      </c>
      <c r="W543" s="48">
        <v>0</v>
      </c>
      <c r="X543" s="48">
        <v>0</v>
      </c>
      <c r="Y543" s="48">
        <v>0</v>
      </c>
      <c r="Z543" s="48">
        <v>0</v>
      </c>
      <c r="AA543" s="48">
        <v>0</v>
      </c>
      <c r="AB543" s="48">
        <v>0</v>
      </c>
      <c r="AC543" s="48">
        <v>0</v>
      </c>
      <c r="AD543" s="48">
        <v>0</v>
      </c>
      <c r="AE543" s="48">
        <v>200811</v>
      </c>
      <c r="AF543" s="48">
        <v>200812</v>
      </c>
      <c r="AG543" s="48">
        <v>200560</v>
      </c>
      <c r="AH543" s="48">
        <v>200561</v>
      </c>
      <c r="AU543" s="48">
        <v>1</v>
      </c>
      <c r="AV543" s="48">
        <v>1</v>
      </c>
      <c r="AW543" s="48">
        <v>1</v>
      </c>
      <c r="AX543" s="48">
        <v>1</v>
      </c>
      <c r="BK543" s="48">
        <v>20</v>
      </c>
      <c r="BL543" s="48">
        <v>20</v>
      </c>
      <c r="BM543" s="48">
        <v>80</v>
      </c>
      <c r="BN543" s="48">
        <v>80</v>
      </c>
      <c r="CA543" s="48">
        <v>200</v>
      </c>
      <c r="CB543" s="48">
        <v>200</v>
      </c>
      <c r="CC543" s="48">
        <v>0</v>
      </c>
      <c r="CD543" s="48">
        <v>0</v>
      </c>
      <c r="CE543" s="48">
        <v>0</v>
      </c>
      <c r="CF543" s="48">
        <v>0</v>
      </c>
      <c r="CG543" s="48">
        <v>0</v>
      </c>
      <c r="CH543" s="48">
        <v>0</v>
      </c>
      <c r="CI543" s="48">
        <v>1</v>
      </c>
      <c r="CK543" s="48">
        <v>0</v>
      </c>
      <c r="CL543" s="48">
        <v>0</v>
      </c>
      <c r="CM543" s="48">
        <v>0</v>
      </c>
      <c r="CN543" s="48">
        <v>0</v>
      </c>
      <c r="CO543" s="48">
        <v>0</v>
      </c>
      <c r="CP543" s="48">
        <v>0</v>
      </c>
      <c r="CQ543" s="48">
        <v>0</v>
      </c>
      <c r="CR543" s="48">
        <v>0</v>
      </c>
      <c r="CV543" s="48">
        <v>0</v>
      </c>
      <c r="CW543" s="48">
        <v>0</v>
      </c>
    </row>
    <row r="544" s="48" customFormat="1" customHeight="1" spans="1:101">
      <c r="A544" s="95">
        <v>7405</v>
      </c>
      <c r="B544" s="80" t="s">
        <v>785</v>
      </c>
      <c r="H544" s="48" t="s">
        <v>781</v>
      </c>
      <c r="J544" s="48">
        <v>1000000</v>
      </c>
      <c r="K544" s="48">
        <v>10000</v>
      </c>
      <c r="O544" s="48">
        <v>0</v>
      </c>
      <c r="P544" s="48">
        <v>0</v>
      </c>
      <c r="Q544" s="48">
        <v>0</v>
      </c>
      <c r="R544" s="48">
        <v>0</v>
      </c>
      <c r="S544" s="48">
        <v>0</v>
      </c>
      <c r="T544" s="48">
        <v>0</v>
      </c>
      <c r="U544" s="48">
        <v>0</v>
      </c>
      <c r="V544" s="48">
        <v>0</v>
      </c>
      <c r="W544" s="48">
        <v>0</v>
      </c>
      <c r="X544" s="48">
        <v>0</v>
      </c>
      <c r="Y544" s="48">
        <v>0</v>
      </c>
      <c r="Z544" s="48">
        <v>0</v>
      </c>
      <c r="AA544" s="48">
        <v>0</v>
      </c>
      <c r="AB544" s="48">
        <v>0</v>
      </c>
      <c r="AC544" s="48">
        <v>0</v>
      </c>
      <c r="AD544" s="48">
        <v>0</v>
      </c>
      <c r="AE544" s="48">
        <v>200811</v>
      </c>
      <c r="AF544" s="48">
        <v>200812</v>
      </c>
      <c r="AG544" s="48">
        <v>200560</v>
      </c>
      <c r="AH544" s="48">
        <v>200561</v>
      </c>
      <c r="AU544" s="48">
        <v>1</v>
      </c>
      <c r="AV544" s="48">
        <v>1</v>
      </c>
      <c r="AW544" s="48">
        <v>1</v>
      </c>
      <c r="AX544" s="48">
        <v>1</v>
      </c>
      <c r="BK544" s="48">
        <v>20</v>
      </c>
      <c r="BL544" s="48">
        <v>20</v>
      </c>
      <c r="BM544" s="48">
        <v>80</v>
      </c>
      <c r="BN544" s="48">
        <v>80</v>
      </c>
      <c r="CA544" s="48">
        <v>200</v>
      </c>
      <c r="CB544" s="48">
        <v>200</v>
      </c>
      <c r="CC544" s="48">
        <v>0</v>
      </c>
      <c r="CD544" s="48">
        <v>0</v>
      </c>
      <c r="CE544" s="48">
        <v>0</v>
      </c>
      <c r="CF544" s="48">
        <v>0</v>
      </c>
      <c r="CG544" s="48">
        <v>0</v>
      </c>
      <c r="CH544" s="48">
        <v>0</v>
      </c>
      <c r="CI544" s="48">
        <v>1</v>
      </c>
      <c r="CK544" s="48">
        <v>0</v>
      </c>
      <c r="CL544" s="48">
        <v>0</v>
      </c>
      <c r="CM544" s="48">
        <v>0</v>
      </c>
      <c r="CN544" s="48">
        <v>0</v>
      </c>
      <c r="CO544" s="48">
        <v>0</v>
      </c>
      <c r="CP544" s="48">
        <v>0</v>
      </c>
      <c r="CQ544" s="48">
        <v>0</v>
      </c>
      <c r="CR544" s="48">
        <v>0</v>
      </c>
      <c r="CV544" s="48">
        <v>0</v>
      </c>
      <c r="CW544" s="48">
        <v>0</v>
      </c>
    </row>
    <row r="545" s="48" customFormat="1" customHeight="1" spans="1:101">
      <c r="A545" s="95">
        <v>7406</v>
      </c>
      <c r="B545" s="80" t="s">
        <v>786</v>
      </c>
      <c r="H545" s="48" t="s">
        <v>781</v>
      </c>
      <c r="J545" s="48">
        <v>1000000</v>
      </c>
      <c r="K545" s="48">
        <v>10000</v>
      </c>
      <c r="O545" s="48">
        <v>0</v>
      </c>
      <c r="P545" s="48">
        <v>0</v>
      </c>
      <c r="Q545" s="48">
        <v>0</v>
      </c>
      <c r="R545" s="48">
        <v>0</v>
      </c>
      <c r="S545" s="48">
        <v>0</v>
      </c>
      <c r="T545" s="48">
        <v>0</v>
      </c>
      <c r="U545" s="48">
        <v>0</v>
      </c>
      <c r="V545" s="48">
        <v>0</v>
      </c>
      <c r="W545" s="48">
        <v>0</v>
      </c>
      <c r="X545" s="48">
        <v>0</v>
      </c>
      <c r="Y545" s="48">
        <v>0</v>
      </c>
      <c r="Z545" s="48">
        <v>0</v>
      </c>
      <c r="AA545" s="48">
        <v>0</v>
      </c>
      <c r="AB545" s="48">
        <v>0</v>
      </c>
      <c r="AC545" s="48">
        <v>0</v>
      </c>
      <c r="AD545" s="48">
        <v>0</v>
      </c>
      <c r="AE545" s="48">
        <v>200811</v>
      </c>
      <c r="AF545" s="48">
        <v>200812</v>
      </c>
      <c r="AG545" s="48">
        <v>200560</v>
      </c>
      <c r="AH545" s="48">
        <v>200561</v>
      </c>
      <c r="AU545" s="48">
        <v>1</v>
      </c>
      <c r="AV545" s="48">
        <v>1</v>
      </c>
      <c r="AW545" s="48">
        <v>1</v>
      </c>
      <c r="AX545" s="48">
        <v>1</v>
      </c>
      <c r="BK545" s="48">
        <v>20</v>
      </c>
      <c r="BL545" s="48">
        <v>20</v>
      </c>
      <c r="BM545" s="48">
        <v>80</v>
      </c>
      <c r="BN545" s="48">
        <v>80</v>
      </c>
      <c r="CA545" s="48">
        <v>200</v>
      </c>
      <c r="CB545" s="48">
        <v>200</v>
      </c>
      <c r="CC545" s="48">
        <v>0</v>
      </c>
      <c r="CD545" s="48">
        <v>0</v>
      </c>
      <c r="CE545" s="48">
        <v>0</v>
      </c>
      <c r="CF545" s="48">
        <v>0</v>
      </c>
      <c r="CG545" s="48">
        <v>0</v>
      </c>
      <c r="CH545" s="48">
        <v>0</v>
      </c>
      <c r="CI545" s="48">
        <v>1</v>
      </c>
      <c r="CK545" s="48">
        <v>0</v>
      </c>
      <c r="CL545" s="48">
        <v>0</v>
      </c>
      <c r="CM545" s="48">
        <v>0</v>
      </c>
      <c r="CN545" s="48">
        <v>0</v>
      </c>
      <c r="CO545" s="48">
        <v>0</v>
      </c>
      <c r="CP545" s="48">
        <v>0</v>
      </c>
      <c r="CQ545" s="48">
        <v>0</v>
      </c>
      <c r="CR545" s="48">
        <v>0</v>
      </c>
      <c r="CV545" s="48">
        <v>0</v>
      </c>
      <c r="CW545" s="48">
        <v>0</v>
      </c>
    </row>
    <row r="546" s="48" customFormat="1" customHeight="1" spans="1:101">
      <c r="A546" s="95">
        <v>7407</v>
      </c>
      <c r="B546" s="80" t="s">
        <v>787</v>
      </c>
      <c r="H546" s="48" t="s">
        <v>781</v>
      </c>
      <c r="J546" s="48">
        <v>1000000</v>
      </c>
      <c r="K546" s="48">
        <v>10000</v>
      </c>
      <c r="O546" s="48">
        <v>0</v>
      </c>
      <c r="P546" s="48">
        <v>0</v>
      </c>
      <c r="Q546" s="48">
        <v>0</v>
      </c>
      <c r="R546" s="48">
        <v>0</v>
      </c>
      <c r="S546" s="48">
        <v>0</v>
      </c>
      <c r="T546" s="48">
        <v>0</v>
      </c>
      <c r="U546" s="48">
        <v>0</v>
      </c>
      <c r="V546" s="48">
        <v>0</v>
      </c>
      <c r="W546" s="48">
        <v>0</v>
      </c>
      <c r="X546" s="48">
        <v>0</v>
      </c>
      <c r="Y546" s="48">
        <v>0</v>
      </c>
      <c r="Z546" s="48">
        <v>0</v>
      </c>
      <c r="AA546" s="48">
        <v>0</v>
      </c>
      <c r="AB546" s="48">
        <v>0</v>
      </c>
      <c r="AC546" s="48">
        <v>0</v>
      </c>
      <c r="AD546" s="48">
        <v>0</v>
      </c>
      <c r="AE546" s="48">
        <v>200811</v>
      </c>
      <c r="AF546" s="48">
        <v>200812</v>
      </c>
      <c r="AG546" s="48">
        <v>200560</v>
      </c>
      <c r="AH546" s="48">
        <v>200561</v>
      </c>
      <c r="AU546" s="48">
        <v>1</v>
      </c>
      <c r="AV546" s="48">
        <v>1</v>
      </c>
      <c r="AW546" s="48">
        <v>1</v>
      </c>
      <c r="AX546" s="48">
        <v>1</v>
      </c>
      <c r="BK546" s="48">
        <v>20</v>
      </c>
      <c r="BL546" s="48">
        <v>20</v>
      </c>
      <c r="BM546" s="48">
        <v>80</v>
      </c>
      <c r="BN546" s="48">
        <v>80</v>
      </c>
      <c r="CA546" s="48">
        <v>200</v>
      </c>
      <c r="CB546" s="48">
        <v>200</v>
      </c>
      <c r="CC546" s="48">
        <v>0</v>
      </c>
      <c r="CD546" s="48">
        <v>0</v>
      </c>
      <c r="CE546" s="48">
        <v>0</v>
      </c>
      <c r="CF546" s="48">
        <v>0</v>
      </c>
      <c r="CG546" s="48">
        <v>0</v>
      </c>
      <c r="CH546" s="48">
        <v>0</v>
      </c>
      <c r="CI546" s="48">
        <v>1</v>
      </c>
      <c r="CK546" s="48">
        <v>0</v>
      </c>
      <c r="CL546" s="48">
        <v>0</v>
      </c>
      <c r="CM546" s="48">
        <v>0</v>
      </c>
      <c r="CN546" s="48">
        <v>0</v>
      </c>
      <c r="CO546" s="48">
        <v>0</v>
      </c>
      <c r="CP546" s="48">
        <v>0</v>
      </c>
      <c r="CQ546" s="48">
        <v>0</v>
      </c>
      <c r="CR546" s="48">
        <v>0</v>
      </c>
      <c r="CV546" s="48">
        <v>0</v>
      </c>
      <c r="CW546" s="48">
        <v>0</v>
      </c>
    </row>
    <row r="547" s="58" customFormat="1" customHeight="1" spans="1:104">
      <c r="A547" s="58">
        <v>7500</v>
      </c>
      <c r="B547" s="135" t="s">
        <v>788</v>
      </c>
      <c r="O547" s="77">
        <v>0</v>
      </c>
      <c r="P547" s="77">
        <v>0</v>
      </c>
      <c r="Q547" s="77">
        <v>0</v>
      </c>
      <c r="R547" s="77">
        <v>0</v>
      </c>
      <c r="S547" s="64">
        <v>0</v>
      </c>
      <c r="T547" s="64">
        <v>0</v>
      </c>
      <c r="U547" s="64">
        <v>0</v>
      </c>
      <c r="V547" s="64">
        <v>0</v>
      </c>
      <c r="W547" s="63">
        <v>0</v>
      </c>
      <c r="X547" s="63">
        <v>0</v>
      </c>
      <c r="Y547" s="63">
        <v>0</v>
      </c>
      <c r="Z547" s="63">
        <v>0</v>
      </c>
      <c r="AA547" s="78">
        <v>0</v>
      </c>
      <c r="AB547" s="78">
        <v>0</v>
      </c>
      <c r="AC547" s="78">
        <v>0</v>
      </c>
      <c r="AD547" s="78">
        <v>0</v>
      </c>
      <c r="AE547" s="48"/>
      <c r="AU547" s="62"/>
      <c r="BK547" s="62"/>
      <c r="CA547" s="51">
        <v>1000</v>
      </c>
      <c r="CB547" s="51">
        <v>1000</v>
      </c>
      <c r="CC547" s="51">
        <v>0</v>
      </c>
      <c r="CD547" s="51">
        <v>0</v>
      </c>
      <c r="CE547" s="51">
        <v>0</v>
      </c>
      <c r="CF547" s="51">
        <v>0</v>
      </c>
      <c r="CG547" s="51">
        <v>0</v>
      </c>
      <c r="CH547" s="51">
        <v>0</v>
      </c>
      <c r="CI547" s="51">
        <v>1</v>
      </c>
      <c r="CJ547" s="51"/>
      <c r="CK547" s="51">
        <v>0</v>
      </c>
      <c r="CL547" s="51">
        <v>0</v>
      </c>
      <c r="CM547" s="51">
        <v>0</v>
      </c>
      <c r="CN547" s="51">
        <v>0</v>
      </c>
      <c r="CO547" s="51">
        <v>0</v>
      </c>
      <c r="CP547" s="51">
        <v>0</v>
      </c>
      <c r="CQ547" s="51">
        <v>0</v>
      </c>
      <c r="CR547" s="51">
        <v>0</v>
      </c>
      <c r="CS547" s="51"/>
      <c r="CT547" s="51"/>
      <c r="CU547" s="51"/>
      <c r="CV547" s="51">
        <v>0</v>
      </c>
      <c r="CW547" s="51">
        <v>0</v>
      </c>
      <c r="CX547" s="51"/>
      <c r="CY547" s="51"/>
      <c r="CZ547" s="51"/>
    </row>
    <row r="548" s="54" customFormat="1" customHeight="1" spans="1:101">
      <c r="A548" s="54">
        <v>7501</v>
      </c>
      <c r="B548" s="54" t="s">
        <v>789</v>
      </c>
      <c r="H548" s="54" t="s">
        <v>790</v>
      </c>
      <c r="I548" s="54">
        <v>1000</v>
      </c>
      <c r="J548" s="54">
        <v>1000</v>
      </c>
      <c r="K548" s="54" t="s">
        <v>466</v>
      </c>
      <c r="O548" s="54">
        <v>0</v>
      </c>
      <c r="P548" s="54">
        <v>0</v>
      </c>
      <c r="Q548" s="54">
        <v>0</v>
      </c>
      <c r="R548" s="54">
        <v>0</v>
      </c>
      <c r="S548" s="54">
        <v>0</v>
      </c>
      <c r="T548" s="54">
        <v>0</v>
      </c>
      <c r="U548" s="54">
        <v>0</v>
      </c>
      <c r="V548" s="54">
        <v>0</v>
      </c>
      <c r="W548" s="54">
        <v>0</v>
      </c>
      <c r="X548" s="54">
        <v>0</v>
      </c>
      <c r="Y548" s="54">
        <v>0</v>
      </c>
      <c r="Z548" s="54">
        <v>0</v>
      </c>
      <c r="AA548" s="54">
        <v>0</v>
      </c>
      <c r="AB548" s="54">
        <v>0</v>
      </c>
      <c r="AC548" s="54">
        <v>0</v>
      </c>
      <c r="AD548" s="54">
        <v>0</v>
      </c>
      <c r="CA548" s="54">
        <v>1000</v>
      </c>
      <c r="CB548" s="54">
        <v>1000</v>
      </c>
      <c r="CC548" s="54">
        <v>0</v>
      </c>
      <c r="CD548" s="54">
        <v>0</v>
      </c>
      <c r="CE548" s="54">
        <v>0</v>
      </c>
      <c r="CF548" s="54">
        <v>0</v>
      </c>
      <c r="CG548" s="54">
        <v>0</v>
      </c>
      <c r="CH548" s="54">
        <v>0</v>
      </c>
      <c r="CI548" s="54">
        <v>1</v>
      </c>
      <c r="CK548" s="54">
        <v>0</v>
      </c>
      <c r="CL548" s="54">
        <v>0</v>
      </c>
      <c r="CM548" s="54">
        <v>0</v>
      </c>
      <c r="CN548" s="54">
        <v>0</v>
      </c>
      <c r="CO548" s="54">
        <v>0</v>
      </c>
      <c r="CP548" s="54">
        <v>0</v>
      </c>
      <c r="CQ548" s="54">
        <v>0</v>
      </c>
      <c r="CR548" s="54">
        <v>0</v>
      </c>
      <c r="CV548" s="54">
        <v>0</v>
      </c>
      <c r="CW548" s="54">
        <v>0</v>
      </c>
    </row>
    <row r="549" s="59" customFormat="1" customHeight="1" spans="1:101">
      <c r="A549" s="59" t="s">
        <v>791</v>
      </c>
      <c r="B549" s="135" t="s">
        <v>792</v>
      </c>
      <c r="O549" s="59">
        <v>0</v>
      </c>
      <c r="P549" s="59">
        <v>0</v>
      </c>
      <c r="Q549" s="59">
        <v>0</v>
      </c>
      <c r="R549" s="59">
        <v>0</v>
      </c>
      <c r="S549" s="59">
        <v>0</v>
      </c>
      <c r="T549" s="59">
        <v>0</v>
      </c>
      <c r="U549" s="59">
        <v>0</v>
      </c>
      <c r="V549" s="59">
        <v>0</v>
      </c>
      <c r="W549" s="59">
        <v>0</v>
      </c>
      <c r="X549" s="59">
        <v>0</v>
      </c>
      <c r="Y549" s="59">
        <v>0</v>
      </c>
      <c r="Z549" s="59">
        <v>0</v>
      </c>
      <c r="AA549" s="59">
        <v>0</v>
      </c>
      <c r="AB549" s="59">
        <v>0</v>
      </c>
      <c r="AC549" s="59">
        <v>0</v>
      </c>
      <c r="AD549" s="59">
        <v>0</v>
      </c>
      <c r="AE549" s="59"/>
      <c r="CA549" s="59">
        <v>1000</v>
      </c>
      <c r="CB549" s="59">
        <v>1000</v>
      </c>
      <c r="CC549" s="59">
        <v>0</v>
      </c>
      <c r="CD549" s="59">
        <v>0</v>
      </c>
      <c r="CE549" s="59">
        <v>0</v>
      </c>
      <c r="CF549" s="59">
        <v>0</v>
      </c>
      <c r="CG549" s="59">
        <v>0</v>
      </c>
      <c r="CH549" s="59">
        <v>0</v>
      </c>
      <c r="CI549" s="59">
        <v>1</v>
      </c>
      <c r="CJ549" s="59"/>
      <c r="CK549" s="59">
        <v>0</v>
      </c>
      <c r="CL549" s="59">
        <v>0</v>
      </c>
      <c r="CM549" s="59">
        <v>0</v>
      </c>
      <c r="CN549" s="59">
        <v>0</v>
      </c>
      <c r="CO549" s="59">
        <v>0</v>
      </c>
      <c r="CP549" s="59">
        <v>0</v>
      </c>
      <c r="CQ549" s="59">
        <v>0</v>
      </c>
      <c r="CR549" s="59">
        <v>0</v>
      </c>
      <c r="CS549" s="59"/>
      <c r="CT549" s="59"/>
      <c r="CU549" s="59"/>
      <c r="CV549" s="59">
        <v>0</v>
      </c>
      <c r="CW549" s="59">
        <v>0</v>
      </c>
    </row>
    <row r="550" s="54" customFormat="1" customHeight="1" spans="1:101">
      <c r="A550" s="54">
        <v>7601</v>
      </c>
      <c r="B550" s="54" t="s">
        <v>793</v>
      </c>
      <c r="H550" s="54">
        <v>400000</v>
      </c>
      <c r="I550" s="54" t="s">
        <v>470</v>
      </c>
      <c r="J550" s="54">
        <v>200000</v>
      </c>
      <c r="K550" s="54" t="s">
        <v>651</v>
      </c>
      <c r="O550" s="54" t="s">
        <v>794</v>
      </c>
      <c r="P550" s="54" t="s">
        <v>654</v>
      </c>
      <c r="Q550" s="54" t="s">
        <v>329</v>
      </c>
      <c r="R550" s="54" t="s">
        <v>329</v>
      </c>
      <c r="S550" s="54" t="s">
        <v>329</v>
      </c>
      <c r="T550" s="54" t="s">
        <v>329</v>
      </c>
      <c r="U550" s="54" t="s">
        <v>329</v>
      </c>
      <c r="V550" s="54" t="s">
        <v>329</v>
      </c>
      <c r="W550" s="54" t="s">
        <v>329</v>
      </c>
      <c r="X550" s="54" t="s">
        <v>329</v>
      </c>
      <c r="Y550" s="54" t="s">
        <v>329</v>
      </c>
      <c r="Z550" s="54" t="s">
        <v>329</v>
      </c>
      <c r="AA550" s="109">
        <v>0</v>
      </c>
      <c r="AB550" s="109">
        <v>0</v>
      </c>
      <c r="AC550" s="109">
        <v>0</v>
      </c>
      <c r="AD550" s="109">
        <v>0</v>
      </c>
      <c r="AE550" s="54" t="s">
        <v>795</v>
      </c>
      <c r="AF550" s="54" t="s">
        <v>796</v>
      </c>
      <c r="AG550" s="54" t="s">
        <v>797</v>
      </c>
      <c r="AH550" s="54" t="s">
        <v>798</v>
      </c>
      <c r="AI550" s="146">
        <v>230517</v>
      </c>
      <c r="AJ550" s="146">
        <v>230512</v>
      </c>
      <c r="AU550" s="54" t="s">
        <v>319</v>
      </c>
      <c r="AV550" s="54" t="s">
        <v>319</v>
      </c>
      <c r="AW550" s="54" t="s">
        <v>670</v>
      </c>
      <c r="AX550" s="54" t="s">
        <v>319</v>
      </c>
      <c r="AY550" s="54" t="s">
        <v>319</v>
      </c>
      <c r="AZ550" s="54" t="s">
        <v>319</v>
      </c>
      <c r="BK550" s="54" t="s">
        <v>320</v>
      </c>
      <c r="BL550" s="54" t="s">
        <v>320</v>
      </c>
      <c r="BM550" s="54" t="s">
        <v>320</v>
      </c>
      <c r="BN550" s="54" t="s">
        <v>322</v>
      </c>
      <c r="BO550" s="54" t="s">
        <v>320</v>
      </c>
      <c r="BP550" s="54" t="s">
        <v>320</v>
      </c>
      <c r="CA550" s="54" t="s">
        <v>799</v>
      </c>
      <c r="CB550" s="54" t="s">
        <v>799</v>
      </c>
      <c r="CC550" s="54">
        <v>0</v>
      </c>
      <c r="CD550" s="54">
        <v>0</v>
      </c>
      <c r="CE550" s="54">
        <v>0</v>
      </c>
      <c r="CF550" s="54">
        <v>125507</v>
      </c>
      <c r="CG550" s="54">
        <v>1</v>
      </c>
      <c r="CH550" s="54">
        <v>1</v>
      </c>
      <c r="CI550" s="54">
        <v>1</v>
      </c>
      <c r="CJ550" s="54">
        <v>0</v>
      </c>
      <c r="CK550" s="54">
        <v>0</v>
      </c>
      <c r="CL550" s="54">
        <v>0</v>
      </c>
      <c r="CM550" s="54">
        <v>0</v>
      </c>
      <c r="CN550" s="54">
        <v>0</v>
      </c>
      <c r="CO550" s="54">
        <v>0</v>
      </c>
      <c r="CP550" s="54">
        <v>0</v>
      </c>
      <c r="CQ550" s="54">
        <v>0</v>
      </c>
      <c r="CR550" s="54">
        <v>0</v>
      </c>
      <c r="CV550" s="54">
        <v>0</v>
      </c>
      <c r="CW550" s="54">
        <v>0</v>
      </c>
    </row>
    <row r="551" s="54" customFormat="1" customHeight="1" spans="1:101">
      <c r="A551" s="54">
        <v>7602</v>
      </c>
      <c r="B551" s="54" t="s">
        <v>800</v>
      </c>
      <c r="H551" s="54">
        <v>340000</v>
      </c>
      <c r="I551" s="54">
        <v>100000</v>
      </c>
      <c r="J551" s="54">
        <v>160000</v>
      </c>
      <c r="K551" s="54" t="s">
        <v>801</v>
      </c>
      <c r="O551" s="54" t="s">
        <v>794</v>
      </c>
      <c r="P551" s="54" t="s">
        <v>673</v>
      </c>
      <c r="Q551" s="54" t="s">
        <v>329</v>
      </c>
      <c r="R551" s="54" t="s">
        <v>329</v>
      </c>
      <c r="S551" s="54" t="s">
        <v>329</v>
      </c>
      <c r="T551" s="54" t="s">
        <v>329</v>
      </c>
      <c r="U551" s="54" t="s">
        <v>329</v>
      </c>
      <c r="V551" s="54" t="s">
        <v>329</v>
      </c>
      <c r="W551" s="54" t="s">
        <v>329</v>
      </c>
      <c r="X551" s="54" t="s">
        <v>329</v>
      </c>
      <c r="Y551" s="54" t="s">
        <v>329</v>
      </c>
      <c r="Z551" s="54" t="s">
        <v>329</v>
      </c>
      <c r="AA551" s="109">
        <v>0</v>
      </c>
      <c r="AB551" s="109">
        <v>0</v>
      </c>
      <c r="AC551" s="109">
        <v>0</v>
      </c>
      <c r="AD551" s="109">
        <v>0</v>
      </c>
      <c r="AE551" s="54" t="s">
        <v>795</v>
      </c>
      <c r="AF551" s="54" t="s">
        <v>796</v>
      </c>
      <c r="AG551" s="54" t="s">
        <v>797</v>
      </c>
      <c r="AH551" s="54" t="s">
        <v>798</v>
      </c>
      <c r="AI551" s="146">
        <v>230517</v>
      </c>
      <c r="AJ551" s="146">
        <v>230512</v>
      </c>
      <c r="AU551" s="54" t="s">
        <v>654</v>
      </c>
      <c r="AV551" s="54" t="s">
        <v>319</v>
      </c>
      <c r="AW551" s="54" t="s">
        <v>678</v>
      </c>
      <c r="AX551" s="54" t="s">
        <v>319</v>
      </c>
      <c r="AY551" s="54" t="s">
        <v>654</v>
      </c>
      <c r="AZ551" s="54" t="s">
        <v>654</v>
      </c>
      <c r="BK551" s="54" t="s">
        <v>320</v>
      </c>
      <c r="BL551" s="54" t="s">
        <v>320</v>
      </c>
      <c r="BM551" s="54" t="s">
        <v>320</v>
      </c>
      <c r="BN551" s="54" t="s">
        <v>661</v>
      </c>
      <c r="BO551" s="54" t="s">
        <v>320</v>
      </c>
      <c r="BP551" s="54" t="s">
        <v>320</v>
      </c>
      <c r="CA551" s="54" t="s">
        <v>802</v>
      </c>
      <c r="CB551" s="54" t="s">
        <v>802</v>
      </c>
      <c r="CC551" s="54">
        <v>0</v>
      </c>
      <c r="CD551" s="54">
        <v>0</v>
      </c>
      <c r="CE551" s="54">
        <v>0</v>
      </c>
      <c r="CF551" s="54">
        <v>125508</v>
      </c>
      <c r="CG551" s="54">
        <v>1</v>
      </c>
      <c r="CH551" s="54">
        <v>1</v>
      </c>
      <c r="CI551" s="54">
        <v>1</v>
      </c>
      <c r="CJ551" s="54">
        <v>0</v>
      </c>
      <c r="CK551" s="54">
        <v>0</v>
      </c>
      <c r="CL551" s="54">
        <v>0</v>
      </c>
      <c r="CM551" s="54">
        <v>0</v>
      </c>
      <c r="CN551" s="54">
        <v>0</v>
      </c>
      <c r="CO551" s="54">
        <v>0</v>
      </c>
      <c r="CP551" s="54">
        <v>0</v>
      </c>
      <c r="CQ551" s="54">
        <v>0</v>
      </c>
      <c r="CR551" s="54">
        <v>0</v>
      </c>
      <c r="CV551" s="54">
        <v>0</v>
      </c>
      <c r="CW551" s="54">
        <v>0</v>
      </c>
    </row>
    <row r="552" s="54" customFormat="1" customHeight="1" spans="1:101">
      <c r="A552" s="54">
        <v>7603</v>
      </c>
      <c r="B552" s="54" t="s">
        <v>803</v>
      </c>
      <c r="H552" s="54">
        <v>400000</v>
      </c>
      <c r="I552" s="54">
        <v>100000</v>
      </c>
      <c r="J552" s="54">
        <v>200000</v>
      </c>
      <c r="K552" s="54" t="s">
        <v>511</v>
      </c>
      <c r="O552" s="54" t="s">
        <v>804</v>
      </c>
      <c r="P552" s="54" t="s">
        <v>654</v>
      </c>
      <c r="Q552" s="54" t="s">
        <v>329</v>
      </c>
      <c r="R552" s="54" t="s">
        <v>329</v>
      </c>
      <c r="S552" s="54" t="s">
        <v>329</v>
      </c>
      <c r="T552" s="54" t="s">
        <v>329</v>
      </c>
      <c r="U552" s="54" t="s">
        <v>329</v>
      </c>
      <c r="V552" s="54" t="s">
        <v>329</v>
      </c>
      <c r="W552" s="54" t="s">
        <v>329</v>
      </c>
      <c r="X552" s="54" t="s">
        <v>329</v>
      </c>
      <c r="Y552" s="54" t="s">
        <v>329</v>
      </c>
      <c r="Z552" s="54" t="s">
        <v>329</v>
      </c>
      <c r="AA552" s="109">
        <v>0</v>
      </c>
      <c r="AB552" s="109">
        <v>0</v>
      </c>
      <c r="AC552" s="109">
        <v>0</v>
      </c>
      <c r="AD552" s="109">
        <v>0</v>
      </c>
      <c r="AE552" s="54" t="s">
        <v>795</v>
      </c>
      <c r="AF552" s="54" t="s">
        <v>796</v>
      </c>
      <c r="AG552" s="54" t="s">
        <v>805</v>
      </c>
      <c r="AH552" s="54" t="s">
        <v>798</v>
      </c>
      <c r="AI552" s="146">
        <v>230518</v>
      </c>
      <c r="AJ552" s="146">
        <v>230512</v>
      </c>
      <c r="AU552" s="54" t="s">
        <v>673</v>
      </c>
      <c r="AV552" s="54" t="s">
        <v>654</v>
      </c>
      <c r="AW552" s="54" t="s">
        <v>670</v>
      </c>
      <c r="AX552" s="54" t="s">
        <v>319</v>
      </c>
      <c r="AY552" s="54" t="s">
        <v>319</v>
      </c>
      <c r="AZ552" s="54" t="s">
        <v>319</v>
      </c>
      <c r="BK552" s="54" t="s">
        <v>320</v>
      </c>
      <c r="BL552" s="54" t="s">
        <v>320</v>
      </c>
      <c r="BM552" s="54" t="s">
        <v>320</v>
      </c>
      <c r="BN552" s="54" t="s">
        <v>806</v>
      </c>
      <c r="BO552" s="54" t="s">
        <v>320</v>
      </c>
      <c r="BP552" s="54" t="s">
        <v>320</v>
      </c>
      <c r="CA552" s="54" t="s">
        <v>807</v>
      </c>
      <c r="CB552" s="54" t="s">
        <v>807</v>
      </c>
      <c r="CC552" s="54">
        <v>0</v>
      </c>
      <c r="CD552" s="54">
        <v>0</v>
      </c>
      <c r="CE552" s="54">
        <v>0</v>
      </c>
      <c r="CF552" s="54">
        <v>125509</v>
      </c>
      <c r="CG552" s="54">
        <v>1</v>
      </c>
      <c r="CH552" s="54">
        <v>1</v>
      </c>
      <c r="CI552" s="54">
        <v>1</v>
      </c>
      <c r="CJ552" s="54">
        <v>0</v>
      </c>
      <c r="CK552" s="54">
        <v>0</v>
      </c>
      <c r="CL552" s="54">
        <v>0</v>
      </c>
      <c r="CM552" s="54">
        <v>0</v>
      </c>
      <c r="CN552" s="54">
        <v>0</v>
      </c>
      <c r="CO552" s="54">
        <v>0</v>
      </c>
      <c r="CP552" s="54">
        <v>0</v>
      </c>
      <c r="CQ552" s="54">
        <v>0</v>
      </c>
      <c r="CR552" s="54">
        <v>0</v>
      </c>
      <c r="CV552" s="54">
        <v>0</v>
      </c>
      <c r="CW552" s="54">
        <v>0</v>
      </c>
    </row>
    <row r="553" s="54" customFormat="1" customHeight="1" spans="1:101">
      <c r="A553" s="54">
        <v>7604</v>
      </c>
      <c r="B553" s="54" t="s">
        <v>808</v>
      </c>
      <c r="H553" s="54">
        <v>450000</v>
      </c>
      <c r="I553" s="54">
        <v>100000</v>
      </c>
      <c r="J553" s="54">
        <v>250000</v>
      </c>
      <c r="K553" s="54" t="s">
        <v>809</v>
      </c>
      <c r="O553" s="54" t="s">
        <v>804</v>
      </c>
      <c r="P553" s="54" t="s">
        <v>673</v>
      </c>
      <c r="Q553" s="54" t="s">
        <v>329</v>
      </c>
      <c r="R553" s="54" t="s">
        <v>329</v>
      </c>
      <c r="S553" s="54" t="s">
        <v>329</v>
      </c>
      <c r="T553" s="54" t="s">
        <v>329</v>
      </c>
      <c r="U553" s="54" t="s">
        <v>329</v>
      </c>
      <c r="V553" s="54" t="s">
        <v>329</v>
      </c>
      <c r="W553" s="54" t="s">
        <v>329</v>
      </c>
      <c r="X553" s="54" t="s">
        <v>329</v>
      </c>
      <c r="Y553" s="54" t="s">
        <v>329</v>
      </c>
      <c r="Z553" s="54" t="s">
        <v>329</v>
      </c>
      <c r="AA553" s="109">
        <v>0</v>
      </c>
      <c r="AB553" s="109">
        <v>0</v>
      </c>
      <c r="AC553" s="109">
        <v>0</v>
      </c>
      <c r="AD553" s="109">
        <v>0</v>
      </c>
      <c r="AE553" s="54" t="s">
        <v>795</v>
      </c>
      <c r="AF553" s="54" t="s">
        <v>796</v>
      </c>
      <c r="AG553" s="54" t="s">
        <v>805</v>
      </c>
      <c r="AH553" s="54" t="s">
        <v>798</v>
      </c>
      <c r="AI553" s="146">
        <v>230518</v>
      </c>
      <c r="AJ553" s="146">
        <v>230512</v>
      </c>
      <c r="AU553" s="54" t="s">
        <v>810</v>
      </c>
      <c r="AV553" s="54" t="s">
        <v>654</v>
      </c>
      <c r="AW553" s="54" t="s">
        <v>678</v>
      </c>
      <c r="AX553" s="54" t="s">
        <v>319</v>
      </c>
      <c r="AY553" s="54" t="s">
        <v>654</v>
      </c>
      <c r="AZ553" s="54" t="s">
        <v>654</v>
      </c>
      <c r="BK553" s="54" t="s">
        <v>320</v>
      </c>
      <c r="BL553" s="54" t="s">
        <v>320</v>
      </c>
      <c r="BM553" s="54" t="s">
        <v>320</v>
      </c>
      <c r="BN553" s="54" t="s">
        <v>321</v>
      </c>
      <c r="BO553" s="54" t="s">
        <v>320</v>
      </c>
      <c r="BP553" s="54" t="s">
        <v>320</v>
      </c>
      <c r="CA553" s="54" t="s">
        <v>811</v>
      </c>
      <c r="CB553" s="54" t="s">
        <v>811</v>
      </c>
      <c r="CC553" s="54">
        <v>0</v>
      </c>
      <c r="CD553" s="54">
        <v>0</v>
      </c>
      <c r="CE553" s="54">
        <v>0</v>
      </c>
      <c r="CF553" s="54">
        <v>125510</v>
      </c>
      <c r="CG553" s="54">
        <v>1</v>
      </c>
      <c r="CH553" s="54">
        <v>1</v>
      </c>
      <c r="CI553" s="54">
        <v>1</v>
      </c>
      <c r="CJ553" s="54">
        <v>0</v>
      </c>
      <c r="CK553" s="54">
        <v>0</v>
      </c>
      <c r="CL553" s="54">
        <v>0</v>
      </c>
      <c r="CM553" s="54">
        <v>0</v>
      </c>
      <c r="CN553" s="54">
        <v>0</v>
      </c>
      <c r="CO553" s="54">
        <v>0</v>
      </c>
      <c r="CP553" s="54">
        <v>0</v>
      </c>
      <c r="CQ553" s="54">
        <v>0</v>
      </c>
      <c r="CR553" s="54">
        <v>0</v>
      </c>
      <c r="CV553" s="54">
        <v>0</v>
      </c>
      <c r="CW553" s="54">
        <v>0</v>
      </c>
    </row>
    <row r="554" s="54" customFormat="1" customHeight="1" spans="1:101">
      <c r="A554" s="54">
        <v>7605</v>
      </c>
      <c r="B554" s="54" t="s">
        <v>812</v>
      </c>
      <c r="H554" s="54">
        <v>550000</v>
      </c>
      <c r="I554" s="54">
        <v>100000</v>
      </c>
      <c r="J554" s="54">
        <v>310000</v>
      </c>
      <c r="K554" s="54" t="s">
        <v>676</v>
      </c>
      <c r="O554" s="54" t="s">
        <v>813</v>
      </c>
      <c r="P554" s="54" t="s">
        <v>654</v>
      </c>
      <c r="Q554" s="54" t="s">
        <v>329</v>
      </c>
      <c r="R554" s="54" t="s">
        <v>329</v>
      </c>
      <c r="S554" s="54" t="s">
        <v>329</v>
      </c>
      <c r="T554" s="54" t="s">
        <v>329</v>
      </c>
      <c r="U554" s="54" t="s">
        <v>329</v>
      </c>
      <c r="V554" s="54" t="s">
        <v>329</v>
      </c>
      <c r="W554" s="54" t="s">
        <v>329</v>
      </c>
      <c r="X554" s="54" t="s">
        <v>329</v>
      </c>
      <c r="Y554" s="54" t="s">
        <v>329</v>
      </c>
      <c r="Z554" s="54" t="s">
        <v>329</v>
      </c>
      <c r="AA554" s="109">
        <v>0</v>
      </c>
      <c r="AB554" s="109">
        <v>0</v>
      </c>
      <c r="AC554" s="109">
        <v>0</v>
      </c>
      <c r="AD554" s="109">
        <v>0</v>
      </c>
      <c r="AE554" s="54" t="s">
        <v>795</v>
      </c>
      <c r="AF554" s="54" t="s">
        <v>796</v>
      </c>
      <c r="AG554" s="54" t="s">
        <v>814</v>
      </c>
      <c r="AH554" s="54" t="s">
        <v>798</v>
      </c>
      <c r="AI554" s="146">
        <v>230519</v>
      </c>
      <c r="AJ554" s="146">
        <v>230513</v>
      </c>
      <c r="AU554" s="54" t="s">
        <v>815</v>
      </c>
      <c r="AV554" s="54" t="s">
        <v>669</v>
      </c>
      <c r="AW554" s="54" t="s">
        <v>670</v>
      </c>
      <c r="AX554" s="54" t="s">
        <v>319</v>
      </c>
      <c r="AY554" s="54" t="s">
        <v>319</v>
      </c>
      <c r="AZ554" s="54" t="s">
        <v>319</v>
      </c>
      <c r="BK554" s="54" t="s">
        <v>320</v>
      </c>
      <c r="BL554" s="54" t="s">
        <v>320</v>
      </c>
      <c r="BM554" s="54" t="s">
        <v>320</v>
      </c>
      <c r="BN554" s="54" t="s">
        <v>816</v>
      </c>
      <c r="BO554" s="54" t="s">
        <v>320</v>
      </c>
      <c r="BP554" s="54" t="s">
        <v>320</v>
      </c>
      <c r="CA554" s="54" t="s">
        <v>817</v>
      </c>
      <c r="CB554" s="54" t="s">
        <v>817</v>
      </c>
      <c r="CC554" s="54">
        <v>0</v>
      </c>
      <c r="CD554" s="54">
        <v>0</v>
      </c>
      <c r="CE554" s="54">
        <v>0</v>
      </c>
      <c r="CF554" s="54">
        <v>125511</v>
      </c>
      <c r="CG554" s="54">
        <v>1</v>
      </c>
      <c r="CH554" s="54">
        <v>1</v>
      </c>
      <c r="CI554" s="54">
        <v>1</v>
      </c>
      <c r="CJ554" s="54">
        <v>0</v>
      </c>
      <c r="CK554" s="54">
        <v>0</v>
      </c>
      <c r="CL554" s="54">
        <v>0</v>
      </c>
      <c r="CM554" s="54">
        <v>0</v>
      </c>
      <c r="CN554" s="54">
        <v>0</v>
      </c>
      <c r="CO554" s="54">
        <v>0</v>
      </c>
      <c r="CP554" s="54">
        <v>0</v>
      </c>
      <c r="CQ554" s="54">
        <v>0</v>
      </c>
      <c r="CR554" s="54">
        <v>0</v>
      </c>
      <c r="CV554" s="54">
        <v>0</v>
      </c>
      <c r="CW554" s="54">
        <v>0</v>
      </c>
    </row>
    <row r="555" s="54" customFormat="1" customHeight="1" spans="1:101">
      <c r="A555" s="54">
        <v>7606</v>
      </c>
      <c r="B555" s="54" t="s">
        <v>818</v>
      </c>
      <c r="H555" s="54">
        <v>600000</v>
      </c>
      <c r="I555" s="54">
        <v>100000</v>
      </c>
      <c r="J555" s="54">
        <v>380000</v>
      </c>
      <c r="K555" s="54" t="s">
        <v>819</v>
      </c>
      <c r="O555" s="54" t="s">
        <v>813</v>
      </c>
      <c r="P555" s="54" t="s">
        <v>673</v>
      </c>
      <c r="Q555" s="54" t="s">
        <v>329</v>
      </c>
      <c r="R555" s="54" t="s">
        <v>329</v>
      </c>
      <c r="S555" s="54" t="s">
        <v>329</v>
      </c>
      <c r="T555" s="54" t="s">
        <v>329</v>
      </c>
      <c r="U555" s="54" t="s">
        <v>329</v>
      </c>
      <c r="V555" s="54" t="s">
        <v>329</v>
      </c>
      <c r="W555" s="54" t="s">
        <v>329</v>
      </c>
      <c r="X555" s="54" t="s">
        <v>329</v>
      </c>
      <c r="Y555" s="54" t="s">
        <v>329</v>
      </c>
      <c r="Z555" s="54" t="s">
        <v>329</v>
      </c>
      <c r="AA555" s="109">
        <v>0</v>
      </c>
      <c r="AB555" s="109">
        <v>0</v>
      </c>
      <c r="AC555" s="109">
        <v>0</v>
      </c>
      <c r="AD555" s="109">
        <v>0</v>
      </c>
      <c r="AE555" s="54" t="s">
        <v>795</v>
      </c>
      <c r="AF555" s="54" t="s">
        <v>796</v>
      </c>
      <c r="AG555" s="54" t="s">
        <v>814</v>
      </c>
      <c r="AH555" s="54" t="s">
        <v>798</v>
      </c>
      <c r="AI555" s="146">
        <v>230519</v>
      </c>
      <c r="AJ555" s="146">
        <v>230513</v>
      </c>
      <c r="AU555" s="54" t="s">
        <v>670</v>
      </c>
      <c r="AV555" s="54" t="s">
        <v>669</v>
      </c>
      <c r="AW555" s="54" t="s">
        <v>678</v>
      </c>
      <c r="AX555" s="54" t="s">
        <v>319</v>
      </c>
      <c r="AY555" s="54" t="s">
        <v>654</v>
      </c>
      <c r="AZ555" s="54" t="s">
        <v>654</v>
      </c>
      <c r="BK555" s="54" t="s">
        <v>320</v>
      </c>
      <c r="BL555" s="54" t="s">
        <v>320</v>
      </c>
      <c r="BM555" s="54" t="s">
        <v>320</v>
      </c>
      <c r="BN555" s="54" t="s">
        <v>322</v>
      </c>
      <c r="BO555" s="54" t="s">
        <v>320</v>
      </c>
      <c r="BP555" s="54" t="s">
        <v>320</v>
      </c>
      <c r="CA555" s="54" t="s">
        <v>799</v>
      </c>
      <c r="CB555" s="54" t="s">
        <v>799</v>
      </c>
      <c r="CC555" s="54">
        <v>0</v>
      </c>
      <c r="CD555" s="54">
        <v>0</v>
      </c>
      <c r="CE555" s="54">
        <v>0</v>
      </c>
      <c r="CF555" s="54">
        <v>125512</v>
      </c>
      <c r="CG555" s="54">
        <v>1</v>
      </c>
      <c r="CH555" s="54">
        <v>1</v>
      </c>
      <c r="CI555" s="54">
        <v>1</v>
      </c>
      <c r="CJ555" s="54">
        <v>0</v>
      </c>
      <c r="CK555" s="54">
        <v>0</v>
      </c>
      <c r="CL555" s="54">
        <v>0</v>
      </c>
      <c r="CM555" s="54">
        <v>0</v>
      </c>
      <c r="CN555" s="54">
        <v>0</v>
      </c>
      <c r="CO555" s="54">
        <v>0</v>
      </c>
      <c r="CP555" s="54">
        <v>0</v>
      </c>
      <c r="CQ555" s="54">
        <v>0</v>
      </c>
      <c r="CR555" s="54">
        <v>0</v>
      </c>
      <c r="CV555" s="54">
        <v>0</v>
      </c>
      <c r="CW555" s="54">
        <v>0</v>
      </c>
    </row>
    <row r="556" s="54" customFormat="1" customHeight="1" spans="1:101">
      <c r="A556" s="54">
        <v>7607</v>
      </c>
      <c r="B556" s="54" t="s">
        <v>820</v>
      </c>
      <c r="H556" s="54">
        <v>680000</v>
      </c>
      <c r="I556" s="54">
        <v>100000</v>
      </c>
      <c r="J556" s="54">
        <v>410000</v>
      </c>
      <c r="K556" s="54" t="s">
        <v>821</v>
      </c>
      <c r="O556" s="54" t="s">
        <v>822</v>
      </c>
      <c r="P556" s="54" t="s">
        <v>654</v>
      </c>
      <c r="Q556" s="54" t="s">
        <v>329</v>
      </c>
      <c r="R556" s="54" t="s">
        <v>329</v>
      </c>
      <c r="S556" s="54" t="s">
        <v>329</v>
      </c>
      <c r="T556" s="54" t="s">
        <v>329</v>
      </c>
      <c r="U556" s="54" t="s">
        <v>329</v>
      </c>
      <c r="V556" s="54" t="s">
        <v>329</v>
      </c>
      <c r="W556" s="54" t="s">
        <v>329</v>
      </c>
      <c r="X556" s="54" t="s">
        <v>329</v>
      </c>
      <c r="Y556" s="54" t="s">
        <v>329</v>
      </c>
      <c r="Z556" s="54" t="s">
        <v>329</v>
      </c>
      <c r="AA556" s="109">
        <v>0</v>
      </c>
      <c r="AB556" s="109">
        <v>0</v>
      </c>
      <c r="AC556" s="109">
        <v>0</v>
      </c>
      <c r="AD556" s="109">
        <v>0</v>
      </c>
      <c r="AE556" s="54" t="s">
        <v>795</v>
      </c>
      <c r="AF556" s="54" t="s">
        <v>796</v>
      </c>
      <c r="AG556" s="54" t="s">
        <v>823</v>
      </c>
      <c r="AH556" s="54" t="s">
        <v>798</v>
      </c>
      <c r="AI556" s="146">
        <v>230520</v>
      </c>
      <c r="AJ556" s="146">
        <v>230513</v>
      </c>
      <c r="AU556" s="54" t="s">
        <v>824</v>
      </c>
      <c r="AV556" s="54" t="s">
        <v>677</v>
      </c>
      <c r="AW556" s="54" t="s">
        <v>670</v>
      </c>
      <c r="AX556" s="54" t="s">
        <v>319</v>
      </c>
      <c r="AY556" s="54" t="s">
        <v>319</v>
      </c>
      <c r="AZ556" s="54" t="s">
        <v>319</v>
      </c>
      <c r="BK556" s="54" t="s">
        <v>320</v>
      </c>
      <c r="BL556" s="54" t="s">
        <v>320</v>
      </c>
      <c r="BM556" s="54" t="s">
        <v>320</v>
      </c>
      <c r="BN556" s="54" t="s">
        <v>322</v>
      </c>
      <c r="BO556" s="54" t="s">
        <v>320</v>
      </c>
      <c r="BP556" s="54" t="s">
        <v>320</v>
      </c>
      <c r="CA556" s="54" t="s">
        <v>799</v>
      </c>
      <c r="CB556" s="54" t="s">
        <v>799</v>
      </c>
      <c r="CC556" s="54">
        <v>0</v>
      </c>
      <c r="CD556" s="54">
        <v>0</v>
      </c>
      <c r="CE556" s="54">
        <v>0</v>
      </c>
      <c r="CF556" s="54">
        <v>125513</v>
      </c>
      <c r="CG556" s="54">
        <v>1</v>
      </c>
      <c r="CH556" s="54">
        <v>1</v>
      </c>
      <c r="CI556" s="54">
        <v>1</v>
      </c>
      <c r="CJ556" s="54">
        <v>0</v>
      </c>
      <c r="CK556" s="54">
        <v>0</v>
      </c>
      <c r="CL556" s="54">
        <v>0</v>
      </c>
      <c r="CM556" s="54">
        <v>0</v>
      </c>
      <c r="CN556" s="54">
        <v>0</v>
      </c>
      <c r="CO556" s="54">
        <v>0</v>
      </c>
      <c r="CP556" s="54">
        <v>0</v>
      </c>
      <c r="CQ556" s="54">
        <v>0</v>
      </c>
      <c r="CR556" s="54">
        <v>0</v>
      </c>
      <c r="CV556" s="54">
        <v>0</v>
      </c>
      <c r="CW556" s="54">
        <v>0</v>
      </c>
    </row>
    <row r="557" s="54" customFormat="1" customHeight="1" spans="1:101">
      <c r="A557" s="54">
        <v>7608</v>
      </c>
      <c r="B557" s="54" t="s">
        <v>825</v>
      </c>
      <c r="H557" s="54">
        <v>800000</v>
      </c>
      <c r="I557" s="54">
        <v>100000</v>
      </c>
      <c r="J557" s="54">
        <v>500000</v>
      </c>
      <c r="K557" s="54" t="s">
        <v>826</v>
      </c>
      <c r="O557" s="54" t="s">
        <v>822</v>
      </c>
      <c r="P557" s="54" t="s">
        <v>673</v>
      </c>
      <c r="Q557" s="54" t="s">
        <v>329</v>
      </c>
      <c r="R557" s="54" t="s">
        <v>329</v>
      </c>
      <c r="S557" s="54">
        <v>230803</v>
      </c>
      <c r="T557" s="54" t="s">
        <v>319</v>
      </c>
      <c r="U557" s="54" t="s">
        <v>329</v>
      </c>
      <c r="V557" s="54" t="s">
        <v>329</v>
      </c>
      <c r="W557" s="54" t="s">
        <v>329</v>
      </c>
      <c r="X557" s="54" t="s">
        <v>329</v>
      </c>
      <c r="Y557" s="54" t="s">
        <v>329</v>
      </c>
      <c r="Z557" s="54" t="s">
        <v>329</v>
      </c>
      <c r="AA557" s="109">
        <v>0</v>
      </c>
      <c r="AB557" s="109">
        <v>0</v>
      </c>
      <c r="AC557" s="109">
        <v>0</v>
      </c>
      <c r="AD557" s="109">
        <v>0</v>
      </c>
      <c r="AE557" s="54" t="s">
        <v>795</v>
      </c>
      <c r="AF557" s="54" t="s">
        <v>796</v>
      </c>
      <c r="AG557" s="54" t="s">
        <v>823</v>
      </c>
      <c r="AH557" s="54" t="s">
        <v>798</v>
      </c>
      <c r="AI557" s="146">
        <v>230521</v>
      </c>
      <c r="AJ557" s="146">
        <v>230514</v>
      </c>
      <c r="AU557" s="54" t="s">
        <v>674</v>
      </c>
      <c r="AV557" s="54" t="s">
        <v>677</v>
      </c>
      <c r="AW557" s="54" t="s">
        <v>678</v>
      </c>
      <c r="AX557" s="54" t="s">
        <v>319</v>
      </c>
      <c r="AY557" s="54" t="s">
        <v>319</v>
      </c>
      <c r="AZ557" s="54" t="s">
        <v>319</v>
      </c>
      <c r="BK557" s="54" t="s">
        <v>320</v>
      </c>
      <c r="BL557" s="54" t="s">
        <v>320</v>
      </c>
      <c r="BM557" s="54" t="s">
        <v>320</v>
      </c>
      <c r="BN557" s="54" t="s">
        <v>661</v>
      </c>
      <c r="BO557" s="54" t="s">
        <v>320</v>
      </c>
      <c r="BP557" s="54" t="s">
        <v>320</v>
      </c>
      <c r="CA557" s="54" t="s">
        <v>802</v>
      </c>
      <c r="CB557" s="54" t="s">
        <v>802</v>
      </c>
      <c r="CC557" s="54">
        <v>0</v>
      </c>
      <c r="CD557" s="54">
        <v>0</v>
      </c>
      <c r="CE557" s="54">
        <v>0</v>
      </c>
      <c r="CF557" s="54">
        <v>125514</v>
      </c>
      <c r="CG557" s="54">
        <v>1</v>
      </c>
      <c r="CH557" s="54">
        <v>1</v>
      </c>
      <c r="CI557" s="54">
        <v>1</v>
      </c>
      <c r="CJ557" s="54">
        <v>0</v>
      </c>
      <c r="CK557" s="54">
        <v>0</v>
      </c>
      <c r="CL557" s="54">
        <v>0</v>
      </c>
      <c r="CM557" s="54">
        <v>0</v>
      </c>
      <c r="CN557" s="54">
        <v>0</v>
      </c>
      <c r="CO557" s="54">
        <v>0</v>
      </c>
      <c r="CP557" s="54">
        <v>0</v>
      </c>
      <c r="CQ557" s="54">
        <v>0</v>
      </c>
      <c r="CR557" s="54">
        <v>0</v>
      </c>
      <c r="CV557" s="54">
        <v>0</v>
      </c>
      <c r="CW557" s="54">
        <v>0</v>
      </c>
    </row>
    <row r="558" s="52" customFormat="1" customHeight="1" spans="1:101">
      <c r="A558" s="52">
        <v>7609</v>
      </c>
      <c r="B558" s="127" t="s">
        <v>618</v>
      </c>
      <c r="H558" s="52" t="s">
        <v>827</v>
      </c>
      <c r="I558" s="52" t="s">
        <v>639</v>
      </c>
      <c r="J558" s="52" t="s">
        <v>828</v>
      </c>
      <c r="K558" s="52" t="s">
        <v>472</v>
      </c>
      <c r="O558" s="54" t="s">
        <v>796</v>
      </c>
      <c r="P558" s="74">
        <v>10</v>
      </c>
      <c r="Q558" s="52">
        <v>0</v>
      </c>
      <c r="R558" s="52">
        <v>0</v>
      </c>
      <c r="S558" s="74">
        <v>201301</v>
      </c>
      <c r="T558" s="74">
        <v>2</v>
      </c>
      <c r="U558" s="74">
        <v>0</v>
      </c>
      <c r="V558" s="74">
        <v>0</v>
      </c>
      <c r="W558" s="74">
        <v>201302</v>
      </c>
      <c r="X558" s="74">
        <v>2</v>
      </c>
      <c r="Y558" s="74">
        <v>0</v>
      </c>
      <c r="Z558" s="74">
        <v>0</v>
      </c>
      <c r="AA558" s="74">
        <v>201303</v>
      </c>
      <c r="AB558" s="74">
        <v>2</v>
      </c>
      <c r="AC558" s="52">
        <v>0</v>
      </c>
      <c r="AD558" s="52">
        <v>0</v>
      </c>
      <c r="AE558" s="74">
        <v>201301</v>
      </c>
      <c r="AF558" s="74">
        <v>201302</v>
      </c>
      <c r="AG558" s="74">
        <v>201303</v>
      </c>
      <c r="AH558" s="74">
        <v>230451</v>
      </c>
      <c r="AI558" s="74">
        <v>230452</v>
      </c>
      <c r="AJ558" s="74">
        <v>230453</v>
      </c>
      <c r="AU558" s="74">
        <v>5</v>
      </c>
      <c r="AV558" s="74">
        <v>2</v>
      </c>
      <c r="AW558" s="74">
        <v>1</v>
      </c>
      <c r="AX558" s="74">
        <v>50</v>
      </c>
      <c r="AY558" s="74">
        <v>1</v>
      </c>
      <c r="AZ558" s="74">
        <v>1</v>
      </c>
      <c r="BK558" s="74">
        <v>100</v>
      </c>
      <c r="BL558" s="74">
        <v>100</v>
      </c>
      <c r="BM558" s="74">
        <v>100</v>
      </c>
      <c r="BN558" s="74">
        <v>70</v>
      </c>
      <c r="BO558" s="74">
        <v>20</v>
      </c>
      <c r="BP558" s="74">
        <v>20</v>
      </c>
      <c r="CA558" s="52" t="s">
        <v>829</v>
      </c>
      <c r="CB558" s="52" t="s">
        <v>829</v>
      </c>
      <c r="CC558" s="52">
        <v>0</v>
      </c>
      <c r="CD558" s="52">
        <v>0</v>
      </c>
      <c r="CE558" s="52">
        <v>0</v>
      </c>
      <c r="CF558" s="52">
        <v>193501</v>
      </c>
      <c r="CG558" s="52">
        <v>1</v>
      </c>
      <c r="CH558" s="52">
        <v>1</v>
      </c>
      <c r="CI558" s="52">
        <v>1</v>
      </c>
      <c r="CJ558" s="52">
        <v>0</v>
      </c>
      <c r="CK558" s="52">
        <v>0</v>
      </c>
      <c r="CL558" s="52">
        <v>0</v>
      </c>
      <c r="CM558" s="52">
        <v>0</v>
      </c>
      <c r="CN558" s="52">
        <v>0</v>
      </c>
      <c r="CO558" s="52">
        <v>0</v>
      </c>
      <c r="CP558" s="52">
        <v>0</v>
      </c>
      <c r="CQ558" s="52">
        <v>0</v>
      </c>
      <c r="CR558" s="52">
        <v>0</v>
      </c>
      <c r="CV558" s="52">
        <v>0</v>
      </c>
      <c r="CW558" s="52">
        <v>0</v>
      </c>
    </row>
    <row r="559" s="51" customFormat="1" customHeight="1" spans="1:101">
      <c r="A559" s="51">
        <v>7610</v>
      </c>
      <c r="B559" s="123" t="s">
        <v>830</v>
      </c>
      <c r="N559" s="44"/>
      <c r="O559" s="77">
        <v>0</v>
      </c>
      <c r="P559" s="77">
        <v>0</v>
      </c>
      <c r="Q559" s="77">
        <v>0</v>
      </c>
      <c r="R559" s="77">
        <v>0</v>
      </c>
      <c r="S559" s="64">
        <v>0</v>
      </c>
      <c r="T559" s="64">
        <v>0</v>
      </c>
      <c r="U559" s="64">
        <v>0</v>
      </c>
      <c r="V559" s="64">
        <v>0</v>
      </c>
      <c r="W559" s="63">
        <v>0</v>
      </c>
      <c r="X559" s="63">
        <v>0</v>
      </c>
      <c r="Y559" s="63">
        <v>0</v>
      </c>
      <c r="Z559" s="63">
        <v>0</v>
      </c>
      <c r="AA559" s="78">
        <v>0</v>
      </c>
      <c r="AB559" s="78">
        <v>0</v>
      </c>
      <c r="AC559" s="78">
        <v>0</v>
      </c>
      <c r="AD559" s="78">
        <v>0</v>
      </c>
      <c r="AE559" s="48">
        <v>201210</v>
      </c>
      <c r="AU559" s="62">
        <v>1</v>
      </c>
      <c r="BK559" s="62">
        <v>100</v>
      </c>
      <c r="CA559" s="51">
        <v>100</v>
      </c>
      <c r="CB559" s="51">
        <v>100</v>
      </c>
      <c r="CC559" s="51">
        <v>0</v>
      </c>
      <c r="CD559" s="51">
        <v>0</v>
      </c>
      <c r="CE559" s="51">
        <v>0</v>
      </c>
      <c r="CF559" s="51">
        <v>0</v>
      </c>
      <c r="CG559" s="51">
        <v>1</v>
      </c>
      <c r="CH559" s="51">
        <v>0</v>
      </c>
      <c r="CI559" s="51">
        <v>1</v>
      </c>
      <c r="CJ559" s="51">
        <v>0</v>
      </c>
      <c r="CK559" s="51">
        <v>0</v>
      </c>
      <c r="CL559" s="51">
        <v>0</v>
      </c>
      <c r="CM559" s="51">
        <v>0</v>
      </c>
      <c r="CN559" s="51">
        <v>0</v>
      </c>
      <c r="CO559" s="51">
        <v>0</v>
      </c>
      <c r="CP559" s="51">
        <v>0</v>
      </c>
      <c r="CQ559" s="51">
        <v>1</v>
      </c>
      <c r="CR559" s="51">
        <v>0</v>
      </c>
      <c r="CV559" s="51">
        <v>0</v>
      </c>
      <c r="CW559" s="51">
        <v>0</v>
      </c>
    </row>
    <row r="560" s="51" customFormat="1" customHeight="1" spans="1:101">
      <c r="A560" s="51">
        <v>7611</v>
      </c>
      <c r="B560" s="123" t="s">
        <v>831</v>
      </c>
      <c r="N560" s="44"/>
      <c r="O560" s="77">
        <v>0</v>
      </c>
      <c r="P560" s="77">
        <v>0</v>
      </c>
      <c r="Q560" s="77">
        <v>0</v>
      </c>
      <c r="R560" s="77">
        <v>0</v>
      </c>
      <c r="S560" s="64">
        <v>0</v>
      </c>
      <c r="T560" s="64">
        <v>0</v>
      </c>
      <c r="U560" s="64">
        <v>0</v>
      </c>
      <c r="V560" s="64">
        <v>0</v>
      </c>
      <c r="W560" s="63">
        <v>0</v>
      </c>
      <c r="X560" s="63">
        <v>0</v>
      </c>
      <c r="Y560" s="63">
        <v>0</v>
      </c>
      <c r="Z560" s="63">
        <v>0</v>
      </c>
      <c r="AA560" s="78">
        <v>0</v>
      </c>
      <c r="AB560" s="78">
        <v>0</v>
      </c>
      <c r="AC560" s="78">
        <v>0</v>
      </c>
      <c r="AD560" s="78">
        <v>0</v>
      </c>
      <c r="AE560" s="48">
        <v>201211</v>
      </c>
      <c r="AU560" s="62">
        <v>1</v>
      </c>
      <c r="BK560" s="62">
        <v>100</v>
      </c>
      <c r="CA560" s="51">
        <v>100</v>
      </c>
      <c r="CB560" s="51">
        <v>100</v>
      </c>
      <c r="CC560" s="51">
        <v>0</v>
      </c>
      <c r="CD560" s="51">
        <v>0</v>
      </c>
      <c r="CE560" s="51">
        <v>0</v>
      </c>
      <c r="CF560" s="51">
        <v>0</v>
      </c>
      <c r="CG560" s="51">
        <v>1</v>
      </c>
      <c r="CH560" s="51">
        <v>0</v>
      </c>
      <c r="CI560" s="51">
        <v>1</v>
      </c>
      <c r="CJ560" s="51">
        <v>0</v>
      </c>
      <c r="CK560" s="51">
        <v>0</v>
      </c>
      <c r="CL560" s="51">
        <v>0</v>
      </c>
      <c r="CM560" s="51">
        <v>0</v>
      </c>
      <c r="CN560" s="51">
        <v>0</v>
      </c>
      <c r="CO560" s="51">
        <v>0</v>
      </c>
      <c r="CP560" s="51">
        <v>0</v>
      </c>
      <c r="CQ560" s="51">
        <v>1</v>
      </c>
      <c r="CR560" s="51">
        <v>0</v>
      </c>
      <c r="CV560" s="51">
        <v>0</v>
      </c>
      <c r="CW560" s="51">
        <v>0</v>
      </c>
    </row>
    <row r="561" s="44" customFormat="1" customHeight="1" spans="1:101">
      <c r="A561" s="51">
        <v>7612</v>
      </c>
      <c r="B561" s="140" t="s">
        <v>832</v>
      </c>
      <c r="E561" s="140" t="s">
        <v>320</v>
      </c>
      <c r="O561" s="77">
        <v>0</v>
      </c>
      <c r="P561" s="77">
        <v>0</v>
      </c>
      <c r="Q561" s="77">
        <v>0</v>
      </c>
      <c r="R561" s="77">
        <v>0</v>
      </c>
      <c r="S561" s="64">
        <v>0</v>
      </c>
      <c r="T561" s="64">
        <v>0</v>
      </c>
      <c r="U561" s="64">
        <v>0</v>
      </c>
      <c r="V561" s="64">
        <v>0</v>
      </c>
      <c r="W561" s="63">
        <v>0</v>
      </c>
      <c r="X561" s="63">
        <v>0</v>
      </c>
      <c r="Y561" s="63">
        <v>0</v>
      </c>
      <c r="Z561" s="63">
        <v>0</v>
      </c>
      <c r="AA561" s="78">
        <v>0</v>
      </c>
      <c r="AB561" s="78">
        <v>0</v>
      </c>
      <c r="AC561" s="78">
        <v>0</v>
      </c>
      <c r="AD561" s="78">
        <v>0</v>
      </c>
      <c r="AE561" s="48"/>
      <c r="AU561" s="62"/>
      <c r="BK561" s="62"/>
      <c r="CA561" s="44">
        <v>1000</v>
      </c>
      <c r="CB561" s="44">
        <v>1000</v>
      </c>
      <c r="CC561" s="44">
        <v>0</v>
      </c>
      <c r="CD561" s="44">
        <v>0</v>
      </c>
      <c r="CE561" s="44">
        <v>0</v>
      </c>
      <c r="CF561" s="44">
        <v>0</v>
      </c>
      <c r="CG561" s="44">
        <v>0</v>
      </c>
      <c r="CH561" s="44">
        <v>0</v>
      </c>
      <c r="CI561" s="44">
        <v>1</v>
      </c>
      <c r="CK561" s="44">
        <v>0</v>
      </c>
      <c r="CL561" s="44">
        <v>0</v>
      </c>
      <c r="CM561" s="44">
        <v>0</v>
      </c>
      <c r="CN561" s="44">
        <v>0</v>
      </c>
      <c r="CO561" s="44">
        <v>0</v>
      </c>
      <c r="CP561" s="44">
        <v>0</v>
      </c>
      <c r="CQ561" s="44">
        <v>1</v>
      </c>
      <c r="CR561" s="44">
        <v>0</v>
      </c>
      <c r="CV561" s="44">
        <v>0</v>
      </c>
      <c r="CW561" s="44">
        <v>0</v>
      </c>
    </row>
    <row r="562" s="44" customFormat="1" customHeight="1" spans="1:101">
      <c r="A562" s="51">
        <v>7613</v>
      </c>
      <c r="B562" s="140" t="s">
        <v>833</v>
      </c>
      <c r="E562" s="140" t="s">
        <v>642</v>
      </c>
      <c r="O562" s="77">
        <v>0</v>
      </c>
      <c r="P562" s="77">
        <v>0</v>
      </c>
      <c r="Q562" s="77">
        <v>0</v>
      </c>
      <c r="R562" s="77">
        <v>0</v>
      </c>
      <c r="S562" s="64">
        <v>0</v>
      </c>
      <c r="T562" s="64">
        <v>0</v>
      </c>
      <c r="U562" s="64">
        <v>0</v>
      </c>
      <c r="V562" s="64">
        <v>0</v>
      </c>
      <c r="W562" s="63">
        <v>0</v>
      </c>
      <c r="X562" s="63">
        <v>0</v>
      </c>
      <c r="Y562" s="63">
        <v>0</v>
      </c>
      <c r="Z562" s="63">
        <v>0</v>
      </c>
      <c r="AA562" s="78">
        <v>0</v>
      </c>
      <c r="AB562" s="78">
        <v>0</v>
      </c>
      <c r="AC562" s="78">
        <v>0</v>
      </c>
      <c r="AD562" s="78">
        <v>0</v>
      </c>
      <c r="AE562" s="48"/>
      <c r="AU562" s="62"/>
      <c r="BK562" s="62"/>
      <c r="CA562" s="44">
        <v>1000</v>
      </c>
      <c r="CB562" s="44">
        <v>1000</v>
      </c>
      <c r="CC562" s="44">
        <v>0</v>
      </c>
      <c r="CD562" s="44">
        <v>0</v>
      </c>
      <c r="CE562" s="44">
        <v>0</v>
      </c>
      <c r="CF562" s="44">
        <v>0</v>
      </c>
      <c r="CG562" s="44">
        <v>0</v>
      </c>
      <c r="CH562" s="44">
        <v>0</v>
      </c>
      <c r="CI562" s="44">
        <v>1</v>
      </c>
      <c r="CK562" s="44">
        <v>0</v>
      </c>
      <c r="CL562" s="44">
        <v>0</v>
      </c>
      <c r="CM562" s="44">
        <v>0</v>
      </c>
      <c r="CN562" s="44">
        <v>0</v>
      </c>
      <c r="CO562" s="44">
        <v>0</v>
      </c>
      <c r="CP562" s="44">
        <v>0</v>
      </c>
      <c r="CQ562" s="44">
        <v>1</v>
      </c>
      <c r="CR562" s="44">
        <v>0</v>
      </c>
      <c r="CV562" s="44">
        <v>0</v>
      </c>
      <c r="CW562" s="44">
        <v>0</v>
      </c>
    </row>
    <row r="563" s="44" customFormat="1" customHeight="1" spans="1:101">
      <c r="A563" s="51">
        <v>7614</v>
      </c>
      <c r="B563" s="140" t="s">
        <v>834</v>
      </c>
      <c r="E563" s="140" t="s">
        <v>671</v>
      </c>
      <c r="O563" s="77">
        <v>0</v>
      </c>
      <c r="P563" s="77">
        <v>0</v>
      </c>
      <c r="Q563" s="77">
        <v>0</v>
      </c>
      <c r="R563" s="77">
        <v>0</v>
      </c>
      <c r="S563" s="64">
        <v>0</v>
      </c>
      <c r="T563" s="64">
        <v>0</v>
      </c>
      <c r="U563" s="64">
        <v>0</v>
      </c>
      <c r="V563" s="64">
        <v>0</v>
      </c>
      <c r="W563" s="63">
        <v>0</v>
      </c>
      <c r="X563" s="63">
        <v>0</v>
      </c>
      <c r="Y563" s="63">
        <v>0</v>
      </c>
      <c r="Z563" s="63">
        <v>0</v>
      </c>
      <c r="AA563" s="78">
        <v>0</v>
      </c>
      <c r="AB563" s="78">
        <v>0</v>
      </c>
      <c r="AC563" s="78">
        <v>0</v>
      </c>
      <c r="AD563" s="78">
        <v>0</v>
      </c>
      <c r="AE563" s="48"/>
      <c r="AU563" s="62"/>
      <c r="BK563" s="62"/>
      <c r="CA563" s="44">
        <v>1000</v>
      </c>
      <c r="CB563" s="44">
        <v>1000</v>
      </c>
      <c r="CC563" s="44">
        <v>0</v>
      </c>
      <c r="CD563" s="44">
        <v>0</v>
      </c>
      <c r="CE563" s="44">
        <v>0</v>
      </c>
      <c r="CF563" s="44">
        <v>0</v>
      </c>
      <c r="CG563" s="44">
        <v>0</v>
      </c>
      <c r="CH563" s="44">
        <v>0</v>
      </c>
      <c r="CI563" s="44">
        <v>1</v>
      </c>
      <c r="CK563" s="44">
        <v>0</v>
      </c>
      <c r="CL563" s="44">
        <v>0</v>
      </c>
      <c r="CM563" s="44">
        <v>0</v>
      </c>
      <c r="CN563" s="44">
        <v>0</v>
      </c>
      <c r="CO563" s="44">
        <v>0</v>
      </c>
      <c r="CP563" s="44">
        <v>0</v>
      </c>
      <c r="CQ563" s="44">
        <v>1</v>
      </c>
      <c r="CR563" s="44">
        <v>0</v>
      </c>
      <c r="CV563" s="44">
        <v>0</v>
      </c>
      <c r="CW563" s="44">
        <v>0</v>
      </c>
    </row>
    <row r="564" s="44" customFormat="1" customHeight="1" spans="1:101">
      <c r="A564" s="51">
        <v>7615</v>
      </c>
      <c r="B564" s="140" t="s">
        <v>835</v>
      </c>
      <c r="E564" s="140" t="s">
        <v>836</v>
      </c>
      <c r="O564" s="77">
        <v>0</v>
      </c>
      <c r="P564" s="77">
        <v>0</v>
      </c>
      <c r="Q564" s="77">
        <v>0</v>
      </c>
      <c r="R564" s="77">
        <v>0</v>
      </c>
      <c r="S564" s="64">
        <v>0</v>
      </c>
      <c r="T564" s="64">
        <v>0</v>
      </c>
      <c r="U564" s="64">
        <v>0</v>
      </c>
      <c r="V564" s="64">
        <v>0</v>
      </c>
      <c r="W564" s="63">
        <v>0</v>
      </c>
      <c r="X564" s="63">
        <v>0</v>
      </c>
      <c r="Y564" s="63">
        <v>0</v>
      </c>
      <c r="Z564" s="63">
        <v>0</v>
      </c>
      <c r="AA564" s="78">
        <v>0</v>
      </c>
      <c r="AB564" s="78">
        <v>0</v>
      </c>
      <c r="AC564" s="78">
        <v>0</v>
      </c>
      <c r="AD564" s="78">
        <v>0</v>
      </c>
      <c r="AE564" s="48"/>
      <c r="AU564" s="62"/>
      <c r="BK564" s="62"/>
      <c r="CA564" s="44">
        <v>1000</v>
      </c>
      <c r="CB564" s="44">
        <v>1000</v>
      </c>
      <c r="CC564" s="44">
        <v>0</v>
      </c>
      <c r="CD564" s="44">
        <v>0</v>
      </c>
      <c r="CE564" s="44">
        <v>0</v>
      </c>
      <c r="CF564" s="44">
        <v>0</v>
      </c>
      <c r="CG564" s="44">
        <v>0</v>
      </c>
      <c r="CH564" s="44">
        <v>0</v>
      </c>
      <c r="CI564" s="44">
        <v>1</v>
      </c>
      <c r="CK564" s="44">
        <v>0</v>
      </c>
      <c r="CL564" s="44">
        <v>0</v>
      </c>
      <c r="CM564" s="44">
        <v>0</v>
      </c>
      <c r="CN564" s="44">
        <v>0</v>
      </c>
      <c r="CO564" s="44">
        <v>0</v>
      </c>
      <c r="CP564" s="44">
        <v>0</v>
      </c>
      <c r="CQ564" s="44">
        <v>1</v>
      </c>
      <c r="CR564" s="44">
        <v>0</v>
      </c>
      <c r="CV564" s="44">
        <v>0</v>
      </c>
      <c r="CW564" s="44">
        <v>0</v>
      </c>
    </row>
    <row r="565" s="44" customFormat="1" customHeight="1" spans="1:101">
      <c r="A565" s="51">
        <v>7616</v>
      </c>
      <c r="B565" s="140" t="s">
        <v>837</v>
      </c>
      <c r="E565" s="140" t="s">
        <v>466</v>
      </c>
      <c r="O565" s="77">
        <v>0</v>
      </c>
      <c r="P565" s="77">
        <v>0</v>
      </c>
      <c r="Q565" s="77">
        <v>0</v>
      </c>
      <c r="R565" s="77">
        <v>0</v>
      </c>
      <c r="S565" s="64">
        <v>0</v>
      </c>
      <c r="T565" s="64">
        <v>0</v>
      </c>
      <c r="U565" s="64">
        <v>0</v>
      </c>
      <c r="V565" s="64">
        <v>0</v>
      </c>
      <c r="W565" s="63">
        <v>0</v>
      </c>
      <c r="X565" s="63">
        <v>0</v>
      </c>
      <c r="Y565" s="63">
        <v>0</v>
      </c>
      <c r="Z565" s="63">
        <v>0</v>
      </c>
      <c r="AA565" s="78">
        <v>0</v>
      </c>
      <c r="AB565" s="78">
        <v>0</v>
      </c>
      <c r="AC565" s="78">
        <v>0</v>
      </c>
      <c r="AD565" s="78">
        <v>0</v>
      </c>
      <c r="AE565" s="48"/>
      <c r="AU565" s="62"/>
      <c r="BK565" s="62"/>
      <c r="CA565" s="44">
        <v>1000</v>
      </c>
      <c r="CB565" s="44">
        <v>1000</v>
      </c>
      <c r="CC565" s="44">
        <v>0</v>
      </c>
      <c r="CD565" s="44">
        <v>0</v>
      </c>
      <c r="CE565" s="44">
        <v>0</v>
      </c>
      <c r="CF565" s="44">
        <v>0</v>
      </c>
      <c r="CG565" s="44">
        <v>0</v>
      </c>
      <c r="CH565" s="44">
        <v>0</v>
      </c>
      <c r="CI565" s="44">
        <v>1</v>
      </c>
      <c r="CK565" s="44">
        <v>0</v>
      </c>
      <c r="CL565" s="44">
        <v>0</v>
      </c>
      <c r="CM565" s="44">
        <v>0</v>
      </c>
      <c r="CN565" s="44">
        <v>0</v>
      </c>
      <c r="CO565" s="44">
        <v>0</v>
      </c>
      <c r="CP565" s="44">
        <v>0</v>
      </c>
      <c r="CQ565" s="44">
        <v>1</v>
      </c>
      <c r="CR565" s="44">
        <v>0</v>
      </c>
      <c r="CV565" s="44">
        <v>0</v>
      </c>
      <c r="CW565" s="44">
        <v>0</v>
      </c>
    </row>
    <row r="566" s="44" customFormat="1" customHeight="1" spans="1:101">
      <c r="A566" s="51">
        <v>7617</v>
      </c>
      <c r="B566" s="140" t="s">
        <v>838</v>
      </c>
      <c r="E566" s="140" t="s">
        <v>324</v>
      </c>
      <c r="O566" s="77">
        <v>0</v>
      </c>
      <c r="P566" s="77">
        <v>0</v>
      </c>
      <c r="Q566" s="77">
        <v>0</v>
      </c>
      <c r="R566" s="77">
        <v>0</v>
      </c>
      <c r="S566" s="64">
        <v>0</v>
      </c>
      <c r="T566" s="64">
        <v>0</v>
      </c>
      <c r="U566" s="64">
        <v>0</v>
      </c>
      <c r="V566" s="64">
        <v>0</v>
      </c>
      <c r="W566" s="63">
        <v>0</v>
      </c>
      <c r="X566" s="63">
        <v>0</v>
      </c>
      <c r="Y566" s="63">
        <v>0</v>
      </c>
      <c r="Z566" s="63">
        <v>0</v>
      </c>
      <c r="AA566" s="78">
        <v>0</v>
      </c>
      <c r="AB566" s="78">
        <v>0</v>
      </c>
      <c r="AC566" s="78">
        <v>0</v>
      </c>
      <c r="AD566" s="78">
        <v>0</v>
      </c>
      <c r="AE566" s="48"/>
      <c r="AU566" s="62"/>
      <c r="BK566" s="62"/>
      <c r="CA566" s="44">
        <v>1000</v>
      </c>
      <c r="CB566" s="44">
        <v>1000</v>
      </c>
      <c r="CC566" s="44">
        <v>0</v>
      </c>
      <c r="CD566" s="44">
        <v>0</v>
      </c>
      <c r="CE566" s="44">
        <v>0</v>
      </c>
      <c r="CF566" s="44">
        <v>0</v>
      </c>
      <c r="CG566" s="44">
        <v>0</v>
      </c>
      <c r="CH566" s="44">
        <v>0</v>
      </c>
      <c r="CI566" s="44">
        <v>1</v>
      </c>
      <c r="CK566" s="44">
        <v>0</v>
      </c>
      <c r="CL566" s="44">
        <v>0</v>
      </c>
      <c r="CM566" s="44">
        <v>0</v>
      </c>
      <c r="CN566" s="44">
        <v>0</v>
      </c>
      <c r="CO566" s="44">
        <v>0</v>
      </c>
      <c r="CP566" s="44">
        <v>0</v>
      </c>
      <c r="CQ566" s="44">
        <v>1</v>
      </c>
      <c r="CR566" s="44">
        <v>0</v>
      </c>
      <c r="CV566" s="44">
        <v>0</v>
      </c>
      <c r="CW566" s="44">
        <v>0</v>
      </c>
    </row>
    <row r="567" s="44" customFormat="1" customHeight="1" spans="1:101">
      <c r="A567" s="51">
        <v>7618</v>
      </c>
      <c r="B567" s="140" t="s">
        <v>839</v>
      </c>
      <c r="E567" s="140" t="s">
        <v>840</v>
      </c>
      <c r="O567" s="77">
        <v>0</v>
      </c>
      <c r="P567" s="77">
        <v>0</v>
      </c>
      <c r="Q567" s="77">
        <v>0</v>
      </c>
      <c r="R567" s="77">
        <v>0</v>
      </c>
      <c r="S567" s="64">
        <v>0</v>
      </c>
      <c r="T567" s="64">
        <v>0</v>
      </c>
      <c r="U567" s="64">
        <v>0</v>
      </c>
      <c r="V567" s="64">
        <v>0</v>
      </c>
      <c r="W567" s="63">
        <v>0</v>
      </c>
      <c r="X567" s="63">
        <v>0</v>
      </c>
      <c r="Y567" s="63">
        <v>0</v>
      </c>
      <c r="Z567" s="63">
        <v>0</v>
      </c>
      <c r="AA567" s="78">
        <v>0</v>
      </c>
      <c r="AB567" s="78">
        <v>0</v>
      </c>
      <c r="AC567" s="78">
        <v>0</v>
      </c>
      <c r="AD567" s="78">
        <v>0</v>
      </c>
      <c r="AE567" s="48"/>
      <c r="AU567" s="62"/>
      <c r="BK567" s="62"/>
      <c r="CA567" s="44">
        <v>1000</v>
      </c>
      <c r="CB567" s="44">
        <v>1000</v>
      </c>
      <c r="CC567" s="44">
        <v>0</v>
      </c>
      <c r="CD567" s="44">
        <v>0</v>
      </c>
      <c r="CE567" s="44">
        <v>0</v>
      </c>
      <c r="CF567" s="44">
        <v>0</v>
      </c>
      <c r="CG567" s="44">
        <v>0</v>
      </c>
      <c r="CH567" s="44">
        <v>0</v>
      </c>
      <c r="CI567" s="44">
        <v>1</v>
      </c>
      <c r="CK567" s="44">
        <v>0</v>
      </c>
      <c r="CL567" s="44">
        <v>0</v>
      </c>
      <c r="CM567" s="44">
        <v>0</v>
      </c>
      <c r="CN567" s="44">
        <v>0</v>
      </c>
      <c r="CO567" s="44">
        <v>0</v>
      </c>
      <c r="CP567" s="44">
        <v>0</v>
      </c>
      <c r="CQ567" s="44">
        <v>1</v>
      </c>
      <c r="CR567" s="44">
        <v>0</v>
      </c>
      <c r="CV567" s="44">
        <v>0</v>
      </c>
      <c r="CW567" s="44">
        <v>0</v>
      </c>
    </row>
    <row r="568" s="44" customFormat="1" customHeight="1" spans="1:101">
      <c r="A568" s="51">
        <v>7619</v>
      </c>
      <c r="B568" s="140" t="s">
        <v>841</v>
      </c>
      <c r="E568" s="140" t="s">
        <v>842</v>
      </c>
      <c r="O568" s="77">
        <v>0</v>
      </c>
      <c r="P568" s="77">
        <v>0</v>
      </c>
      <c r="Q568" s="77">
        <v>0</v>
      </c>
      <c r="R568" s="77">
        <v>0</v>
      </c>
      <c r="S568" s="64">
        <v>0</v>
      </c>
      <c r="T568" s="64">
        <v>0</v>
      </c>
      <c r="U568" s="64">
        <v>0</v>
      </c>
      <c r="V568" s="64">
        <v>0</v>
      </c>
      <c r="W568" s="63">
        <v>0</v>
      </c>
      <c r="X568" s="63">
        <v>0</v>
      </c>
      <c r="Y568" s="63">
        <v>0</v>
      </c>
      <c r="Z568" s="63">
        <v>0</v>
      </c>
      <c r="AA568" s="78">
        <v>0</v>
      </c>
      <c r="AB568" s="78">
        <v>0</v>
      </c>
      <c r="AC568" s="78">
        <v>0</v>
      </c>
      <c r="AD568" s="78">
        <v>0</v>
      </c>
      <c r="AE568" s="48"/>
      <c r="AU568" s="62"/>
      <c r="BK568" s="62"/>
      <c r="CA568" s="44">
        <v>1000</v>
      </c>
      <c r="CB568" s="44">
        <v>1000</v>
      </c>
      <c r="CC568" s="44">
        <v>0</v>
      </c>
      <c r="CD568" s="44">
        <v>0</v>
      </c>
      <c r="CE568" s="44">
        <v>0</v>
      </c>
      <c r="CF568" s="44">
        <v>0</v>
      </c>
      <c r="CG568" s="44">
        <v>0</v>
      </c>
      <c r="CH568" s="44">
        <v>0</v>
      </c>
      <c r="CI568" s="44">
        <v>1</v>
      </c>
      <c r="CK568" s="44">
        <v>0</v>
      </c>
      <c r="CL568" s="44">
        <v>0</v>
      </c>
      <c r="CM568" s="44">
        <v>0</v>
      </c>
      <c r="CN568" s="44">
        <v>0</v>
      </c>
      <c r="CO568" s="44">
        <v>0</v>
      </c>
      <c r="CP568" s="44">
        <v>0</v>
      </c>
      <c r="CQ568" s="44">
        <v>1</v>
      </c>
      <c r="CR568" s="44">
        <v>0</v>
      </c>
      <c r="CV568" s="44">
        <v>0</v>
      </c>
      <c r="CW568" s="44">
        <v>0</v>
      </c>
    </row>
    <row r="569" s="44" customFormat="1" customHeight="1" spans="1:101">
      <c r="A569" s="51">
        <v>7620</v>
      </c>
      <c r="B569" s="140" t="s">
        <v>843</v>
      </c>
      <c r="E569" s="140" t="s">
        <v>640</v>
      </c>
      <c r="O569" s="77">
        <v>0</v>
      </c>
      <c r="P569" s="77">
        <v>0</v>
      </c>
      <c r="Q569" s="77">
        <v>0</v>
      </c>
      <c r="R569" s="77">
        <v>0</v>
      </c>
      <c r="S569" s="64">
        <v>0</v>
      </c>
      <c r="T569" s="64">
        <v>0</v>
      </c>
      <c r="U569" s="64">
        <v>0</v>
      </c>
      <c r="V569" s="64">
        <v>0</v>
      </c>
      <c r="W569" s="63">
        <v>0</v>
      </c>
      <c r="X569" s="63">
        <v>0</v>
      </c>
      <c r="Y569" s="63">
        <v>0</v>
      </c>
      <c r="Z569" s="63">
        <v>0</v>
      </c>
      <c r="AA569" s="78">
        <v>0</v>
      </c>
      <c r="AB569" s="78">
        <v>0</v>
      </c>
      <c r="AC569" s="78">
        <v>0</v>
      </c>
      <c r="AD569" s="78">
        <v>0</v>
      </c>
      <c r="AE569" s="48"/>
      <c r="AU569" s="62"/>
      <c r="BK569" s="62"/>
      <c r="CA569" s="44">
        <v>1000</v>
      </c>
      <c r="CB569" s="44">
        <v>1000</v>
      </c>
      <c r="CC569" s="44">
        <v>0</v>
      </c>
      <c r="CD569" s="44">
        <v>0</v>
      </c>
      <c r="CE569" s="44">
        <v>0</v>
      </c>
      <c r="CF569" s="44">
        <v>0</v>
      </c>
      <c r="CG569" s="44">
        <v>0</v>
      </c>
      <c r="CH569" s="44">
        <v>0</v>
      </c>
      <c r="CI569" s="44">
        <v>1</v>
      </c>
      <c r="CK569" s="44">
        <v>0</v>
      </c>
      <c r="CL569" s="44">
        <v>0</v>
      </c>
      <c r="CM569" s="44">
        <v>0</v>
      </c>
      <c r="CN569" s="44">
        <v>0</v>
      </c>
      <c r="CO569" s="44">
        <v>0</v>
      </c>
      <c r="CP569" s="44">
        <v>0</v>
      </c>
      <c r="CQ569" s="44">
        <v>1</v>
      </c>
      <c r="CR569" s="44">
        <v>0</v>
      </c>
      <c r="CV569" s="44">
        <v>0</v>
      </c>
      <c r="CW569" s="44">
        <v>0</v>
      </c>
    </row>
    <row r="570" s="44" customFormat="1" customHeight="1" spans="1:101">
      <c r="A570" s="51">
        <v>7621</v>
      </c>
      <c r="B570" s="140" t="s">
        <v>844</v>
      </c>
      <c r="E570" s="140" t="s">
        <v>511</v>
      </c>
      <c r="O570" s="77">
        <v>0</v>
      </c>
      <c r="P570" s="77">
        <v>0</v>
      </c>
      <c r="Q570" s="77">
        <v>0</v>
      </c>
      <c r="R570" s="77">
        <v>0</v>
      </c>
      <c r="S570" s="64">
        <v>0</v>
      </c>
      <c r="T570" s="64">
        <v>0</v>
      </c>
      <c r="U570" s="64">
        <v>0</v>
      </c>
      <c r="V570" s="64">
        <v>0</v>
      </c>
      <c r="W570" s="63">
        <v>0</v>
      </c>
      <c r="X570" s="63">
        <v>0</v>
      </c>
      <c r="Y570" s="63">
        <v>0</v>
      </c>
      <c r="Z570" s="63">
        <v>0</v>
      </c>
      <c r="AA570" s="78">
        <v>0</v>
      </c>
      <c r="AB570" s="78">
        <v>0</v>
      </c>
      <c r="AC570" s="78">
        <v>0</v>
      </c>
      <c r="AD570" s="78">
        <v>0</v>
      </c>
      <c r="AE570" s="48"/>
      <c r="AU570" s="62"/>
      <c r="BK570" s="62"/>
      <c r="CA570" s="44">
        <v>1000</v>
      </c>
      <c r="CB570" s="44">
        <v>1000</v>
      </c>
      <c r="CC570" s="44">
        <v>0</v>
      </c>
      <c r="CD570" s="44">
        <v>0</v>
      </c>
      <c r="CE570" s="44">
        <v>0</v>
      </c>
      <c r="CF570" s="44">
        <v>0</v>
      </c>
      <c r="CG570" s="44">
        <v>0</v>
      </c>
      <c r="CH570" s="44">
        <v>0</v>
      </c>
      <c r="CI570" s="44">
        <v>1</v>
      </c>
      <c r="CK570" s="44">
        <v>0</v>
      </c>
      <c r="CL570" s="44">
        <v>0</v>
      </c>
      <c r="CM570" s="44">
        <v>0</v>
      </c>
      <c r="CN570" s="44">
        <v>0</v>
      </c>
      <c r="CO570" s="44">
        <v>0</v>
      </c>
      <c r="CP570" s="44">
        <v>0</v>
      </c>
      <c r="CQ570" s="44">
        <v>1</v>
      </c>
      <c r="CR570" s="44">
        <v>0</v>
      </c>
      <c r="CV570" s="44">
        <v>0</v>
      </c>
      <c r="CW570" s="44">
        <v>0</v>
      </c>
    </row>
    <row r="571" s="51" customFormat="1" customHeight="1" spans="1:101">
      <c r="A571" s="51">
        <v>7700</v>
      </c>
      <c r="B571" s="80" t="s">
        <v>845</v>
      </c>
      <c r="H571" s="50" t="s">
        <v>326</v>
      </c>
      <c r="I571" s="48" t="s">
        <v>639</v>
      </c>
      <c r="J571" s="49" t="s">
        <v>828</v>
      </c>
      <c r="K571" s="48">
        <v>10000</v>
      </c>
      <c r="L571" s="44"/>
      <c r="N571" s="44"/>
      <c r="O571" s="77">
        <v>0</v>
      </c>
      <c r="P571" s="77">
        <v>0</v>
      </c>
      <c r="Q571" s="77">
        <v>0</v>
      </c>
      <c r="R571" s="77">
        <v>0</v>
      </c>
      <c r="S571" s="64">
        <v>0</v>
      </c>
      <c r="T571" s="64">
        <v>0</v>
      </c>
      <c r="U571" s="64">
        <v>0</v>
      </c>
      <c r="V571" s="64">
        <v>0</v>
      </c>
      <c r="W571" s="63">
        <v>0</v>
      </c>
      <c r="X571" s="63">
        <v>0</v>
      </c>
      <c r="Y571" s="63">
        <v>0</v>
      </c>
      <c r="Z571" s="63">
        <v>0</v>
      </c>
      <c r="AA571" s="78">
        <v>0</v>
      </c>
      <c r="AB571" s="78">
        <v>0</v>
      </c>
      <c r="AC571" s="78">
        <v>0</v>
      </c>
      <c r="AD571" s="78">
        <v>0</v>
      </c>
      <c r="AE571" s="48">
        <v>200121</v>
      </c>
      <c r="AF571" s="51">
        <v>200115</v>
      </c>
      <c r="AG571" s="51">
        <v>200859</v>
      </c>
      <c r="AH571" s="51">
        <v>201206</v>
      </c>
      <c r="AI571" s="51">
        <v>200804</v>
      </c>
      <c r="AJ571" s="51">
        <v>201220</v>
      </c>
      <c r="AK571" s="51">
        <v>201221</v>
      </c>
      <c r="AU571" s="62">
        <v>1</v>
      </c>
      <c r="AV571" s="51">
        <v>10</v>
      </c>
      <c r="AW571" s="51">
        <v>30</v>
      </c>
      <c r="AX571" s="51">
        <v>4</v>
      </c>
      <c r="AY571" s="51">
        <v>1</v>
      </c>
      <c r="AZ571" s="51">
        <v>2</v>
      </c>
      <c r="BA571" s="51">
        <v>2</v>
      </c>
      <c r="BK571" s="62">
        <v>1</v>
      </c>
      <c r="BL571" s="51">
        <v>50</v>
      </c>
      <c r="BM571" s="51">
        <v>60</v>
      </c>
      <c r="BN571" s="51">
        <v>20</v>
      </c>
      <c r="BO571" s="51">
        <v>10</v>
      </c>
      <c r="BP571" s="51">
        <v>30</v>
      </c>
      <c r="BQ571" s="51">
        <v>20</v>
      </c>
      <c r="CA571" s="51">
        <v>171</v>
      </c>
      <c r="CB571" s="51">
        <v>171</v>
      </c>
      <c r="CC571" s="51">
        <v>0</v>
      </c>
      <c r="CD571" s="51">
        <v>0</v>
      </c>
      <c r="CE571" s="51">
        <v>0</v>
      </c>
      <c r="CF571" s="44">
        <v>0</v>
      </c>
      <c r="CG571" s="44">
        <v>0</v>
      </c>
      <c r="CH571" s="44">
        <v>0</v>
      </c>
      <c r="CI571" s="51">
        <v>1</v>
      </c>
      <c r="CJ571" s="51">
        <v>0</v>
      </c>
      <c r="CK571" s="51">
        <v>0</v>
      </c>
      <c r="CL571" s="51">
        <v>0</v>
      </c>
      <c r="CM571" s="51">
        <v>0</v>
      </c>
      <c r="CN571" s="51">
        <v>0</v>
      </c>
      <c r="CO571" s="51">
        <v>0</v>
      </c>
      <c r="CP571" s="51">
        <v>0</v>
      </c>
      <c r="CQ571" s="51">
        <v>0</v>
      </c>
      <c r="CR571" s="51">
        <v>0</v>
      </c>
      <c r="CV571" s="51">
        <v>0</v>
      </c>
      <c r="CW571" s="51">
        <v>0</v>
      </c>
    </row>
    <row r="572" s="60" customFormat="1" customHeight="1" spans="1:101">
      <c r="A572" s="60">
        <v>7701</v>
      </c>
      <c r="B572" s="141" t="s">
        <v>846</v>
      </c>
      <c r="H572" s="142" t="s">
        <v>847</v>
      </c>
      <c r="I572" s="143" t="s">
        <v>639</v>
      </c>
      <c r="J572" s="143" t="s">
        <v>828</v>
      </c>
      <c r="K572" s="143" t="s">
        <v>848</v>
      </c>
      <c r="L572" s="143"/>
      <c r="O572" s="60">
        <v>0</v>
      </c>
      <c r="P572" s="60">
        <v>0</v>
      </c>
      <c r="Q572" s="60">
        <v>0</v>
      </c>
      <c r="R572" s="60">
        <v>0</v>
      </c>
      <c r="S572" s="60">
        <v>0</v>
      </c>
      <c r="T572" s="60">
        <v>0</v>
      </c>
      <c r="U572" s="60">
        <v>0</v>
      </c>
      <c r="V572" s="60">
        <v>0</v>
      </c>
      <c r="W572" s="60">
        <v>0</v>
      </c>
      <c r="X572" s="60">
        <v>0</v>
      </c>
      <c r="Y572" s="60">
        <v>0</v>
      </c>
      <c r="Z572" s="60">
        <v>0</v>
      </c>
      <c r="AA572" s="60">
        <v>0</v>
      </c>
      <c r="AB572" s="60">
        <v>0</v>
      </c>
      <c r="AC572" s="60">
        <v>0</v>
      </c>
      <c r="AD572" s="60">
        <v>0</v>
      </c>
      <c r="AE572" s="144" t="s">
        <v>849</v>
      </c>
      <c r="AF572" s="145" t="s">
        <v>795</v>
      </c>
      <c r="AG572" s="145" t="s">
        <v>641</v>
      </c>
      <c r="AH572" s="145" t="s">
        <v>850</v>
      </c>
      <c r="AI572" s="74">
        <v>230451</v>
      </c>
      <c r="AJ572" s="147"/>
      <c r="AK572" s="147"/>
      <c r="AL572" s="147"/>
      <c r="AM572" s="147"/>
      <c r="AN572" s="147"/>
      <c r="AO572" s="147"/>
      <c r="AP572" s="147"/>
      <c r="AQ572" s="147"/>
      <c r="AR572" s="147"/>
      <c r="AS572" s="147"/>
      <c r="AT572" s="147"/>
      <c r="AU572" s="147" t="s">
        <v>319</v>
      </c>
      <c r="AV572" s="147" t="s">
        <v>677</v>
      </c>
      <c r="AW572" s="147" t="s">
        <v>670</v>
      </c>
      <c r="AX572" s="147" t="s">
        <v>654</v>
      </c>
      <c r="AY572" s="147" t="s">
        <v>670</v>
      </c>
      <c r="AZ572" s="147"/>
      <c r="BA572" s="147"/>
      <c r="BB572" s="147"/>
      <c r="BC572" s="147"/>
      <c r="BD572" s="147"/>
      <c r="BE572" s="147"/>
      <c r="BF572" s="147"/>
      <c r="BG572" s="147"/>
      <c r="BH572" s="147"/>
      <c r="BI572" s="147"/>
      <c r="BJ572" s="147"/>
      <c r="BK572" s="147" t="s">
        <v>320</v>
      </c>
      <c r="BL572" s="147" t="s">
        <v>320</v>
      </c>
      <c r="BM572" s="147" t="s">
        <v>320</v>
      </c>
      <c r="BN572" s="147" t="s">
        <v>320</v>
      </c>
      <c r="BO572" s="147" t="s">
        <v>320</v>
      </c>
      <c r="BP572" s="147"/>
      <c r="BQ572" s="147"/>
      <c r="BR572" s="147"/>
      <c r="BS572" s="147"/>
      <c r="BT572" s="147"/>
      <c r="BU572" s="147"/>
      <c r="BV572" s="147"/>
      <c r="BW572" s="147"/>
      <c r="BX572" s="147"/>
      <c r="CA572" s="143" t="s">
        <v>671</v>
      </c>
      <c r="CB572" s="143" t="s">
        <v>671</v>
      </c>
      <c r="CC572" s="60">
        <v>0</v>
      </c>
      <c r="CD572" s="60">
        <v>0</v>
      </c>
      <c r="CE572" s="60">
        <v>0</v>
      </c>
      <c r="CF572" s="143">
        <v>0</v>
      </c>
      <c r="CG572" s="143">
        <v>0</v>
      </c>
      <c r="CH572" s="143">
        <v>0</v>
      </c>
      <c r="CI572" s="60">
        <v>1</v>
      </c>
      <c r="CJ572" s="60">
        <v>0</v>
      </c>
      <c r="CK572" s="60">
        <v>0</v>
      </c>
      <c r="CL572" s="60">
        <v>0</v>
      </c>
      <c r="CM572" s="60">
        <v>0</v>
      </c>
      <c r="CN572" s="60">
        <v>0</v>
      </c>
      <c r="CO572" s="60">
        <v>0</v>
      </c>
      <c r="CP572" s="60">
        <v>0</v>
      </c>
      <c r="CQ572" s="60">
        <v>0</v>
      </c>
      <c r="CR572" s="60">
        <v>0</v>
      </c>
      <c r="CV572" s="60">
        <v>0</v>
      </c>
      <c r="CW572" s="60">
        <v>0</v>
      </c>
    </row>
    <row r="573" s="51" customFormat="1" customHeight="1" spans="1:101">
      <c r="A573" s="51">
        <v>7702</v>
      </c>
      <c r="B573" s="80" t="s">
        <v>851</v>
      </c>
      <c r="N573" s="44"/>
      <c r="O573" s="77" t="s">
        <v>852</v>
      </c>
      <c r="P573" s="77">
        <v>1</v>
      </c>
      <c r="Q573" s="77">
        <v>0</v>
      </c>
      <c r="R573" s="77">
        <v>0</v>
      </c>
      <c r="S573" s="64">
        <v>0</v>
      </c>
      <c r="T573" s="64">
        <v>0</v>
      </c>
      <c r="U573" s="64">
        <v>0</v>
      </c>
      <c r="V573" s="64">
        <v>0</v>
      </c>
      <c r="W573" s="63">
        <v>0</v>
      </c>
      <c r="X573" s="63">
        <v>0</v>
      </c>
      <c r="Y573" s="63">
        <v>0</v>
      </c>
      <c r="Z573" s="63">
        <v>0</v>
      </c>
      <c r="AA573" s="78">
        <v>0</v>
      </c>
      <c r="AB573" s="78">
        <v>0</v>
      </c>
      <c r="AC573" s="78">
        <v>0</v>
      </c>
      <c r="AD573" s="78">
        <v>0</v>
      </c>
      <c r="AE573" s="48"/>
      <c r="AU573" s="62"/>
      <c r="BK573" s="62"/>
      <c r="CA573" s="44">
        <v>1000</v>
      </c>
      <c r="CB573" s="44">
        <v>1000</v>
      </c>
      <c r="CC573" s="51">
        <v>0</v>
      </c>
      <c r="CD573" s="51">
        <v>0</v>
      </c>
      <c r="CE573" s="51">
        <v>0</v>
      </c>
      <c r="CF573" s="44">
        <v>0</v>
      </c>
      <c r="CG573" s="44">
        <v>0</v>
      </c>
      <c r="CH573" s="44">
        <v>0</v>
      </c>
      <c r="CI573" s="51">
        <v>1</v>
      </c>
      <c r="CJ573" s="51">
        <v>0</v>
      </c>
      <c r="CK573" s="51">
        <v>0</v>
      </c>
      <c r="CL573" s="51">
        <v>0</v>
      </c>
      <c r="CM573" s="51">
        <v>0</v>
      </c>
      <c r="CN573" s="51">
        <v>0</v>
      </c>
      <c r="CO573" s="51">
        <v>0</v>
      </c>
      <c r="CP573" s="51">
        <v>0</v>
      </c>
      <c r="CQ573" s="51">
        <v>0</v>
      </c>
      <c r="CR573" s="51">
        <v>0</v>
      </c>
      <c r="CV573" s="51">
        <v>0</v>
      </c>
      <c r="CW573" s="51">
        <v>0</v>
      </c>
    </row>
    <row r="574" s="61" customFormat="1" customHeight="1" spans="1:101">
      <c r="A574" s="61">
        <v>7703</v>
      </c>
      <c r="B574" s="61" t="s">
        <v>853</v>
      </c>
      <c r="H574" s="61" t="s">
        <v>847</v>
      </c>
      <c r="I574" s="61">
        <v>1000</v>
      </c>
      <c r="J574" s="61">
        <v>100000</v>
      </c>
      <c r="K574" s="61" t="s">
        <v>653</v>
      </c>
      <c r="O574" s="61" t="s">
        <v>329</v>
      </c>
      <c r="P574" s="61" t="s">
        <v>329</v>
      </c>
      <c r="Q574" s="61">
        <v>0</v>
      </c>
      <c r="R574" s="61">
        <v>0</v>
      </c>
      <c r="S574" s="61">
        <v>0</v>
      </c>
      <c r="T574" s="61">
        <v>0</v>
      </c>
      <c r="U574" s="61">
        <v>0</v>
      </c>
      <c r="V574" s="61">
        <v>0</v>
      </c>
      <c r="W574" s="61">
        <v>0</v>
      </c>
      <c r="X574" s="61">
        <v>0</v>
      </c>
      <c r="Y574" s="61">
        <v>0</v>
      </c>
      <c r="Z574" s="61">
        <v>0</v>
      </c>
      <c r="AA574" s="61">
        <v>0</v>
      </c>
      <c r="AB574" s="61">
        <v>0</v>
      </c>
      <c r="AC574" s="61">
        <v>0</v>
      </c>
      <c r="AD574" s="61">
        <v>0</v>
      </c>
      <c r="AE574" s="61" t="s">
        <v>854</v>
      </c>
      <c r="AF574" s="61">
        <v>201316</v>
      </c>
      <c r="AG574" s="61">
        <v>201317</v>
      </c>
      <c r="AH574" s="148"/>
      <c r="AU574" s="61">
        <v>1</v>
      </c>
      <c r="AV574" s="61">
        <v>1</v>
      </c>
      <c r="AW574" s="61">
        <v>1</v>
      </c>
      <c r="AX574" s="61"/>
      <c r="BK574" s="61">
        <v>50</v>
      </c>
      <c r="BL574" s="61">
        <v>50</v>
      </c>
      <c r="BM574" s="61">
        <v>50</v>
      </c>
      <c r="BN574" s="61"/>
      <c r="CA574" s="61" t="s">
        <v>855</v>
      </c>
      <c r="CB574" s="61" t="s">
        <v>855</v>
      </c>
      <c r="CC574" s="61">
        <v>0</v>
      </c>
      <c r="CD574" s="61">
        <v>0</v>
      </c>
      <c r="CE574" s="61">
        <v>0</v>
      </c>
      <c r="CF574" s="61">
        <v>0</v>
      </c>
      <c r="CG574" s="61">
        <v>0</v>
      </c>
      <c r="CH574" s="61">
        <v>0</v>
      </c>
      <c r="CI574" s="61">
        <v>1</v>
      </c>
      <c r="CK574" s="61">
        <v>0</v>
      </c>
      <c r="CL574" s="61">
        <v>0</v>
      </c>
      <c r="CM574" s="61">
        <v>0</v>
      </c>
      <c r="CN574" s="61">
        <v>0</v>
      </c>
      <c r="CO574" s="61">
        <v>0</v>
      </c>
      <c r="CP574" s="61">
        <v>0</v>
      </c>
      <c r="CQ574" s="61">
        <v>0</v>
      </c>
      <c r="CR574" s="61">
        <v>0</v>
      </c>
      <c r="CV574" s="61">
        <v>0</v>
      </c>
      <c r="CW574" s="61">
        <v>0</v>
      </c>
    </row>
    <row r="575" s="54" customFormat="1" customHeight="1" spans="1:101">
      <c r="A575" s="54">
        <v>7704</v>
      </c>
      <c r="B575" s="54" t="s">
        <v>856</v>
      </c>
      <c r="H575" s="54">
        <v>300000</v>
      </c>
      <c r="I575" s="54" t="s">
        <v>639</v>
      </c>
      <c r="J575" s="54">
        <v>140000</v>
      </c>
      <c r="K575" s="54" t="s">
        <v>511</v>
      </c>
      <c r="O575" s="54" t="s">
        <v>329</v>
      </c>
      <c r="P575" s="54" t="s">
        <v>329</v>
      </c>
      <c r="Q575" s="54">
        <v>0</v>
      </c>
      <c r="R575" s="54">
        <v>0</v>
      </c>
      <c r="S575" s="54">
        <v>0</v>
      </c>
      <c r="T575" s="54">
        <v>0</v>
      </c>
      <c r="U575" s="54">
        <v>0</v>
      </c>
      <c r="V575" s="54">
        <v>0</v>
      </c>
      <c r="W575" s="54">
        <v>0</v>
      </c>
      <c r="X575" s="54">
        <v>0</v>
      </c>
      <c r="Y575" s="54">
        <v>0</v>
      </c>
      <c r="Z575" s="54">
        <v>0</v>
      </c>
      <c r="AA575" s="54">
        <v>0</v>
      </c>
      <c r="AB575" s="54">
        <v>0</v>
      </c>
      <c r="AC575" s="54">
        <v>0</v>
      </c>
      <c r="AD575" s="54">
        <v>0</v>
      </c>
      <c r="AE575" s="54" t="s">
        <v>857</v>
      </c>
      <c r="AF575" s="54" t="s">
        <v>641</v>
      </c>
      <c r="AG575" s="54" t="s">
        <v>858</v>
      </c>
      <c r="AH575" s="54" t="s">
        <v>657</v>
      </c>
      <c r="AI575" s="54" t="s">
        <v>667</v>
      </c>
      <c r="AJ575" s="54"/>
      <c r="AU575" s="54">
        <v>1</v>
      </c>
      <c r="AV575" s="54" t="s">
        <v>677</v>
      </c>
      <c r="AW575" s="54" t="s">
        <v>669</v>
      </c>
      <c r="AX575" s="54" t="s">
        <v>319</v>
      </c>
      <c r="AY575" s="54" t="s">
        <v>319</v>
      </c>
      <c r="AZ575" s="54"/>
      <c r="BK575" s="54" t="s">
        <v>320</v>
      </c>
      <c r="BL575" s="54" t="s">
        <v>320</v>
      </c>
      <c r="BM575" s="54" t="s">
        <v>320</v>
      </c>
      <c r="BN575" s="54" t="s">
        <v>320</v>
      </c>
      <c r="BO575" s="54" t="s">
        <v>320</v>
      </c>
      <c r="BP575" s="54"/>
      <c r="CA575" s="54" t="s">
        <v>671</v>
      </c>
      <c r="CB575" s="54" t="s">
        <v>671</v>
      </c>
      <c r="CC575" s="54">
        <v>0</v>
      </c>
      <c r="CD575" s="54">
        <v>0</v>
      </c>
      <c r="CE575" s="54">
        <v>0</v>
      </c>
      <c r="CF575" s="54">
        <v>202102</v>
      </c>
      <c r="CG575" s="54">
        <v>1</v>
      </c>
      <c r="CH575" s="54">
        <v>1</v>
      </c>
      <c r="CI575" s="54">
        <v>1</v>
      </c>
      <c r="CJ575" s="54">
        <v>0</v>
      </c>
      <c r="CK575" s="54">
        <v>0</v>
      </c>
      <c r="CL575" s="54">
        <v>0</v>
      </c>
      <c r="CM575" s="54">
        <v>0</v>
      </c>
      <c r="CN575" s="54">
        <v>0</v>
      </c>
      <c r="CO575" s="54">
        <v>0</v>
      </c>
      <c r="CP575" s="54">
        <v>0</v>
      </c>
      <c r="CQ575" s="54">
        <v>0</v>
      </c>
      <c r="CR575" s="54">
        <v>0</v>
      </c>
      <c r="CV575" s="54">
        <v>0</v>
      </c>
      <c r="CW575" s="54">
        <v>0</v>
      </c>
    </row>
    <row r="576" s="54" customFormat="1" customHeight="1" spans="1:101">
      <c r="A576" s="54">
        <v>7705</v>
      </c>
      <c r="B576" s="54" t="s">
        <v>682</v>
      </c>
      <c r="H576" s="54">
        <v>400000</v>
      </c>
      <c r="I576" s="54" t="s">
        <v>639</v>
      </c>
      <c r="J576" s="54">
        <v>200000</v>
      </c>
      <c r="K576" s="54" t="s">
        <v>511</v>
      </c>
      <c r="O576" s="54" t="s">
        <v>329</v>
      </c>
      <c r="P576" s="54" t="s">
        <v>329</v>
      </c>
      <c r="Q576" s="54">
        <v>0</v>
      </c>
      <c r="R576" s="54">
        <v>0</v>
      </c>
      <c r="S576" s="54" t="s">
        <v>329</v>
      </c>
      <c r="T576" s="54" t="s">
        <v>329</v>
      </c>
      <c r="U576" s="54">
        <v>0</v>
      </c>
      <c r="V576" s="54">
        <v>0</v>
      </c>
      <c r="W576" s="54">
        <v>0</v>
      </c>
      <c r="X576" s="54">
        <v>0</v>
      </c>
      <c r="Y576" s="54">
        <v>0</v>
      </c>
      <c r="Z576" s="54">
        <v>0</v>
      </c>
      <c r="AA576" s="54">
        <v>0</v>
      </c>
      <c r="AB576" s="54">
        <v>0</v>
      </c>
      <c r="AC576" s="54">
        <v>0</v>
      </c>
      <c r="AD576" s="54">
        <v>0</v>
      </c>
      <c r="AE576" s="54" t="s">
        <v>857</v>
      </c>
      <c r="AF576" s="54" t="s">
        <v>641</v>
      </c>
      <c r="AG576" s="54" t="s">
        <v>858</v>
      </c>
      <c r="AH576" s="54" t="s">
        <v>657</v>
      </c>
      <c r="AI576" s="54" t="s">
        <v>667</v>
      </c>
      <c r="AU576" s="54">
        <v>1</v>
      </c>
      <c r="AV576" s="54" t="s">
        <v>677</v>
      </c>
      <c r="AW576" s="54" t="s">
        <v>669</v>
      </c>
      <c r="AX576" s="54" t="s">
        <v>319</v>
      </c>
      <c r="AY576" s="54" t="s">
        <v>319</v>
      </c>
      <c r="BK576" s="54" t="s">
        <v>320</v>
      </c>
      <c r="BL576" s="54" t="s">
        <v>320</v>
      </c>
      <c r="BM576" s="54" t="s">
        <v>320</v>
      </c>
      <c r="BN576" s="54" t="s">
        <v>320</v>
      </c>
      <c r="BO576" s="54" t="s">
        <v>320</v>
      </c>
      <c r="CA576" s="54" t="s">
        <v>671</v>
      </c>
      <c r="CB576" s="54" t="s">
        <v>671</v>
      </c>
      <c r="CC576" s="54">
        <v>0</v>
      </c>
      <c r="CD576" s="54">
        <v>0</v>
      </c>
      <c r="CE576" s="54">
        <v>0</v>
      </c>
      <c r="CF576" s="54">
        <v>202103</v>
      </c>
      <c r="CG576" s="54">
        <v>1</v>
      </c>
      <c r="CH576" s="54">
        <v>1</v>
      </c>
      <c r="CI576" s="54">
        <v>1</v>
      </c>
      <c r="CJ576" s="54">
        <v>0</v>
      </c>
      <c r="CK576" s="54">
        <v>0</v>
      </c>
      <c r="CL576" s="54">
        <v>0</v>
      </c>
      <c r="CM576" s="54">
        <v>0</v>
      </c>
      <c r="CN576" s="54">
        <v>0</v>
      </c>
      <c r="CO576" s="54">
        <v>0</v>
      </c>
      <c r="CP576" s="54">
        <v>0</v>
      </c>
      <c r="CQ576" s="54">
        <v>0</v>
      </c>
      <c r="CR576" s="54">
        <v>0</v>
      </c>
      <c r="CV576" s="54">
        <v>0</v>
      </c>
      <c r="CW576" s="54">
        <v>0</v>
      </c>
    </row>
    <row r="577" s="54" customFormat="1" customHeight="1" spans="1:101">
      <c r="A577" s="54">
        <v>7706</v>
      </c>
      <c r="B577" s="54" t="s">
        <v>859</v>
      </c>
      <c r="H577" s="54">
        <v>400000</v>
      </c>
      <c r="I577" s="54">
        <v>100000</v>
      </c>
      <c r="J577" s="54">
        <v>200000</v>
      </c>
      <c r="K577" s="54" t="s">
        <v>511</v>
      </c>
      <c r="O577" s="54" t="s">
        <v>822</v>
      </c>
      <c r="P577" s="54" t="s">
        <v>669</v>
      </c>
      <c r="Q577" s="54" t="s">
        <v>329</v>
      </c>
      <c r="R577" s="54" t="s">
        <v>329</v>
      </c>
      <c r="S577" s="54" t="s">
        <v>329</v>
      </c>
      <c r="T577" s="54" t="s">
        <v>329</v>
      </c>
      <c r="U577" s="54">
        <v>0</v>
      </c>
      <c r="V577" s="54">
        <v>0</v>
      </c>
      <c r="W577" s="54" t="s">
        <v>329</v>
      </c>
      <c r="X577" s="54" t="s">
        <v>329</v>
      </c>
      <c r="Y577" s="54">
        <v>0</v>
      </c>
      <c r="Z577" s="54">
        <v>0</v>
      </c>
      <c r="AA577" s="109">
        <v>0</v>
      </c>
      <c r="AB577" s="109">
        <v>0</v>
      </c>
      <c r="AC577" s="109">
        <v>0</v>
      </c>
      <c r="AD577" s="109">
        <v>0</v>
      </c>
      <c r="AE577" s="54" t="s">
        <v>795</v>
      </c>
      <c r="AF577" s="54" t="s">
        <v>796</v>
      </c>
      <c r="AG577" s="54" t="s">
        <v>823</v>
      </c>
      <c r="AH577" s="54" t="s">
        <v>798</v>
      </c>
      <c r="AI577" s="146">
        <v>230521</v>
      </c>
      <c r="AJ577" s="146">
        <v>230514</v>
      </c>
      <c r="AU577" s="54" t="s">
        <v>670</v>
      </c>
      <c r="AV577" s="54" t="s">
        <v>677</v>
      </c>
      <c r="AW577" s="54" t="s">
        <v>678</v>
      </c>
      <c r="AX577" s="54" t="s">
        <v>319</v>
      </c>
      <c r="AY577" s="54" t="s">
        <v>319</v>
      </c>
      <c r="AZ577" s="54" t="s">
        <v>319</v>
      </c>
      <c r="BK577" s="54" t="s">
        <v>320</v>
      </c>
      <c r="BL577" s="54" t="s">
        <v>320</v>
      </c>
      <c r="BM577" s="54" t="s">
        <v>320</v>
      </c>
      <c r="BN577" s="54" t="s">
        <v>320</v>
      </c>
      <c r="BO577" s="54" t="s">
        <v>320</v>
      </c>
      <c r="BP577" s="54" t="s">
        <v>320</v>
      </c>
      <c r="CA577" s="54" t="s">
        <v>860</v>
      </c>
      <c r="CB577" s="54" t="s">
        <v>860</v>
      </c>
      <c r="CC577" s="54">
        <v>0</v>
      </c>
      <c r="CD577" s="54">
        <v>0</v>
      </c>
      <c r="CE577" s="54">
        <v>0</v>
      </c>
      <c r="CF577" s="54">
        <v>192255</v>
      </c>
      <c r="CG577" s="54">
        <v>1</v>
      </c>
      <c r="CH577" s="54">
        <v>1</v>
      </c>
      <c r="CI577" s="54">
        <v>1</v>
      </c>
      <c r="CJ577" s="54">
        <v>0</v>
      </c>
      <c r="CK577" s="54">
        <v>0</v>
      </c>
      <c r="CL577" s="54">
        <v>0</v>
      </c>
      <c r="CM577" s="54">
        <v>0</v>
      </c>
      <c r="CN577" s="54">
        <v>0</v>
      </c>
      <c r="CO577" s="54">
        <v>0</v>
      </c>
      <c r="CP577" s="54">
        <v>0</v>
      </c>
      <c r="CQ577" s="54">
        <v>0</v>
      </c>
      <c r="CR577" s="54">
        <v>0</v>
      </c>
      <c r="CV577" s="54">
        <v>0</v>
      </c>
      <c r="CW577" s="54">
        <v>0</v>
      </c>
    </row>
    <row r="578" s="54" customFormat="1" customHeight="1" spans="1:101">
      <c r="A578" s="54">
        <v>7707</v>
      </c>
      <c r="B578" s="54" t="s">
        <v>861</v>
      </c>
      <c r="H578" s="54">
        <v>480000</v>
      </c>
      <c r="I578" s="54">
        <v>100000</v>
      </c>
      <c r="J578" s="54">
        <v>260000</v>
      </c>
      <c r="K578" s="54" t="s">
        <v>821</v>
      </c>
      <c r="O578" s="54" t="s">
        <v>822</v>
      </c>
      <c r="P578" s="54" t="s">
        <v>673</v>
      </c>
      <c r="Q578" s="54">
        <v>0</v>
      </c>
      <c r="R578" s="54">
        <v>0</v>
      </c>
      <c r="S578" s="54" t="s">
        <v>329</v>
      </c>
      <c r="T578" s="54" t="s">
        <v>329</v>
      </c>
      <c r="U578" s="54">
        <v>0</v>
      </c>
      <c r="V578" s="54">
        <v>0</v>
      </c>
      <c r="W578" s="54" t="s">
        <v>329</v>
      </c>
      <c r="X578" s="54" t="s">
        <v>329</v>
      </c>
      <c r="Y578" s="54">
        <v>0</v>
      </c>
      <c r="Z578" s="54">
        <v>0</v>
      </c>
      <c r="AA578" s="109">
        <v>0</v>
      </c>
      <c r="AB578" s="109">
        <v>0</v>
      </c>
      <c r="AC578" s="109">
        <v>0</v>
      </c>
      <c r="AD578" s="109">
        <v>0</v>
      </c>
      <c r="AE578" s="54" t="s">
        <v>795</v>
      </c>
      <c r="AF578" s="54" t="s">
        <v>796</v>
      </c>
      <c r="AG578" s="54" t="s">
        <v>862</v>
      </c>
      <c r="AH578" s="54" t="s">
        <v>798</v>
      </c>
      <c r="AI578" s="146">
        <v>230522</v>
      </c>
      <c r="AJ578" s="146">
        <v>230514</v>
      </c>
      <c r="AU578" s="54" t="s">
        <v>674</v>
      </c>
      <c r="AV578" s="54" t="s">
        <v>677</v>
      </c>
      <c r="AW578" s="54" t="s">
        <v>678</v>
      </c>
      <c r="AX578" s="54" t="s">
        <v>319</v>
      </c>
      <c r="AY578" s="54" t="s">
        <v>319</v>
      </c>
      <c r="AZ578" s="54" t="s">
        <v>319</v>
      </c>
      <c r="BK578" s="54" t="s">
        <v>320</v>
      </c>
      <c r="BL578" s="54" t="s">
        <v>320</v>
      </c>
      <c r="BM578" s="54" t="s">
        <v>320</v>
      </c>
      <c r="BN578" s="54" t="s">
        <v>320</v>
      </c>
      <c r="BO578" s="54" t="s">
        <v>320</v>
      </c>
      <c r="BP578" s="54" t="s">
        <v>320</v>
      </c>
      <c r="CA578" s="54" t="s">
        <v>860</v>
      </c>
      <c r="CB578" s="54" t="s">
        <v>860</v>
      </c>
      <c r="CC578" s="54">
        <v>0</v>
      </c>
      <c r="CD578" s="54">
        <v>0</v>
      </c>
      <c r="CE578" s="54">
        <v>0</v>
      </c>
      <c r="CF578" s="54">
        <v>192257</v>
      </c>
      <c r="CG578" s="54">
        <v>1</v>
      </c>
      <c r="CH578" s="54">
        <v>1</v>
      </c>
      <c r="CI578" s="54">
        <v>1</v>
      </c>
      <c r="CJ578" s="54">
        <v>0</v>
      </c>
      <c r="CK578" s="54">
        <v>0</v>
      </c>
      <c r="CL578" s="54">
        <v>0</v>
      </c>
      <c r="CM578" s="54">
        <v>0</v>
      </c>
      <c r="CN578" s="54">
        <v>0</v>
      </c>
      <c r="CO578" s="54">
        <v>0</v>
      </c>
      <c r="CP578" s="54">
        <v>0</v>
      </c>
      <c r="CQ578" s="54">
        <v>0</v>
      </c>
      <c r="CR578" s="54">
        <v>0</v>
      </c>
      <c r="CV578" s="54">
        <v>0</v>
      </c>
      <c r="CW578" s="54">
        <v>0</v>
      </c>
    </row>
    <row r="579" s="54" customFormat="1" customHeight="1" spans="1:101">
      <c r="A579" s="54">
        <v>7708</v>
      </c>
      <c r="B579" s="54" t="s">
        <v>863</v>
      </c>
      <c r="H579" s="54">
        <v>660000</v>
      </c>
      <c r="I579" s="54">
        <v>100000</v>
      </c>
      <c r="J579" s="54">
        <v>400000</v>
      </c>
      <c r="K579" s="54" t="s">
        <v>848</v>
      </c>
      <c r="O579" s="54" t="s">
        <v>822</v>
      </c>
      <c r="P579" s="54" t="s">
        <v>677</v>
      </c>
      <c r="Q579" s="54">
        <v>0</v>
      </c>
      <c r="R579" s="54">
        <v>0</v>
      </c>
      <c r="S579" s="54" t="s">
        <v>329</v>
      </c>
      <c r="T579" s="54" t="s">
        <v>329</v>
      </c>
      <c r="U579" s="54">
        <v>0</v>
      </c>
      <c r="V579" s="54">
        <v>0</v>
      </c>
      <c r="W579" s="54" t="s">
        <v>329</v>
      </c>
      <c r="X579" s="54" t="s">
        <v>329</v>
      </c>
      <c r="Y579" s="54">
        <v>0</v>
      </c>
      <c r="Z579" s="54">
        <v>0</v>
      </c>
      <c r="AA579" s="109">
        <v>0</v>
      </c>
      <c r="AB579" s="109">
        <v>0</v>
      </c>
      <c r="AC579" s="109">
        <v>0</v>
      </c>
      <c r="AD579" s="109">
        <v>0</v>
      </c>
      <c r="AE579" s="54" t="s">
        <v>795</v>
      </c>
      <c r="AF579" s="54" t="s">
        <v>796</v>
      </c>
      <c r="AG579" s="54" t="s">
        <v>862</v>
      </c>
      <c r="AH579" s="54" t="s">
        <v>798</v>
      </c>
      <c r="AI579" s="146">
        <v>230523</v>
      </c>
      <c r="AJ579" s="146">
        <v>230515</v>
      </c>
      <c r="AU579" s="54" t="s">
        <v>678</v>
      </c>
      <c r="AV579" s="54" t="s">
        <v>810</v>
      </c>
      <c r="AW579" s="54" t="s">
        <v>322</v>
      </c>
      <c r="AX579" s="54" t="s">
        <v>319</v>
      </c>
      <c r="AY579" s="54" t="s">
        <v>319</v>
      </c>
      <c r="AZ579" s="54" t="s">
        <v>319</v>
      </c>
      <c r="BK579" s="54" t="s">
        <v>320</v>
      </c>
      <c r="BL579" s="54" t="s">
        <v>320</v>
      </c>
      <c r="BM579" s="54" t="s">
        <v>320</v>
      </c>
      <c r="BN579" s="54" t="s">
        <v>320</v>
      </c>
      <c r="BO579" s="54" t="s">
        <v>320</v>
      </c>
      <c r="BP579" s="54" t="s">
        <v>320</v>
      </c>
      <c r="CA579" s="54" t="s">
        <v>860</v>
      </c>
      <c r="CB579" s="54" t="s">
        <v>860</v>
      </c>
      <c r="CC579" s="54">
        <v>0</v>
      </c>
      <c r="CD579" s="54">
        <v>0</v>
      </c>
      <c r="CE579" s="54">
        <v>0</v>
      </c>
      <c r="CF579" s="54">
        <v>192259</v>
      </c>
      <c r="CG579" s="54">
        <v>1</v>
      </c>
      <c r="CH579" s="54">
        <v>1</v>
      </c>
      <c r="CI579" s="54">
        <v>1</v>
      </c>
      <c r="CJ579" s="54">
        <v>0</v>
      </c>
      <c r="CK579" s="54">
        <v>0</v>
      </c>
      <c r="CL579" s="54">
        <v>0</v>
      </c>
      <c r="CM579" s="54">
        <v>0</v>
      </c>
      <c r="CN579" s="54">
        <v>0</v>
      </c>
      <c r="CO579" s="54">
        <v>0</v>
      </c>
      <c r="CP579" s="54">
        <v>0</v>
      </c>
      <c r="CQ579" s="54">
        <v>0</v>
      </c>
      <c r="CR579" s="54">
        <v>0</v>
      </c>
      <c r="CV579" s="54">
        <v>0</v>
      </c>
      <c r="CW579" s="54">
        <v>0</v>
      </c>
    </row>
    <row r="580" s="54" customFormat="1" customHeight="1" spans="1:101">
      <c r="A580" s="54">
        <v>7709</v>
      </c>
      <c r="B580" s="54" t="s">
        <v>864</v>
      </c>
      <c r="H580" s="54">
        <v>800000</v>
      </c>
      <c r="I580" s="54">
        <v>100000</v>
      </c>
      <c r="J580" s="54">
        <v>500000</v>
      </c>
      <c r="K580" s="54" t="s">
        <v>865</v>
      </c>
      <c r="O580" s="156">
        <v>201302</v>
      </c>
      <c r="P580" s="54" t="s">
        <v>669</v>
      </c>
      <c r="Q580" s="54">
        <v>0</v>
      </c>
      <c r="R580" s="54">
        <v>0</v>
      </c>
      <c r="S580" s="54" t="s">
        <v>866</v>
      </c>
      <c r="T580" s="54" t="s">
        <v>319</v>
      </c>
      <c r="U580" s="54">
        <v>0</v>
      </c>
      <c r="V580" s="54">
        <v>0</v>
      </c>
      <c r="W580" s="54" t="s">
        <v>329</v>
      </c>
      <c r="X580" s="54" t="s">
        <v>329</v>
      </c>
      <c r="Y580" s="54">
        <v>0</v>
      </c>
      <c r="Z580" s="54">
        <v>0</v>
      </c>
      <c r="AA580" s="109">
        <v>0</v>
      </c>
      <c r="AB580" s="109">
        <v>0</v>
      </c>
      <c r="AC580" s="109">
        <v>0</v>
      </c>
      <c r="AD580" s="109">
        <v>0</v>
      </c>
      <c r="AE580" s="54" t="s">
        <v>795</v>
      </c>
      <c r="AF580" s="54" t="s">
        <v>796</v>
      </c>
      <c r="AG580" s="54" t="s">
        <v>867</v>
      </c>
      <c r="AH580" s="54" t="s">
        <v>798</v>
      </c>
      <c r="AI580" s="146">
        <v>230524</v>
      </c>
      <c r="AJ580" s="146">
        <v>230515</v>
      </c>
      <c r="AU580" s="54" t="s">
        <v>868</v>
      </c>
      <c r="AV580" s="54" t="s">
        <v>815</v>
      </c>
      <c r="AW580" s="54" t="s">
        <v>678</v>
      </c>
      <c r="AX580" s="54" t="s">
        <v>319</v>
      </c>
      <c r="AY580" s="54" t="s">
        <v>319</v>
      </c>
      <c r="AZ580" s="54" t="s">
        <v>319</v>
      </c>
      <c r="BK580" s="54" t="s">
        <v>320</v>
      </c>
      <c r="BL580" s="54" t="s">
        <v>320</v>
      </c>
      <c r="BM580" s="54" t="s">
        <v>320</v>
      </c>
      <c r="BN580" s="54" t="s">
        <v>320</v>
      </c>
      <c r="BO580" s="54" t="s">
        <v>320</v>
      </c>
      <c r="BP580" s="54" t="s">
        <v>320</v>
      </c>
      <c r="CA580" s="54" t="s">
        <v>860</v>
      </c>
      <c r="CB580" s="54" t="s">
        <v>860</v>
      </c>
      <c r="CC580" s="54">
        <v>0</v>
      </c>
      <c r="CD580" s="54">
        <v>0</v>
      </c>
      <c r="CE580" s="54">
        <v>0</v>
      </c>
      <c r="CF580" s="54">
        <v>192261</v>
      </c>
      <c r="CG580" s="54">
        <v>1</v>
      </c>
      <c r="CH580" s="54">
        <v>1</v>
      </c>
      <c r="CI580" s="54">
        <v>1</v>
      </c>
      <c r="CJ580" s="54">
        <v>0</v>
      </c>
      <c r="CK580" s="54">
        <v>0</v>
      </c>
      <c r="CL580" s="54">
        <v>0</v>
      </c>
      <c r="CM580" s="54">
        <v>0</v>
      </c>
      <c r="CN580" s="54">
        <v>0</v>
      </c>
      <c r="CO580" s="54">
        <v>0</v>
      </c>
      <c r="CP580" s="54">
        <v>0</v>
      </c>
      <c r="CQ580" s="54">
        <v>0</v>
      </c>
      <c r="CR580" s="54">
        <v>0</v>
      </c>
      <c r="CV580" s="54">
        <v>0</v>
      </c>
      <c r="CW580" s="54">
        <v>0</v>
      </c>
    </row>
    <row r="581" s="54" customFormat="1" customHeight="1" spans="1:101">
      <c r="A581" s="54">
        <v>7710</v>
      </c>
      <c r="B581" s="54" t="s">
        <v>869</v>
      </c>
      <c r="H581" s="54">
        <v>1000000</v>
      </c>
      <c r="I581" s="54">
        <v>100000</v>
      </c>
      <c r="J581" s="54">
        <v>700000</v>
      </c>
      <c r="K581" s="54" t="s">
        <v>474</v>
      </c>
      <c r="O581" s="156">
        <v>201302</v>
      </c>
      <c r="P581" s="54" t="s">
        <v>673</v>
      </c>
      <c r="Q581" s="54">
        <v>0</v>
      </c>
      <c r="R581" s="54">
        <v>0</v>
      </c>
      <c r="S581" s="54">
        <v>230803</v>
      </c>
      <c r="T581" s="54" t="s">
        <v>654</v>
      </c>
      <c r="U581" s="54">
        <v>0</v>
      </c>
      <c r="V581" s="54">
        <v>0</v>
      </c>
      <c r="W581" s="54" t="s">
        <v>329</v>
      </c>
      <c r="X581" s="54" t="s">
        <v>329</v>
      </c>
      <c r="Y581" s="54">
        <v>0</v>
      </c>
      <c r="Z581" s="54">
        <v>0</v>
      </c>
      <c r="AA581" s="109">
        <v>0</v>
      </c>
      <c r="AB581" s="109">
        <v>0</v>
      </c>
      <c r="AC581" s="109">
        <v>0</v>
      </c>
      <c r="AD581" s="109">
        <v>0</v>
      </c>
      <c r="AE581" s="54" t="s">
        <v>795</v>
      </c>
      <c r="AF581" s="54" t="s">
        <v>796</v>
      </c>
      <c r="AG581" s="54" t="s">
        <v>867</v>
      </c>
      <c r="AH581" s="54" t="s">
        <v>798</v>
      </c>
      <c r="AI581" s="146">
        <v>230524</v>
      </c>
      <c r="AJ581" s="146">
        <v>230515</v>
      </c>
      <c r="AU581" s="54" t="s">
        <v>662</v>
      </c>
      <c r="AV581" s="54" t="s">
        <v>670</v>
      </c>
      <c r="AW581" s="54" t="s">
        <v>322</v>
      </c>
      <c r="AX581" s="54" t="s">
        <v>319</v>
      </c>
      <c r="AY581" s="54" t="s">
        <v>319</v>
      </c>
      <c r="AZ581" s="54" t="s">
        <v>319</v>
      </c>
      <c r="BK581" s="54" t="s">
        <v>320</v>
      </c>
      <c r="BL581" s="54" t="s">
        <v>320</v>
      </c>
      <c r="BM581" s="54" t="s">
        <v>320</v>
      </c>
      <c r="BN581" s="54" t="s">
        <v>320</v>
      </c>
      <c r="BO581" s="54" t="s">
        <v>320</v>
      </c>
      <c r="BP581" s="54" t="s">
        <v>320</v>
      </c>
      <c r="CA581" s="54" t="s">
        <v>860</v>
      </c>
      <c r="CB581" s="54" t="s">
        <v>860</v>
      </c>
      <c r="CC581" s="54">
        <v>0</v>
      </c>
      <c r="CD581" s="54">
        <v>0</v>
      </c>
      <c r="CE581" s="54">
        <v>0</v>
      </c>
      <c r="CF581" s="54">
        <v>192263</v>
      </c>
      <c r="CG581" s="54">
        <v>1</v>
      </c>
      <c r="CH581" s="54">
        <v>1</v>
      </c>
      <c r="CI581" s="54">
        <v>1</v>
      </c>
      <c r="CJ581" s="54">
        <v>0</v>
      </c>
      <c r="CK581" s="54">
        <v>0</v>
      </c>
      <c r="CL581" s="54">
        <v>0</v>
      </c>
      <c r="CM581" s="54">
        <v>0</v>
      </c>
      <c r="CN581" s="54">
        <v>0</v>
      </c>
      <c r="CO581" s="54">
        <v>0</v>
      </c>
      <c r="CP581" s="54">
        <v>0</v>
      </c>
      <c r="CQ581" s="54">
        <v>0</v>
      </c>
      <c r="CR581" s="54">
        <v>0</v>
      </c>
      <c r="CV581" s="54">
        <v>0</v>
      </c>
      <c r="CW581" s="54">
        <v>0</v>
      </c>
    </row>
    <row r="582" s="62" customFormat="1" customHeight="1" spans="1:101">
      <c r="A582" s="62">
        <v>7711</v>
      </c>
      <c r="B582" s="87" t="s">
        <v>870</v>
      </c>
      <c r="H582" s="62">
        <v>600000</v>
      </c>
      <c r="I582" s="62">
        <v>100000</v>
      </c>
      <c r="J582" s="62">
        <v>380000</v>
      </c>
      <c r="K582" s="62">
        <v>3700</v>
      </c>
      <c r="O582" s="62">
        <v>201260</v>
      </c>
      <c r="P582" s="62">
        <v>3</v>
      </c>
      <c r="Q582" s="62">
        <v>0</v>
      </c>
      <c r="R582" s="62">
        <v>0</v>
      </c>
      <c r="S582" s="62">
        <v>201227</v>
      </c>
      <c r="T582" s="62">
        <v>1</v>
      </c>
      <c r="U582" s="62">
        <v>0</v>
      </c>
      <c r="V582" s="62">
        <v>0</v>
      </c>
      <c r="W582" s="62">
        <v>202117</v>
      </c>
      <c r="X582" s="62">
        <v>1</v>
      </c>
      <c r="Y582" s="62">
        <v>0</v>
      </c>
      <c r="Z582" s="62">
        <v>0</v>
      </c>
      <c r="AA582" s="62">
        <v>0</v>
      </c>
      <c r="AB582" s="62">
        <v>0</v>
      </c>
      <c r="AC582" s="62">
        <v>0</v>
      </c>
      <c r="AD582" s="62">
        <v>0</v>
      </c>
      <c r="AE582" s="62">
        <v>200401</v>
      </c>
      <c r="AF582" s="62">
        <v>200402</v>
      </c>
      <c r="AU582" s="62">
        <v>2</v>
      </c>
      <c r="AV582" s="62">
        <v>2</v>
      </c>
      <c r="BK582" s="62">
        <v>50</v>
      </c>
      <c r="BL582" s="62">
        <v>50</v>
      </c>
      <c r="CA582" s="52">
        <v>30</v>
      </c>
      <c r="CB582" s="52">
        <v>100</v>
      </c>
      <c r="CC582" s="62">
        <v>0</v>
      </c>
      <c r="CD582" s="62">
        <v>0</v>
      </c>
      <c r="CE582" s="62">
        <v>0</v>
      </c>
      <c r="CF582" s="62">
        <v>202000</v>
      </c>
      <c r="CG582" s="62">
        <v>1</v>
      </c>
      <c r="CH582" s="62">
        <v>1</v>
      </c>
      <c r="CI582" s="62">
        <v>1</v>
      </c>
      <c r="CJ582" s="62">
        <v>0</v>
      </c>
      <c r="CK582" s="62">
        <v>0</v>
      </c>
      <c r="CL582" s="62">
        <v>0</v>
      </c>
      <c r="CM582" s="62">
        <v>0</v>
      </c>
      <c r="CN582" s="62">
        <v>0</v>
      </c>
      <c r="CO582" s="62">
        <v>0</v>
      </c>
      <c r="CP582" s="62">
        <v>0</v>
      </c>
      <c r="CQ582" s="62">
        <v>0</v>
      </c>
      <c r="CR582" s="62">
        <v>0</v>
      </c>
      <c r="CV582" s="62">
        <v>0</v>
      </c>
      <c r="CW582" s="62">
        <v>0</v>
      </c>
    </row>
    <row r="583" s="62" customFormat="1" customHeight="1" spans="1:101">
      <c r="A583" s="62">
        <v>7712</v>
      </c>
      <c r="B583" s="87" t="s">
        <v>871</v>
      </c>
      <c r="H583" s="62">
        <v>680000</v>
      </c>
      <c r="I583" s="62">
        <v>100000</v>
      </c>
      <c r="J583" s="62">
        <v>410000</v>
      </c>
      <c r="K583" s="62">
        <v>4100</v>
      </c>
      <c r="O583" s="62">
        <v>201260</v>
      </c>
      <c r="P583" s="62">
        <v>4</v>
      </c>
      <c r="Q583" s="62">
        <v>0</v>
      </c>
      <c r="R583" s="62">
        <v>0</v>
      </c>
      <c r="S583" s="62">
        <v>201228</v>
      </c>
      <c r="T583" s="62">
        <v>1</v>
      </c>
      <c r="U583" s="62">
        <v>0</v>
      </c>
      <c r="V583" s="62">
        <v>0</v>
      </c>
      <c r="W583" s="62">
        <v>202118</v>
      </c>
      <c r="X583" s="62">
        <v>1</v>
      </c>
      <c r="Y583" s="62">
        <v>0</v>
      </c>
      <c r="Z583" s="62">
        <v>0</v>
      </c>
      <c r="AA583" s="62">
        <v>0</v>
      </c>
      <c r="AB583" s="62">
        <v>0</v>
      </c>
      <c r="AC583" s="62">
        <v>0</v>
      </c>
      <c r="AD583" s="62">
        <v>0</v>
      </c>
      <c r="AE583" s="62">
        <v>200401</v>
      </c>
      <c r="AF583" s="62">
        <v>200402</v>
      </c>
      <c r="AU583" s="62">
        <v>2</v>
      </c>
      <c r="AV583" s="62">
        <v>2</v>
      </c>
      <c r="BK583" s="62">
        <v>50</v>
      </c>
      <c r="BL583" s="62">
        <v>50</v>
      </c>
      <c r="CA583" s="52">
        <v>30</v>
      </c>
      <c r="CB583" s="52">
        <v>100</v>
      </c>
      <c r="CC583" s="62">
        <v>0</v>
      </c>
      <c r="CD583" s="62">
        <v>0</v>
      </c>
      <c r="CE583" s="62">
        <v>0</v>
      </c>
      <c r="CF583" s="62">
        <v>202001</v>
      </c>
      <c r="CG583" s="62">
        <v>1</v>
      </c>
      <c r="CH583" s="62">
        <v>1</v>
      </c>
      <c r="CI583" s="62">
        <v>1</v>
      </c>
      <c r="CJ583" s="62">
        <v>0</v>
      </c>
      <c r="CK583" s="62">
        <v>0</v>
      </c>
      <c r="CL583" s="62">
        <v>0</v>
      </c>
      <c r="CM583" s="62">
        <v>0</v>
      </c>
      <c r="CN583" s="62">
        <v>0</v>
      </c>
      <c r="CO583" s="62">
        <v>0</v>
      </c>
      <c r="CP583" s="62">
        <v>0</v>
      </c>
      <c r="CQ583" s="62">
        <v>0</v>
      </c>
      <c r="CR583" s="62">
        <v>0</v>
      </c>
      <c r="CV583" s="62">
        <v>0</v>
      </c>
      <c r="CW583" s="62">
        <v>0</v>
      </c>
    </row>
    <row r="584" s="62" customFormat="1" customHeight="1" spans="1:101">
      <c r="A584" s="62">
        <v>7713</v>
      </c>
      <c r="B584" s="87" t="s">
        <v>872</v>
      </c>
      <c r="H584" s="62">
        <v>800000</v>
      </c>
      <c r="I584" s="62">
        <v>100000</v>
      </c>
      <c r="J584" s="62">
        <v>500000</v>
      </c>
      <c r="K584" s="62">
        <v>5000</v>
      </c>
      <c r="O584" s="62">
        <v>201261</v>
      </c>
      <c r="P584" s="62">
        <v>1</v>
      </c>
      <c r="Q584" s="62">
        <v>0</v>
      </c>
      <c r="R584" s="62">
        <v>0</v>
      </c>
      <c r="S584" s="62">
        <v>201229</v>
      </c>
      <c r="T584" s="62">
        <v>1</v>
      </c>
      <c r="U584" s="62">
        <v>0</v>
      </c>
      <c r="V584" s="62">
        <v>0</v>
      </c>
      <c r="W584" s="62">
        <v>202118</v>
      </c>
      <c r="X584" s="62">
        <v>1</v>
      </c>
      <c r="Y584" s="62">
        <v>0</v>
      </c>
      <c r="Z584" s="62">
        <v>0</v>
      </c>
      <c r="AA584" s="62">
        <v>0</v>
      </c>
      <c r="AB584" s="62">
        <v>0</v>
      </c>
      <c r="AC584" s="62">
        <v>0</v>
      </c>
      <c r="AD584" s="62">
        <v>0</v>
      </c>
      <c r="AE584" s="62">
        <v>200401</v>
      </c>
      <c r="AF584" s="62">
        <v>200402</v>
      </c>
      <c r="AU584" s="62">
        <v>2</v>
      </c>
      <c r="AV584" s="62">
        <v>2</v>
      </c>
      <c r="BK584" s="62">
        <v>50</v>
      </c>
      <c r="BL584" s="62">
        <v>50</v>
      </c>
      <c r="CA584" s="52">
        <v>30</v>
      </c>
      <c r="CB584" s="52">
        <v>100</v>
      </c>
      <c r="CC584" s="62">
        <v>0</v>
      </c>
      <c r="CD584" s="62">
        <v>0</v>
      </c>
      <c r="CE584" s="62">
        <v>0</v>
      </c>
      <c r="CF584" s="62">
        <v>202002</v>
      </c>
      <c r="CG584" s="62">
        <v>1</v>
      </c>
      <c r="CH584" s="62">
        <v>1</v>
      </c>
      <c r="CI584" s="62">
        <v>1</v>
      </c>
      <c r="CJ584" s="62">
        <v>0</v>
      </c>
      <c r="CK584" s="62">
        <v>0</v>
      </c>
      <c r="CL584" s="62">
        <v>0</v>
      </c>
      <c r="CM584" s="62">
        <v>0</v>
      </c>
      <c r="CN584" s="62">
        <v>0</v>
      </c>
      <c r="CO584" s="62">
        <v>0</v>
      </c>
      <c r="CP584" s="62">
        <v>0</v>
      </c>
      <c r="CQ584" s="62">
        <v>0</v>
      </c>
      <c r="CR584" s="62">
        <v>0</v>
      </c>
      <c r="CV584" s="62">
        <v>0</v>
      </c>
      <c r="CW584" s="62">
        <v>0</v>
      </c>
    </row>
    <row r="585" s="52" customFormat="1" customHeight="1" spans="1:101">
      <c r="A585" s="52">
        <v>7714</v>
      </c>
      <c r="B585" s="127" t="s">
        <v>873</v>
      </c>
      <c r="H585" s="52">
        <v>3000000</v>
      </c>
      <c r="I585" s="52">
        <v>100000</v>
      </c>
      <c r="J585" s="52">
        <v>300000</v>
      </c>
      <c r="K585" s="52">
        <v>50000</v>
      </c>
      <c r="O585" s="52">
        <v>201262</v>
      </c>
      <c r="P585" s="52">
        <v>1</v>
      </c>
      <c r="Q585" s="52">
        <v>0</v>
      </c>
      <c r="R585" s="52">
        <v>0</v>
      </c>
      <c r="S585" s="52">
        <v>0</v>
      </c>
      <c r="T585" s="52">
        <v>0</v>
      </c>
      <c r="U585" s="52">
        <v>0</v>
      </c>
      <c r="V585" s="52">
        <v>0</v>
      </c>
      <c r="W585" s="52">
        <v>0</v>
      </c>
      <c r="X585" s="52">
        <v>0</v>
      </c>
      <c r="Y585" s="52">
        <v>0</v>
      </c>
      <c r="Z585" s="52">
        <v>0</v>
      </c>
      <c r="AA585" s="52">
        <v>0</v>
      </c>
      <c r="AB585" s="52">
        <v>0</v>
      </c>
      <c r="AC585" s="52">
        <v>0</v>
      </c>
      <c r="AD585" s="52">
        <v>0</v>
      </c>
      <c r="AE585" s="158">
        <v>201303</v>
      </c>
      <c r="AF585" s="158">
        <v>201294</v>
      </c>
      <c r="AG585" s="158">
        <v>201346</v>
      </c>
      <c r="AH585" s="158">
        <v>201310</v>
      </c>
      <c r="AU585" s="52">
        <v>1</v>
      </c>
      <c r="AV585" s="52">
        <v>1</v>
      </c>
      <c r="AW585" s="52">
        <v>1</v>
      </c>
      <c r="AX585" s="52">
        <v>20</v>
      </c>
      <c r="BK585" s="52">
        <v>50</v>
      </c>
      <c r="BL585" s="52">
        <v>50</v>
      </c>
      <c r="BM585" s="52">
        <v>50</v>
      </c>
      <c r="BN585" s="52">
        <v>50</v>
      </c>
      <c r="CA585" s="52">
        <v>200</v>
      </c>
      <c r="CB585" s="52">
        <v>200</v>
      </c>
      <c r="CC585" s="52">
        <v>0</v>
      </c>
      <c r="CD585" s="52">
        <v>0</v>
      </c>
      <c r="CE585" s="52">
        <v>0</v>
      </c>
      <c r="CF585" s="52">
        <v>202003</v>
      </c>
      <c r="CG585" s="52">
        <v>1</v>
      </c>
      <c r="CH585" s="52">
        <v>1</v>
      </c>
      <c r="CI585" s="52">
        <v>1</v>
      </c>
      <c r="CJ585" s="52">
        <v>0</v>
      </c>
      <c r="CK585" s="52">
        <v>0</v>
      </c>
      <c r="CL585" s="52">
        <v>0</v>
      </c>
      <c r="CM585" s="52">
        <v>0</v>
      </c>
      <c r="CN585" s="52">
        <v>0</v>
      </c>
      <c r="CO585" s="52">
        <v>0</v>
      </c>
      <c r="CP585" s="52">
        <v>0</v>
      </c>
      <c r="CQ585" s="52">
        <v>0</v>
      </c>
      <c r="CR585" s="52">
        <v>0</v>
      </c>
      <c r="CV585" s="52">
        <v>0</v>
      </c>
      <c r="CW585" s="52">
        <v>0</v>
      </c>
    </row>
    <row r="586" s="52" customFormat="1" customHeight="1" spans="1:101">
      <c r="A586" s="52">
        <v>7715</v>
      </c>
      <c r="B586" s="127" t="s">
        <v>874</v>
      </c>
      <c r="H586" s="52">
        <v>1000000</v>
      </c>
      <c r="I586" s="52">
        <v>100000</v>
      </c>
      <c r="J586" s="52">
        <v>300000</v>
      </c>
      <c r="K586" s="52">
        <v>30000</v>
      </c>
      <c r="O586" s="52">
        <v>201262</v>
      </c>
      <c r="P586" s="52">
        <v>1</v>
      </c>
      <c r="Q586" s="52">
        <v>0</v>
      </c>
      <c r="R586" s="52">
        <v>0</v>
      </c>
      <c r="S586" s="52">
        <v>0</v>
      </c>
      <c r="T586" s="52">
        <v>0</v>
      </c>
      <c r="U586" s="52">
        <v>0</v>
      </c>
      <c r="V586" s="52">
        <v>0</v>
      </c>
      <c r="W586" s="52">
        <v>0</v>
      </c>
      <c r="X586" s="52">
        <v>0</v>
      </c>
      <c r="Y586" s="52">
        <v>0</v>
      </c>
      <c r="Z586" s="52">
        <v>0</v>
      </c>
      <c r="AA586" s="52">
        <v>0</v>
      </c>
      <c r="AB586" s="52">
        <v>0</v>
      </c>
      <c r="AC586" s="52">
        <v>0</v>
      </c>
      <c r="AD586" s="52">
        <v>0</v>
      </c>
      <c r="AE586" s="52">
        <v>200115</v>
      </c>
      <c r="AF586" s="52">
        <v>200115</v>
      </c>
      <c r="AG586" s="52">
        <v>201279</v>
      </c>
      <c r="AH586" s="52">
        <v>201280</v>
      </c>
      <c r="AI586" s="52">
        <v>201281</v>
      </c>
      <c r="AJ586" s="52">
        <v>201282</v>
      </c>
      <c r="AK586" s="52">
        <v>201347</v>
      </c>
      <c r="AL586" s="52">
        <v>201348</v>
      </c>
      <c r="AM586" s="52">
        <v>201349</v>
      </c>
      <c r="AN586" s="52">
        <v>201350</v>
      </c>
      <c r="AO586" s="52">
        <v>201351</v>
      </c>
      <c r="AP586" s="52">
        <v>201352</v>
      </c>
      <c r="AQ586" s="52">
        <v>201353</v>
      </c>
      <c r="AU586" s="52">
        <v>20</v>
      </c>
      <c r="AV586" s="52">
        <v>50</v>
      </c>
      <c r="AW586" s="52">
        <v>1</v>
      </c>
      <c r="AX586" s="52">
        <v>1</v>
      </c>
      <c r="AY586" s="52">
        <v>1</v>
      </c>
      <c r="AZ586" s="52">
        <v>1</v>
      </c>
      <c r="BA586" s="52">
        <v>1</v>
      </c>
      <c r="BB586" s="52">
        <v>1</v>
      </c>
      <c r="BC586" s="52">
        <v>1</v>
      </c>
      <c r="BD586" s="52">
        <v>1</v>
      </c>
      <c r="BE586" s="52">
        <v>1</v>
      </c>
      <c r="BF586" s="52">
        <v>1</v>
      </c>
      <c r="BG586" s="52">
        <v>1</v>
      </c>
      <c r="BK586" s="52">
        <v>75</v>
      </c>
      <c r="BL586" s="52">
        <v>10</v>
      </c>
      <c r="BM586" s="52">
        <v>8</v>
      </c>
      <c r="BN586" s="52">
        <v>8</v>
      </c>
      <c r="BO586" s="52">
        <v>8</v>
      </c>
      <c r="BP586" s="52">
        <v>8</v>
      </c>
      <c r="BQ586" s="52">
        <v>5</v>
      </c>
      <c r="BR586" s="52">
        <v>5</v>
      </c>
      <c r="BS586" s="52">
        <v>2</v>
      </c>
      <c r="BT586" s="52">
        <v>2</v>
      </c>
      <c r="BU586" s="52">
        <v>2</v>
      </c>
      <c r="BV586" s="52">
        <v>2</v>
      </c>
      <c r="BW586" s="52">
        <v>2</v>
      </c>
      <c r="CA586" s="52">
        <v>150</v>
      </c>
      <c r="CB586" s="52">
        <v>150</v>
      </c>
      <c r="CC586" s="52">
        <v>0</v>
      </c>
      <c r="CD586" s="52">
        <v>0</v>
      </c>
      <c r="CE586" s="52">
        <v>0</v>
      </c>
      <c r="CF586" s="167">
        <v>202107</v>
      </c>
      <c r="CG586" s="52">
        <v>1</v>
      </c>
      <c r="CH586" s="52">
        <v>1</v>
      </c>
      <c r="CI586" s="52">
        <v>1</v>
      </c>
      <c r="CJ586" s="52">
        <v>0</v>
      </c>
      <c r="CK586" s="52">
        <v>0</v>
      </c>
      <c r="CL586" s="52">
        <v>0</v>
      </c>
      <c r="CM586" s="52">
        <v>0</v>
      </c>
      <c r="CN586" s="52">
        <v>0</v>
      </c>
      <c r="CO586" s="52">
        <v>0</v>
      </c>
      <c r="CP586" s="52">
        <v>0</v>
      </c>
      <c r="CQ586" s="52">
        <v>0</v>
      </c>
      <c r="CR586" s="52">
        <v>0</v>
      </c>
      <c r="CV586" s="52">
        <v>0</v>
      </c>
      <c r="CW586" s="52">
        <v>0</v>
      </c>
    </row>
    <row r="587" s="52" customFormat="1" customHeight="1" spans="1:101">
      <c r="A587" s="52">
        <v>7716</v>
      </c>
      <c r="B587" s="127" t="s">
        <v>736</v>
      </c>
      <c r="O587" s="52">
        <v>201239</v>
      </c>
      <c r="P587" s="52">
        <v>5</v>
      </c>
      <c r="Q587" s="52">
        <v>0</v>
      </c>
      <c r="R587" s="52">
        <v>0</v>
      </c>
      <c r="S587" s="52">
        <v>0</v>
      </c>
      <c r="T587" s="52">
        <v>0</v>
      </c>
      <c r="U587" s="52">
        <v>0</v>
      </c>
      <c r="V587" s="52">
        <v>0</v>
      </c>
      <c r="W587" s="52">
        <v>0</v>
      </c>
      <c r="X587" s="52">
        <v>0</v>
      </c>
      <c r="Y587" s="52">
        <v>0</v>
      </c>
      <c r="Z587" s="52">
        <v>0</v>
      </c>
      <c r="AA587" s="52">
        <v>0</v>
      </c>
      <c r="AB587" s="52">
        <v>0</v>
      </c>
      <c r="AC587" s="52">
        <v>0</v>
      </c>
      <c r="AD587" s="52">
        <v>0</v>
      </c>
      <c r="CA587" s="52">
        <v>100</v>
      </c>
      <c r="CB587" s="52">
        <v>100</v>
      </c>
      <c r="CC587" s="52">
        <v>0</v>
      </c>
      <c r="CD587" s="52">
        <v>0</v>
      </c>
      <c r="CE587" s="52">
        <v>0</v>
      </c>
      <c r="CF587" s="52">
        <v>0</v>
      </c>
      <c r="CG587" s="52">
        <v>1</v>
      </c>
      <c r="CH587" s="52">
        <v>0</v>
      </c>
      <c r="CI587" s="52">
        <v>1</v>
      </c>
      <c r="CJ587" s="52">
        <v>0</v>
      </c>
      <c r="CK587" s="52">
        <v>0</v>
      </c>
      <c r="CL587" s="52">
        <v>0</v>
      </c>
      <c r="CM587" s="52">
        <v>0</v>
      </c>
      <c r="CN587" s="52">
        <v>0</v>
      </c>
      <c r="CO587" s="52">
        <v>0</v>
      </c>
      <c r="CP587" s="52">
        <v>0</v>
      </c>
      <c r="CQ587" s="52">
        <v>1</v>
      </c>
      <c r="CR587" s="52">
        <v>0</v>
      </c>
      <c r="CV587" s="52">
        <v>0</v>
      </c>
      <c r="CW587" s="52">
        <v>0</v>
      </c>
    </row>
    <row r="588" s="54" customFormat="1" customHeight="1" spans="1:101">
      <c r="A588" s="54">
        <v>7718</v>
      </c>
      <c r="B588" s="54" t="s">
        <v>694</v>
      </c>
      <c r="H588" s="54" t="s">
        <v>847</v>
      </c>
      <c r="I588" s="54">
        <v>200000</v>
      </c>
      <c r="J588" s="54">
        <v>1000000</v>
      </c>
      <c r="K588" s="54" t="s">
        <v>511</v>
      </c>
      <c r="O588" s="75">
        <v>230165</v>
      </c>
      <c r="P588" s="54" t="s">
        <v>670</v>
      </c>
      <c r="Q588" s="54">
        <v>0</v>
      </c>
      <c r="R588" s="54">
        <v>0</v>
      </c>
      <c r="S588" s="54">
        <v>0</v>
      </c>
      <c r="T588" s="54">
        <v>0</v>
      </c>
      <c r="U588" s="54">
        <v>0</v>
      </c>
      <c r="V588" s="54">
        <v>0</v>
      </c>
      <c r="W588" s="54">
        <v>0</v>
      </c>
      <c r="X588" s="54">
        <v>0</v>
      </c>
      <c r="Y588" s="54">
        <v>0</v>
      </c>
      <c r="Z588" s="54">
        <v>0</v>
      </c>
      <c r="AA588" s="54">
        <v>0</v>
      </c>
      <c r="AB588" s="54">
        <v>0</v>
      </c>
      <c r="AC588" s="54">
        <v>0</v>
      </c>
      <c r="AD588" s="54">
        <v>0</v>
      </c>
      <c r="AE588" s="54" t="s">
        <v>795</v>
      </c>
      <c r="AF588" s="54" t="s">
        <v>875</v>
      </c>
      <c r="AG588" s="54" t="s">
        <v>876</v>
      </c>
      <c r="AH588" s="54" t="s">
        <v>877</v>
      </c>
      <c r="AI588" s="54" t="s">
        <v>878</v>
      </c>
      <c r="AU588" s="54" t="s">
        <v>677</v>
      </c>
      <c r="AV588" s="54" t="s">
        <v>319</v>
      </c>
      <c r="AW588" s="54" t="s">
        <v>319</v>
      </c>
      <c r="AX588" s="54" t="s">
        <v>319</v>
      </c>
      <c r="AY588" s="54" t="s">
        <v>670</v>
      </c>
      <c r="BK588" s="54" t="s">
        <v>320</v>
      </c>
      <c r="BL588" s="54" t="s">
        <v>320</v>
      </c>
      <c r="BM588" s="54" t="s">
        <v>320</v>
      </c>
      <c r="BN588" s="54" t="s">
        <v>320</v>
      </c>
      <c r="BO588" s="54" t="s">
        <v>320</v>
      </c>
      <c r="CA588" s="54" t="s">
        <v>671</v>
      </c>
      <c r="CB588" s="54" t="s">
        <v>671</v>
      </c>
      <c r="CC588" s="54">
        <v>0</v>
      </c>
      <c r="CD588" s="54">
        <v>0</v>
      </c>
      <c r="CE588" s="54">
        <v>0</v>
      </c>
      <c r="CF588" s="54">
        <v>202104</v>
      </c>
      <c r="CG588" s="54">
        <v>1</v>
      </c>
      <c r="CH588" s="54">
        <v>1</v>
      </c>
      <c r="CI588" s="54">
        <v>1</v>
      </c>
      <c r="CJ588" s="54">
        <v>0</v>
      </c>
      <c r="CK588" s="54">
        <v>0</v>
      </c>
      <c r="CL588" s="54">
        <v>0</v>
      </c>
      <c r="CM588" s="54">
        <v>0</v>
      </c>
      <c r="CN588" s="54">
        <v>0</v>
      </c>
      <c r="CO588" s="54">
        <v>0</v>
      </c>
      <c r="CP588" s="54">
        <v>0</v>
      </c>
      <c r="CQ588" s="54">
        <v>0</v>
      </c>
      <c r="CR588" s="54">
        <v>0</v>
      </c>
      <c r="CV588" s="54">
        <v>0</v>
      </c>
      <c r="CW588" s="54">
        <v>0</v>
      </c>
    </row>
    <row r="589" s="52" customFormat="1" customHeight="1" spans="1:101">
      <c r="A589" s="52">
        <v>7719</v>
      </c>
      <c r="B589" s="127" t="s">
        <v>737</v>
      </c>
      <c r="O589" s="52">
        <v>201240</v>
      </c>
      <c r="P589" s="52">
        <v>5</v>
      </c>
      <c r="Q589" s="52">
        <v>0</v>
      </c>
      <c r="R589" s="52">
        <v>0</v>
      </c>
      <c r="S589" s="52">
        <v>0</v>
      </c>
      <c r="T589" s="52">
        <v>0</v>
      </c>
      <c r="U589" s="52">
        <v>0</v>
      </c>
      <c r="V589" s="52">
        <v>0</v>
      </c>
      <c r="W589" s="52">
        <v>0</v>
      </c>
      <c r="X589" s="52">
        <v>0</v>
      </c>
      <c r="Y589" s="52">
        <v>0</v>
      </c>
      <c r="Z589" s="52">
        <v>0</v>
      </c>
      <c r="AA589" s="52">
        <v>0</v>
      </c>
      <c r="AB589" s="52">
        <v>0</v>
      </c>
      <c r="AC589" s="52">
        <v>0</v>
      </c>
      <c r="AD589" s="52">
        <v>0</v>
      </c>
      <c r="CA589" s="52">
        <v>100</v>
      </c>
      <c r="CB589" s="52">
        <v>100</v>
      </c>
      <c r="CC589" s="52">
        <v>0</v>
      </c>
      <c r="CD589" s="52">
        <v>0</v>
      </c>
      <c r="CE589" s="52">
        <v>0</v>
      </c>
      <c r="CF589" s="52">
        <v>0</v>
      </c>
      <c r="CG589" s="52">
        <v>1</v>
      </c>
      <c r="CH589" s="52">
        <v>0</v>
      </c>
      <c r="CI589" s="52">
        <v>1</v>
      </c>
      <c r="CJ589" s="52">
        <v>0</v>
      </c>
      <c r="CK589" s="52">
        <v>0</v>
      </c>
      <c r="CL589" s="52">
        <v>0</v>
      </c>
      <c r="CM589" s="52">
        <v>0</v>
      </c>
      <c r="CN589" s="52">
        <v>0</v>
      </c>
      <c r="CO589" s="52">
        <v>0</v>
      </c>
      <c r="CP589" s="52">
        <v>0</v>
      </c>
      <c r="CQ589" s="52">
        <v>1</v>
      </c>
      <c r="CR589" s="52">
        <v>0</v>
      </c>
      <c r="CV589" s="52">
        <v>0</v>
      </c>
      <c r="CW589" s="52">
        <v>0</v>
      </c>
    </row>
    <row r="590" s="52" customFormat="1" customHeight="1" spans="1:101">
      <c r="A590" s="52">
        <v>7720</v>
      </c>
      <c r="B590" s="52" t="s">
        <v>879</v>
      </c>
      <c r="O590" s="52">
        <v>201242</v>
      </c>
      <c r="P590" s="52">
        <v>1</v>
      </c>
      <c r="Q590" s="52">
        <v>0</v>
      </c>
      <c r="R590" s="52">
        <v>0</v>
      </c>
      <c r="S590" s="52">
        <v>0</v>
      </c>
      <c r="T590" s="52">
        <v>0</v>
      </c>
      <c r="U590" s="52">
        <v>0</v>
      </c>
      <c r="V590" s="52">
        <v>0</v>
      </c>
      <c r="W590" s="52">
        <v>0</v>
      </c>
      <c r="X590" s="52">
        <v>0</v>
      </c>
      <c r="Y590" s="52">
        <v>0</v>
      </c>
      <c r="Z590" s="52">
        <v>0</v>
      </c>
      <c r="AA590" s="52">
        <v>0</v>
      </c>
      <c r="AB590" s="52">
        <v>0</v>
      </c>
      <c r="AC590" s="52">
        <v>0</v>
      </c>
      <c r="AD590" s="52">
        <v>0</v>
      </c>
      <c r="CA590" s="52">
        <v>1000</v>
      </c>
      <c r="CB590" s="52">
        <v>1000</v>
      </c>
      <c r="CC590" s="52">
        <v>0</v>
      </c>
      <c r="CD590" s="52">
        <v>0</v>
      </c>
      <c r="CE590" s="52">
        <v>0</v>
      </c>
      <c r="CF590" s="52">
        <v>0</v>
      </c>
      <c r="CG590" s="52">
        <v>0</v>
      </c>
      <c r="CH590" s="52">
        <v>0</v>
      </c>
      <c r="CI590" s="52">
        <v>1</v>
      </c>
      <c r="CK590" s="52">
        <v>0</v>
      </c>
      <c r="CL590" s="52">
        <v>0</v>
      </c>
      <c r="CM590" s="52">
        <v>0</v>
      </c>
      <c r="CN590" s="52">
        <v>0</v>
      </c>
      <c r="CO590" s="52">
        <v>0</v>
      </c>
      <c r="CP590" s="52">
        <v>0</v>
      </c>
      <c r="CQ590" s="52">
        <v>0</v>
      </c>
      <c r="CR590" s="52">
        <v>0</v>
      </c>
      <c r="CV590" s="52">
        <v>0</v>
      </c>
      <c r="CW590" s="52">
        <v>0</v>
      </c>
    </row>
    <row r="591" s="52" customFormat="1" customHeight="1" spans="1:101">
      <c r="A591" s="52">
        <v>7721</v>
      </c>
      <c r="B591" s="52" t="s">
        <v>880</v>
      </c>
      <c r="O591" s="52">
        <v>201243</v>
      </c>
      <c r="P591" s="52">
        <v>1</v>
      </c>
      <c r="Q591" s="52">
        <v>0</v>
      </c>
      <c r="R591" s="52">
        <v>0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2">
        <v>0</v>
      </c>
      <c r="Y591" s="52">
        <v>0</v>
      </c>
      <c r="Z591" s="52">
        <v>0</v>
      </c>
      <c r="AA591" s="52">
        <v>0</v>
      </c>
      <c r="AB591" s="52">
        <v>0</v>
      </c>
      <c r="AC591" s="52">
        <v>0</v>
      </c>
      <c r="AD591" s="52">
        <v>0</v>
      </c>
      <c r="CA591" s="52">
        <v>1000</v>
      </c>
      <c r="CB591" s="52">
        <v>1000</v>
      </c>
      <c r="CC591" s="52">
        <v>0</v>
      </c>
      <c r="CD591" s="52">
        <v>0</v>
      </c>
      <c r="CE591" s="52">
        <v>0</v>
      </c>
      <c r="CF591" s="52">
        <v>0</v>
      </c>
      <c r="CG591" s="52">
        <v>0</v>
      </c>
      <c r="CH591" s="52">
        <v>0</v>
      </c>
      <c r="CI591" s="52">
        <v>1</v>
      </c>
      <c r="CK591" s="52">
        <v>0</v>
      </c>
      <c r="CL591" s="52">
        <v>0</v>
      </c>
      <c r="CM591" s="52">
        <v>0</v>
      </c>
      <c r="CN591" s="52">
        <v>0</v>
      </c>
      <c r="CO591" s="52">
        <v>0</v>
      </c>
      <c r="CP591" s="52">
        <v>0</v>
      </c>
      <c r="CQ591" s="52">
        <v>0</v>
      </c>
      <c r="CR591" s="52">
        <v>0</v>
      </c>
      <c r="CV591" s="52">
        <v>0</v>
      </c>
      <c r="CW591" s="52">
        <v>0</v>
      </c>
    </row>
    <row r="592" s="52" customFormat="1" customHeight="1" spans="1:101">
      <c r="A592" s="52">
        <v>7722</v>
      </c>
      <c r="B592" s="52" t="s">
        <v>881</v>
      </c>
      <c r="O592" s="52">
        <v>201244</v>
      </c>
      <c r="P592" s="52">
        <v>1</v>
      </c>
      <c r="Q592" s="52">
        <v>0</v>
      </c>
      <c r="R592" s="52">
        <v>0</v>
      </c>
      <c r="S592" s="52">
        <v>0</v>
      </c>
      <c r="T592" s="52">
        <v>0</v>
      </c>
      <c r="U592" s="52">
        <v>0</v>
      </c>
      <c r="V592" s="52">
        <v>0</v>
      </c>
      <c r="W592" s="52">
        <v>0</v>
      </c>
      <c r="X592" s="52">
        <v>0</v>
      </c>
      <c r="Y592" s="52">
        <v>0</v>
      </c>
      <c r="Z592" s="52">
        <v>0</v>
      </c>
      <c r="AA592" s="52">
        <v>0</v>
      </c>
      <c r="AB592" s="52">
        <v>0</v>
      </c>
      <c r="AC592" s="52">
        <v>0</v>
      </c>
      <c r="AD592" s="52">
        <v>0</v>
      </c>
      <c r="CA592" s="52">
        <v>1000</v>
      </c>
      <c r="CB592" s="52">
        <v>1000</v>
      </c>
      <c r="CC592" s="52">
        <v>0</v>
      </c>
      <c r="CD592" s="52">
        <v>0</v>
      </c>
      <c r="CE592" s="52">
        <v>0</v>
      </c>
      <c r="CF592" s="52">
        <v>0</v>
      </c>
      <c r="CG592" s="52">
        <v>0</v>
      </c>
      <c r="CH592" s="52">
        <v>0</v>
      </c>
      <c r="CI592" s="52">
        <v>1</v>
      </c>
      <c r="CK592" s="52">
        <v>0</v>
      </c>
      <c r="CL592" s="52">
        <v>0</v>
      </c>
      <c r="CM592" s="52">
        <v>0</v>
      </c>
      <c r="CN592" s="52">
        <v>0</v>
      </c>
      <c r="CO592" s="52">
        <v>0</v>
      </c>
      <c r="CP592" s="52">
        <v>0</v>
      </c>
      <c r="CQ592" s="52">
        <v>0</v>
      </c>
      <c r="CR592" s="52">
        <v>0</v>
      </c>
      <c r="CV592" s="52">
        <v>0</v>
      </c>
      <c r="CW592" s="52">
        <v>0</v>
      </c>
    </row>
    <row r="593" s="52" customFormat="1" customHeight="1" spans="1:101">
      <c r="A593" s="52">
        <v>7723</v>
      </c>
      <c r="B593" s="52" t="s">
        <v>882</v>
      </c>
      <c r="O593" s="52">
        <v>201245</v>
      </c>
      <c r="P593" s="52">
        <v>1</v>
      </c>
      <c r="Q593" s="52">
        <v>0</v>
      </c>
      <c r="R593" s="52">
        <v>0</v>
      </c>
      <c r="S593" s="52">
        <v>0</v>
      </c>
      <c r="T593" s="52">
        <v>0</v>
      </c>
      <c r="U593" s="52">
        <v>0</v>
      </c>
      <c r="V593" s="52">
        <v>0</v>
      </c>
      <c r="W593" s="52">
        <v>0</v>
      </c>
      <c r="X593" s="52">
        <v>0</v>
      </c>
      <c r="Y593" s="52">
        <v>0</v>
      </c>
      <c r="Z593" s="52">
        <v>0</v>
      </c>
      <c r="AA593" s="52">
        <v>0</v>
      </c>
      <c r="AB593" s="52">
        <v>0</v>
      </c>
      <c r="AC593" s="52">
        <v>0</v>
      </c>
      <c r="AD593" s="52">
        <v>0</v>
      </c>
      <c r="CA593" s="52">
        <v>1000</v>
      </c>
      <c r="CB593" s="52">
        <v>1000</v>
      </c>
      <c r="CC593" s="52">
        <v>0</v>
      </c>
      <c r="CD593" s="52">
        <v>0</v>
      </c>
      <c r="CE593" s="52">
        <v>0</v>
      </c>
      <c r="CF593" s="52">
        <v>0</v>
      </c>
      <c r="CG593" s="52">
        <v>0</v>
      </c>
      <c r="CH593" s="52">
        <v>0</v>
      </c>
      <c r="CI593" s="52">
        <v>1</v>
      </c>
      <c r="CK593" s="52">
        <v>0</v>
      </c>
      <c r="CL593" s="52">
        <v>0</v>
      </c>
      <c r="CM593" s="52">
        <v>0</v>
      </c>
      <c r="CN593" s="52">
        <v>0</v>
      </c>
      <c r="CO593" s="52">
        <v>0</v>
      </c>
      <c r="CP593" s="52">
        <v>0</v>
      </c>
      <c r="CQ593" s="52">
        <v>0</v>
      </c>
      <c r="CR593" s="52">
        <v>0</v>
      </c>
      <c r="CV593" s="52">
        <v>0</v>
      </c>
      <c r="CW593" s="52">
        <v>0</v>
      </c>
    </row>
    <row r="594" s="52" customFormat="1" customHeight="1" spans="1:101">
      <c r="A594" s="52">
        <v>7724</v>
      </c>
      <c r="B594" s="52" t="s">
        <v>883</v>
      </c>
      <c r="O594" s="52">
        <v>201246</v>
      </c>
      <c r="P594" s="52">
        <v>1</v>
      </c>
      <c r="Q594" s="52">
        <v>0</v>
      </c>
      <c r="R594" s="52">
        <v>0</v>
      </c>
      <c r="S594" s="52">
        <v>0</v>
      </c>
      <c r="T594" s="52">
        <v>0</v>
      </c>
      <c r="U594" s="52">
        <v>0</v>
      </c>
      <c r="V594" s="52">
        <v>0</v>
      </c>
      <c r="W594" s="52">
        <v>0</v>
      </c>
      <c r="X594" s="52">
        <v>0</v>
      </c>
      <c r="Y594" s="52">
        <v>0</v>
      </c>
      <c r="Z594" s="52">
        <v>0</v>
      </c>
      <c r="AA594" s="52">
        <v>0</v>
      </c>
      <c r="AB594" s="52">
        <v>0</v>
      </c>
      <c r="AC594" s="52">
        <v>0</v>
      </c>
      <c r="AD594" s="52">
        <v>0</v>
      </c>
      <c r="CA594" s="52">
        <v>1000</v>
      </c>
      <c r="CB594" s="52">
        <v>1000</v>
      </c>
      <c r="CC594" s="52">
        <v>0</v>
      </c>
      <c r="CD594" s="52">
        <v>0</v>
      </c>
      <c r="CE594" s="52">
        <v>0</v>
      </c>
      <c r="CF594" s="52">
        <v>0</v>
      </c>
      <c r="CG594" s="52">
        <v>0</v>
      </c>
      <c r="CH594" s="52">
        <v>0</v>
      </c>
      <c r="CI594" s="52">
        <v>1</v>
      </c>
      <c r="CK594" s="52">
        <v>0</v>
      </c>
      <c r="CL594" s="52">
        <v>0</v>
      </c>
      <c r="CM594" s="52">
        <v>0</v>
      </c>
      <c r="CN594" s="52">
        <v>0</v>
      </c>
      <c r="CO594" s="52">
        <v>0</v>
      </c>
      <c r="CP594" s="52">
        <v>0</v>
      </c>
      <c r="CQ594" s="52">
        <v>0</v>
      </c>
      <c r="CR594" s="52">
        <v>0</v>
      </c>
      <c r="CV594" s="52">
        <v>0</v>
      </c>
      <c r="CW594" s="52">
        <v>0</v>
      </c>
    </row>
    <row r="595" s="52" customFormat="1" customHeight="1" spans="1:101">
      <c r="A595" s="52">
        <v>7725</v>
      </c>
      <c r="B595" s="127" t="s">
        <v>884</v>
      </c>
      <c r="H595" s="52">
        <v>3500000</v>
      </c>
      <c r="I595" s="52">
        <v>1000000</v>
      </c>
      <c r="J595" s="52">
        <v>100000</v>
      </c>
      <c r="K595" s="52">
        <v>20000</v>
      </c>
      <c r="O595" s="52">
        <v>201260</v>
      </c>
      <c r="P595" s="52">
        <v>3</v>
      </c>
      <c r="Q595" s="52">
        <v>0</v>
      </c>
      <c r="R595" s="52">
        <v>0</v>
      </c>
      <c r="S595" s="52">
        <v>201261</v>
      </c>
      <c r="T595" s="52">
        <v>1</v>
      </c>
      <c r="U595" s="52">
        <v>0</v>
      </c>
      <c r="V595" s="52">
        <v>0</v>
      </c>
      <c r="W595" s="52">
        <v>0</v>
      </c>
      <c r="X595" s="52">
        <v>0</v>
      </c>
      <c r="Y595" s="52">
        <v>0</v>
      </c>
      <c r="Z595" s="52">
        <v>0</v>
      </c>
      <c r="AA595" s="52">
        <v>0</v>
      </c>
      <c r="AB595" s="52">
        <v>0</v>
      </c>
      <c r="AC595" s="52">
        <v>0</v>
      </c>
      <c r="AD595" s="52">
        <v>0</v>
      </c>
      <c r="AE595" s="52">
        <v>201300</v>
      </c>
      <c r="AF595" s="52">
        <v>201301</v>
      </c>
      <c r="AG595" s="52">
        <v>201291</v>
      </c>
      <c r="AH595" s="52">
        <v>201292</v>
      </c>
      <c r="AI595" s="52">
        <v>201344</v>
      </c>
      <c r="AJ595" s="52">
        <v>201307</v>
      </c>
      <c r="AK595" s="52">
        <v>201308</v>
      </c>
      <c r="AU595" s="52">
        <v>1</v>
      </c>
      <c r="AV595" s="52">
        <v>1</v>
      </c>
      <c r="AW595" s="52">
        <v>1</v>
      </c>
      <c r="AX595" s="52">
        <v>1</v>
      </c>
      <c r="AY595" s="52">
        <v>1</v>
      </c>
      <c r="AZ595" s="52">
        <v>30</v>
      </c>
      <c r="BA595" s="52">
        <v>30</v>
      </c>
      <c r="BK595" s="52">
        <v>50</v>
      </c>
      <c r="BL595" s="52">
        <v>50</v>
      </c>
      <c r="BM595" s="52">
        <v>50</v>
      </c>
      <c r="BN595" s="52">
        <v>50</v>
      </c>
      <c r="BO595" s="52">
        <v>50</v>
      </c>
      <c r="BP595" s="52">
        <v>50</v>
      </c>
      <c r="BQ595" s="52">
        <v>50</v>
      </c>
      <c r="CA595" s="52">
        <v>350</v>
      </c>
      <c r="CB595" s="52">
        <v>350</v>
      </c>
      <c r="CC595" s="52">
        <v>0</v>
      </c>
      <c r="CD595" s="52">
        <v>0</v>
      </c>
      <c r="CE595" s="52">
        <v>0</v>
      </c>
      <c r="CF595" s="158">
        <v>202105</v>
      </c>
      <c r="CG595" s="52">
        <v>1</v>
      </c>
      <c r="CH595" s="52">
        <v>1</v>
      </c>
      <c r="CI595" s="52">
        <v>1</v>
      </c>
      <c r="CJ595" s="52">
        <v>0</v>
      </c>
      <c r="CK595" s="52">
        <v>0</v>
      </c>
      <c r="CL595" s="52">
        <v>0</v>
      </c>
      <c r="CM595" s="52">
        <v>0</v>
      </c>
      <c r="CN595" s="52">
        <v>0</v>
      </c>
      <c r="CO595" s="52">
        <v>0</v>
      </c>
      <c r="CP595" s="52">
        <v>0</v>
      </c>
      <c r="CQ595" s="52">
        <v>0</v>
      </c>
      <c r="CR595" s="52">
        <v>0</v>
      </c>
      <c r="CV595" s="52">
        <v>0</v>
      </c>
      <c r="CW595" s="52">
        <v>0</v>
      </c>
    </row>
    <row r="596" s="52" customFormat="1" customHeight="1" spans="1:101">
      <c r="A596" s="52">
        <v>7726</v>
      </c>
      <c r="B596" s="127" t="s">
        <v>885</v>
      </c>
      <c r="H596" s="52">
        <v>3500000</v>
      </c>
      <c r="I596" s="52">
        <v>1000000</v>
      </c>
      <c r="J596" s="52">
        <v>3000000</v>
      </c>
      <c r="O596" s="52">
        <v>200115</v>
      </c>
      <c r="P596" s="52">
        <v>5</v>
      </c>
      <c r="Q596" s="52">
        <v>0</v>
      </c>
      <c r="R596" s="52">
        <v>0</v>
      </c>
      <c r="S596" s="52">
        <v>0</v>
      </c>
      <c r="T596" s="52">
        <v>0</v>
      </c>
      <c r="U596" s="52">
        <v>0</v>
      </c>
      <c r="V596" s="52">
        <v>0</v>
      </c>
      <c r="W596" s="52">
        <v>0</v>
      </c>
      <c r="X596" s="52">
        <v>0</v>
      </c>
      <c r="Y596" s="52">
        <v>0</v>
      </c>
      <c r="Z596" s="52">
        <v>0</v>
      </c>
      <c r="AA596" s="52">
        <v>0</v>
      </c>
      <c r="AB596" s="52">
        <v>0</v>
      </c>
      <c r="AC596" s="52">
        <v>0</v>
      </c>
      <c r="AD596" s="52">
        <v>0</v>
      </c>
      <c r="AE596" s="52">
        <v>201253</v>
      </c>
      <c r="AF596" s="52">
        <v>201254</v>
      </c>
      <c r="AG596" s="52">
        <v>201255</v>
      </c>
      <c r="AH596" s="52">
        <v>201256</v>
      </c>
      <c r="AI596" s="52">
        <v>201257</v>
      </c>
      <c r="AJ596" s="52">
        <v>201258</v>
      </c>
      <c r="AK596" s="52">
        <v>201260</v>
      </c>
      <c r="AL596" s="52">
        <v>201261</v>
      </c>
      <c r="AM596" s="52">
        <v>201262</v>
      </c>
      <c r="AN596" s="52">
        <v>201263</v>
      </c>
      <c r="AO596" s="52">
        <v>201264</v>
      </c>
      <c r="AP596" s="52">
        <v>201265</v>
      </c>
      <c r="AQ596" s="52">
        <v>201266</v>
      </c>
      <c r="AU596" s="52">
        <v>1</v>
      </c>
      <c r="AV596" s="52">
        <v>1</v>
      </c>
      <c r="AW596" s="52">
        <v>1</v>
      </c>
      <c r="AX596" s="52">
        <v>1</v>
      </c>
      <c r="AY596" s="52">
        <v>1</v>
      </c>
      <c r="AZ596" s="52">
        <v>1</v>
      </c>
      <c r="BA596" s="52">
        <v>1</v>
      </c>
      <c r="BB596" s="52">
        <v>1</v>
      </c>
      <c r="BC596" s="52">
        <v>1</v>
      </c>
      <c r="BD596" s="52">
        <v>1</v>
      </c>
      <c r="BE596" s="52">
        <v>1</v>
      </c>
      <c r="BF596" s="52">
        <v>1</v>
      </c>
      <c r="BG596" s="52">
        <v>1</v>
      </c>
      <c r="BK596" s="52">
        <v>90</v>
      </c>
      <c r="BL596" s="52">
        <v>80</v>
      </c>
      <c r="BM596" s="52">
        <v>10</v>
      </c>
      <c r="BN596" s="52">
        <v>70</v>
      </c>
      <c r="BO596" s="52">
        <v>60</v>
      </c>
      <c r="BP596" s="52">
        <v>50</v>
      </c>
      <c r="BQ596" s="52">
        <v>70</v>
      </c>
      <c r="BR596" s="52">
        <v>60</v>
      </c>
      <c r="BS596" s="52">
        <v>50</v>
      </c>
      <c r="BT596" s="52">
        <v>40</v>
      </c>
      <c r="BU596" s="52">
        <v>30</v>
      </c>
      <c r="BV596" s="52">
        <v>20</v>
      </c>
      <c r="BW596" s="52">
        <v>10</v>
      </c>
      <c r="CA596" s="52">
        <v>640</v>
      </c>
      <c r="CB596" s="52">
        <v>640</v>
      </c>
      <c r="CC596" s="52">
        <v>0</v>
      </c>
      <c r="CD596" s="52">
        <v>0</v>
      </c>
      <c r="CE596" s="52">
        <v>0</v>
      </c>
      <c r="CF596" s="52">
        <v>125511</v>
      </c>
      <c r="CG596" s="52">
        <v>1</v>
      </c>
      <c r="CH596" s="52">
        <v>1</v>
      </c>
      <c r="CI596" s="52">
        <v>1</v>
      </c>
      <c r="CJ596" s="52">
        <v>0</v>
      </c>
      <c r="CK596" s="52">
        <v>0</v>
      </c>
      <c r="CL596" s="52">
        <v>0</v>
      </c>
      <c r="CM596" s="52">
        <v>0</v>
      </c>
      <c r="CN596" s="52">
        <v>0</v>
      </c>
      <c r="CO596" s="52">
        <v>0</v>
      </c>
      <c r="CP596" s="52">
        <v>0</v>
      </c>
      <c r="CQ596" s="52">
        <v>0</v>
      </c>
      <c r="CR596" s="52">
        <v>0</v>
      </c>
      <c r="CV596" s="52">
        <v>0</v>
      </c>
      <c r="CW596" s="52">
        <v>0</v>
      </c>
    </row>
    <row r="597" s="54" customFormat="1" customHeight="1" spans="1:96">
      <c r="A597" s="54">
        <v>7727</v>
      </c>
      <c r="B597" s="149" t="s">
        <v>886</v>
      </c>
      <c r="H597" s="54">
        <v>250000</v>
      </c>
      <c r="I597" s="54">
        <v>1000000</v>
      </c>
      <c r="J597" s="54">
        <v>100000</v>
      </c>
      <c r="K597" s="54" t="s">
        <v>651</v>
      </c>
      <c r="O597" s="54">
        <v>0</v>
      </c>
      <c r="P597" s="54">
        <v>0</v>
      </c>
      <c r="Q597" s="54">
        <v>0</v>
      </c>
      <c r="R597" s="54">
        <v>0</v>
      </c>
      <c r="S597" s="54" t="s">
        <v>329</v>
      </c>
      <c r="T597" s="54" t="s">
        <v>329</v>
      </c>
      <c r="U597" s="54">
        <v>0</v>
      </c>
      <c r="V597" s="54">
        <v>0</v>
      </c>
      <c r="W597" s="54">
        <v>0</v>
      </c>
      <c r="X597" s="54">
        <v>0</v>
      </c>
      <c r="Y597" s="54">
        <v>0</v>
      </c>
      <c r="Z597" s="54">
        <v>0</v>
      </c>
      <c r="AA597" s="54">
        <v>0</v>
      </c>
      <c r="AB597" s="54">
        <v>0</v>
      </c>
      <c r="AC597" s="54">
        <v>0</v>
      </c>
      <c r="AD597" s="54">
        <v>0</v>
      </c>
      <c r="AE597" s="54" t="s">
        <v>887</v>
      </c>
      <c r="AF597" s="54" t="s">
        <v>878</v>
      </c>
      <c r="AG597" s="54" t="s">
        <v>667</v>
      </c>
      <c r="AH597" s="54"/>
      <c r="AI597" s="54"/>
      <c r="AU597" s="54" t="s">
        <v>669</v>
      </c>
      <c r="AV597" s="54" t="s">
        <v>669</v>
      </c>
      <c r="AW597" s="54" t="s">
        <v>319</v>
      </c>
      <c r="AX597" s="54"/>
      <c r="AY597" s="54"/>
      <c r="BK597" s="54" t="s">
        <v>320</v>
      </c>
      <c r="BL597" s="54" t="s">
        <v>320</v>
      </c>
      <c r="BM597" s="54" t="s">
        <v>320</v>
      </c>
      <c r="BN597" s="54"/>
      <c r="BO597" s="54"/>
      <c r="CA597" s="54" t="s">
        <v>888</v>
      </c>
      <c r="CB597" s="54" t="s">
        <v>671</v>
      </c>
      <c r="CC597" s="54">
        <v>0</v>
      </c>
      <c r="CD597" s="54">
        <v>1</v>
      </c>
      <c r="CE597" s="54">
        <v>0</v>
      </c>
      <c r="CF597" s="54">
        <v>202106</v>
      </c>
      <c r="CG597" s="54">
        <v>1</v>
      </c>
      <c r="CH597" s="54">
        <v>1</v>
      </c>
      <c r="CI597" s="54">
        <v>1</v>
      </c>
      <c r="CJ597" s="54">
        <v>0</v>
      </c>
      <c r="CK597" s="54">
        <v>0</v>
      </c>
      <c r="CL597" s="54">
        <v>0</v>
      </c>
      <c r="CM597" s="54">
        <v>0</v>
      </c>
      <c r="CN597" s="54">
        <v>0</v>
      </c>
      <c r="CO597" s="54">
        <v>0</v>
      </c>
      <c r="CP597" s="54">
        <v>0</v>
      </c>
      <c r="CQ597" s="54">
        <v>0</v>
      </c>
      <c r="CR597" s="54">
        <v>0</v>
      </c>
    </row>
    <row r="598" s="63" customFormat="1" customHeight="1" spans="1:101">
      <c r="A598" s="63">
        <v>7728</v>
      </c>
      <c r="B598" s="85" t="s">
        <v>889</v>
      </c>
      <c r="H598" s="63" t="s">
        <v>116</v>
      </c>
      <c r="I598" s="63" t="s">
        <v>116</v>
      </c>
      <c r="J598" s="63" t="s">
        <v>116</v>
      </c>
      <c r="O598" s="63">
        <v>7729</v>
      </c>
      <c r="P598" s="63">
        <v>1</v>
      </c>
      <c r="Q598" s="63">
        <v>0</v>
      </c>
      <c r="R598" s="63">
        <v>0</v>
      </c>
      <c r="AG598" s="63" t="s">
        <v>116</v>
      </c>
      <c r="AH598" s="63" t="s">
        <v>116</v>
      </c>
      <c r="AI598" s="63" t="s">
        <v>116</v>
      </c>
      <c r="AJ598" s="63" t="s">
        <v>116</v>
      </c>
      <c r="AK598" s="63" t="s">
        <v>116</v>
      </c>
      <c r="AL598" s="63" t="s">
        <v>116</v>
      </c>
      <c r="AM598" s="63" t="s">
        <v>116</v>
      </c>
      <c r="AN598" s="63" t="s">
        <v>116</v>
      </c>
      <c r="AO598" s="63" t="s">
        <v>116</v>
      </c>
      <c r="AP598" s="63" t="s">
        <v>116</v>
      </c>
      <c r="AQ598" s="63" t="s">
        <v>116</v>
      </c>
      <c r="AR598" s="63" t="s">
        <v>116</v>
      </c>
      <c r="AS598" s="63" t="s">
        <v>116</v>
      </c>
      <c r="AT598" s="63" t="s">
        <v>116</v>
      </c>
      <c r="AW598" s="63" t="s">
        <v>116</v>
      </c>
      <c r="AX598" s="63" t="s">
        <v>116</v>
      </c>
      <c r="AY598" s="63" t="s">
        <v>116</v>
      </c>
      <c r="AZ598" s="63" t="s">
        <v>116</v>
      </c>
      <c r="BA598" s="63" t="s">
        <v>116</v>
      </c>
      <c r="BB598" s="63" t="s">
        <v>116</v>
      </c>
      <c r="BC598" s="63" t="s">
        <v>116</v>
      </c>
      <c r="BD598" s="63" t="s">
        <v>116</v>
      </c>
      <c r="BE598" s="63" t="s">
        <v>116</v>
      </c>
      <c r="BF598" s="63" t="s">
        <v>116</v>
      </c>
      <c r="BG598" s="63" t="s">
        <v>116</v>
      </c>
      <c r="BH598" s="63" t="s">
        <v>116</v>
      </c>
      <c r="BI598" s="63" t="s">
        <v>116</v>
      </c>
      <c r="BJ598" s="63" t="s">
        <v>116</v>
      </c>
      <c r="CA598" s="63">
        <v>1000</v>
      </c>
      <c r="CB598" s="63">
        <v>1000</v>
      </c>
      <c r="CC598" s="63">
        <v>0</v>
      </c>
      <c r="CD598" s="63">
        <v>1</v>
      </c>
      <c r="CE598" s="63">
        <v>0</v>
      </c>
      <c r="CF598" s="168">
        <v>0</v>
      </c>
      <c r="CG598" s="63">
        <v>0</v>
      </c>
      <c r="CH598" s="63">
        <v>0</v>
      </c>
      <c r="CI598" s="63">
        <v>1</v>
      </c>
      <c r="CJ598" s="63">
        <v>1</v>
      </c>
      <c r="CK598" s="63">
        <v>0</v>
      </c>
      <c r="CL598" s="63">
        <v>0</v>
      </c>
      <c r="CM598" s="63">
        <v>0</v>
      </c>
      <c r="CN598" s="63">
        <v>0</v>
      </c>
      <c r="CO598" s="63">
        <v>0</v>
      </c>
      <c r="CP598" s="63">
        <v>0</v>
      </c>
      <c r="CQ598" s="63">
        <v>0</v>
      </c>
      <c r="CR598" s="63">
        <v>0</v>
      </c>
      <c r="CS598" s="63">
        <v>1000</v>
      </c>
      <c r="CV598" s="63">
        <v>0</v>
      </c>
      <c r="CW598" s="63">
        <v>0</v>
      </c>
    </row>
    <row r="599" s="63" customFormat="1" customHeight="1" spans="1:96">
      <c r="A599" s="63">
        <v>7729</v>
      </c>
      <c r="B599" s="85" t="s">
        <v>890</v>
      </c>
      <c r="O599" s="63">
        <v>0</v>
      </c>
      <c r="P599" s="63">
        <v>0</v>
      </c>
      <c r="Q599" s="63">
        <v>0</v>
      </c>
      <c r="R599" s="63">
        <v>0</v>
      </c>
      <c r="S599" s="63">
        <v>0</v>
      </c>
      <c r="T599" s="63">
        <v>0</v>
      </c>
      <c r="U599" s="63">
        <v>0</v>
      </c>
      <c r="V599" s="63">
        <v>0</v>
      </c>
      <c r="W599" s="63">
        <v>0</v>
      </c>
      <c r="X599" s="63">
        <v>0</v>
      </c>
      <c r="Y599" s="63">
        <v>0</v>
      </c>
      <c r="Z599" s="63">
        <v>0</v>
      </c>
      <c r="AA599" s="63">
        <v>0</v>
      </c>
      <c r="AB599" s="63">
        <v>0</v>
      </c>
      <c r="AC599" s="63">
        <v>0</v>
      </c>
      <c r="AD599" s="63">
        <v>0</v>
      </c>
      <c r="AE599" s="63">
        <v>200214</v>
      </c>
      <c r="AF599" s="159">
        <v>200070</v>
      </c>
      <c r="AG599" s="63">
        <v>200102</v>
      </c>
      <c r="AH599" s="63">
        <v>200810</v>
      </c>
      <c r="AI599" s="63">
        <v>200310</v>
      </c>
      <c r="AJ599" s="63">
        <v>200312</v>
      </c>
      <c r="AK599" s="49"/>
      <c r="AL599" s="162"/>
      <c r="AM599" s="162"/>
      <c r="AU599" s="63">
        <v>1</v>
      </c>
      <c r="AV599" s="63">
        <v>1</v>
      </c>
      <c r="AW599" s="63">
        <v>1</v>
      </c>
      <c r="AX599" s="63">
        <v>1</v>
      </c>
      <c r="AY599" s="63">
        <v>1</v>
      </c>
      <c r="AZ599" s="63">
        <v>1</v>
      </c>
      <c r="BK599" s="63">
        <v>50</v>
      </c>
      <c r="BL599" s="63">
        <v>50</v>
      </c>
      <c r="BM599" s="63">
        <v>50</v>
      </c>
      <c r="BN599" s="63">
        <v>50</v>
      </c>
      <c r="BO599" s="63">
        <v>50</v>
      </c>
      <c r="BP599" s="63">
        <v>50</v>
      </c>
      <c r="CA599" s="63">
        <v>300</v>
      </c>
      <c r="CB599" s="63">
        <v>300</v>
      </c>
      <c r="CC599" s="63">
        <v>0</v>
      </c>
      <c r="CD599" s="63">
        <v>1</v>
      </c>
      <c r="CE599" s="63">
        <v>0</v>
      </c>
      <c r="CG599" s="63">
        <v>1</v>
      </c>
      <c r="CH599" s="63">
        <v>1</v>
      </c>
      <c r="CI599" s="63">
        <v>1</v>
      </c>
      <c r="CJ599" s="63">
        <v>0</v>
      </c>
      <c r="CK599" s="63">
        <v>0</v>
      </c>
      <c r="CL599" s="63">
        <v>0</v>
      </c>
      <c r="CM599" s="63">
        <v>0</v>
      </c>
      <c r="CN599" s="63">
        <v>0</v>
      </c>
      <c r="CO599" s="63">
        <v>0</v>
      </c>
      <c r="CP599" s="63">
        <v>0</v>
      </c>
      <c r="CQ599" s="63">
        <v>0</v>
      </c>
      <c r="CR599" s="63">
        <v>0</v>
      </c>
    </row>
    <row r="600" s="54" customFormat="1" customHeight="1" spans="1:96">
      <c r="A600" s="54">
        <v>7730</v>
      </c>
      <c r="B600" s="149" t="s">
        <v>891</v>
      </c>
      <c r="H600" s="54">
        <v>300000</v>
      </c>
      <c r="I600" s="54">
        <v>1000000</v>
      </c>
      <c r="J600" s="54">
        <v>140000</v>
      </c>
      <c r="K600" s="54" t="s">
        <v>511</v>
      </c>
      <c r="O600" s="54">
        <v>0</v>
      </c>
      <c r="P600" s="54">
        <v>0</v>
      </c>
      <c r="Q600" s="54">
        <v>0</v>
      </c>
      <c r="R600" s="54">
        <v>0</v>
      </c>
      <c r="S600" s="54" t="s">
        <v>329</v>
      </c>
      <c r="T600" s="54" t="s">
        <v>329</v>
      </c>
      <c r="U600" s="54">
        <v>0</v>
      </c>
      <c r="V600" s="54">
        <v>0</v>
      </c>
      <c r="W600" s="54">
        <v>0</v>
      </c>
      <c r="X600" s="54">
        <v>0</v>
      </c>
      <c r="Y600" s="54">
        <v>0</v>
      </c>
      <c r="Z600" s="54">
        <v>0</v>
      </c>
      <c r="AA600" s="54">
        <v>0</v>
      </c>
      <c r="AB600" s="54">
        <v>0</v>
      </c>
      <c r="AC600" s="54">
        <v>0</v>
      </c>
      <c r="AD600" s="54">
        <v>0</v>
      </c>
      <c r="AE600" s="54" t="s">
        <v>887</v>
      </c>
      <c r="AF600" s="54" t="s">
        <v>878</v>
      </c>
      <c r="AG600" s="54" t="s">
        <v>667</v>
      </c>
      <c r="AH600" s="54"/>
      <c r="AI600" s="54"/>
      <c r="AU600" s="54" t="s">
        <v>677</v>
      </c>
      <c r="AV600" s="54" t="s">
        <v>677</v>
      </c>
      <c r="AW600" s="54" t="s">
        <v>654</v>
      </c>
      <c r="AX600" s="54"/>
      <c r="AY600" s="54"/>
      <c r="BK600" s="54" t="s">
        <v>320</v>
      </c>
      <c r="BL600" s="54" t="s">
        <v>320</v>
      </c>
      <c r="BM600" s="54" t="s">
        <v>320</v>
      </c>
      <c r="BN600" s="54"/>
      <c r="BO600" s="54"/>
      <c r="CA600" s="54" t="s">
        <v>888</v>
      </c>
      <c r="CB600" s="54" t="s">
        <v>888</v>
      </c>
      <c r="CC600" s="54">
        <v>0</v>
      </c>
      <c r="CD600" s="54">
        <v>0</v>
      </c>
      <c r="CE600" s="54">
        <v>0</v>
      </c>
      <c r="CF600" s="54">
        <v>0</v>
      </c>
      <c r="CG600" s="54">
        <v>1</v>
      </c>
      <c r="CH600" s="54">
        <v>1</v>
      </c>
      <c r="CI600" s="54">
        <v>1</v>
      </c>
      <c r="CJ600" s="54">
        <v>0</v>
      </c>
      <c r="CK600" s="54">
        <v>0</v>
      </c>
      <c r="CL600" s="54">
        <v>0</v>
      </c>
      <c r="CM600" s="54">
        <v>0</v>
      </c>
      <c r="CN600" s="54">
        <v>0</v>
      </c>
      <c r="CO600" s="54">
        <v>0</v>
      </c>
      <c r="CP600" s="54">
        <v>0</v>
      </c>
      <c r="CQ600" s="54">
        <v>0</v>
      </c>
      <c r="CR600" s="54">
        <v>0</v>
      </c>
    </row>
    <row r="601" s="64" customFormat="1" customHeight="1" spans="1:101">
      <c r="A601" s="64">
        <v>7731</v>
      </c>
      <c r="B601" s="84" t="s">
        <v>892</v>
      </c>
      <c r="H601" s="64" t="s">
        <v>116</v>
      </c>
      <c r="I601" s="64" t="s">
        <v>116</v>
      </c>
      <c r="J601" s="64" t="s">
        <v>116</v>
      </c>
      <c r="O601" s="64">
        <v>7732</v>
      </c>
      <c r="P601" s="64">
        <v>1</v>
      </c>
      <c r="Q601" s="64">
        <v>0</v>
      </c>
      <c r="R601" s="64">
        <v>0</v>
      </c>
      <c r="AG601" s="64" t="s">
        <v>116</v>
      </c>
      <c r="AH601" s="64" t="s">
        <v>116</v>
      </c>
      <c r="AI601" s="64" t="s">
        <v>116</v>
      </c>
      <c r="AJ601" s="64" t="s">
        <v>116</v>
      </c>
      <c r="AK601" s="64" t="s">
        <v>116</v>
      </c>
      <c r="AL601" s="64" t="s">
        <v>116</v>
      </c>
      <c r="AM601" s="64" t="s">
        <v>116</v>
      </c>
      <c r="AN601" s="64" t="s">
        <v>116</v>
      </c>
      <c r="AO601" s="64" t="s">
        <v>116</v>
      </c>
      <c r="AP601" s="64" t="s">
        <v>116</v>
      </c>
      <c r="AQ601" s="64" t="s">
        <v>116</v>
      </c>
      <c r="AR601" s="64" t="s">
        <v>116</v>
      </c>
      <c r="AS601" s="64" t="s">
        <v>116</v>
      </c>
      <c r="AT601" s="64" t="s">
        <v>116</v>
      </c>
      <c r="AW601" s="64" t="s">
        <v>116</v>
      </c>
      <c r="AX601" s="64" t="s">
        <v>116</v>
      </c>
      <c r="AY601" s="64" t="s">
        <v>116</v>
      </c>
      <c r="AZ601" s="64" t="s">
        <v>116</v>
      </c>
      <c r="BA601" s="64" t="s">
        <v>116</v>
      </c>
      <c r="BB601" s="64" t="s">
        <v>116</v>
      </c>
      <c r="BC601" s="64" t="s">
        <v>116</v>
      </c>
      <c r="BD601" s="64" t="s">
        <v>116</v>
      </c>
      <c r="BE601" s="64" t="s">
        <v>116</v>
      </c>
      <c r="BF601" s="64" t="s">
        <v>116</v>
      </c>
      <c r="BG601" s="64" t="s">
        <v>116</v>
      </c>
      <c r="BH601" s="64" t="s">
        <v>116</v>
      </c>
      <c r="BI601" s="64" t="s">
        <v>116</v>
      </c>
      <c r="BJ601" s="64" t="s">
        <v>116</v>
      </c>
      <c r="CA601" s="64">
        <v>1000</v>
      </c>
      <c r="CB601" s="64">
        <v>1000</v>
      </c>
      <c r="CC601" s="64">
        <v>0</v>
      </c>
      <c r="CD601" s="64">
        <v>0</v>
      </c>
      <c r="CE601" s="64">
        <v>0</v>
      </c>
      <c r="CF601" s="169">
        <v>0</v>
      </c>
      <c r="CG601" s="64">
        <v>0</v>
      </c>
      <c r="CH601" s="64">
        <v>0</v>
      </c>
      <c r="CI601" s="64">
        <v>1</v>
      </c>
      <c r="CJ601" s="64">
        <v>1</v>
      </c>
      <c r="CK601" s="64">
        <v>0</v>
      </c>
      <c r="CL601" s="64">
        <v>0</v>
      </c>
      <c r="CM601" s="64">
        <v>0</v>
      </c>
      <c r="CN601" s="64">
        <v>0</v>
      </c>
      <c r="CO601" s="64">
        <v>0</v>
      </c>
      <c r="CP601" s="64">
        <v>0</v>
      </c>
      <c r="CQ601" s="64">
        <v>0</v>
      </c>
      <c r="CR601" s="64">
        <v>0</v>
      </c>
      <c r="CS601" s="64">
        <v>1000</v>
      </c>
      <c r="CV601" s="64">
        <v>0</v>
      </c>
      <c r="CW601" s="64">
        <v>0</v>
      </c>
    </row>
    <row r="602" s="64" customFormat="1" customHeight="1" spans="1:96">
      <c r="A602" s="64">
        <v>7732</v>
      </c>
      <c r="B602" s="84" t="s">
        <v>893</v>
      </c>
      <c r="O602" s="64">
        <v>0</v>
      </c>
      <c r="P602" s="64">
        <v>0</v>
      </c>
      <c r="Q602" s="64">
        <v>0</v>
      </c>
      <c r="R602" s="64">
        <v>0</v>
      </c>
      <c r="S602" s="64">
        <v>0</v>
      </c>
      <c r="T602" s="64">
        <v>0</v>
      </c>
      <c r="U602" s="64">
        <v>0</v>
      </c>
      <c r="V602" s="64">
        <v>0</v>
      </c>
      <c r="W602" s="64">
        <v>0</v>
      </c>
      <c r="X602" s="64">
        <v>0</v>
      </c>
      <c r="Y602" s="64">
        <v>0</v>
      </c>
      <c r="Z602" s="64">
        <v>0</v>
      </c>
      <c r="AA602" s="64">
        <v>0</v>
      </c>
      <c r="AB602" s="64">
        <v>0</v>
      </c>
      <c r="AC602" s="64">
        <v>0</v>
      </c>
      <c r="AD602" s="64">
        <v>0</v>
      </c>
      <c r="AE602" s="64">
        <v>200214</v>
      </c>
      <c r="AF602" s="160">
        <v>200070</v>
      </c>
      <c r="AG602" s="64">
        <v>200102</v>
      </c>
      <c r="AH602" s="64">
        <v>200810</v>
      </c>
      <c r="AI602" s="64">
        <v>200310</v>
      </c>
      <c r="AJ602" s="64">
        <v>200312</v>
      </c>
      <c r="AK602" s="64">
        <v>200802</v>
      </c>
      <c r="AL602" s="163"/>
      <c r="AM602" s="163"/>
      <c r="AU602" s="64">
        <v>1</v>
      </c>
      <c r="AV602" s="64">
        <v>1</v>
      </c>
      <c r="AW602" s="64">
        <v>1</v>
      </c>
      <c r="AX602" s="64">
        <v>1</v>
      </c>
      <c r="AY602" s="64">
        <v>1</v>
      </c>
      <c r="AZ602" s="64">
        <v>1</v>
      </c>
      <c r="BA602" s="64">
        <v>1</v>
      </c>
      <c r="BK602" s="64">
        <v>50</v>
      </c>
      <c r="BL602" s="64">
        <v>50</v>
      </c>
      <c r="BM602" s="64">
        <v>50</v>
      </c>
      <c r="BN602" s="64">
        <v>50</v>
      </c>
      <c r="BO602" s="64">
        <v>50</v>
      </c>
      <c r="BP602" s="64">
        <v>50</v>
      </c>
      <c r="BQ602" s="64">
        <v>10</v>
      </c>
      <c r="CA602" s="64">
        <v>310</v>
      </c>
      <c r="CB602" s="64">
        <v>310</v>
      </c>
      <c r="CC602" s="64">
        <v>0</v>
      </c>
      <c r="CD602" s="64">
        <v>0</v>
      </c>
      <c r="CE602" s="64">
        <v>0</v>
      </c>
      <c r="CF602" s="160">
        <v>202106</v>
      </c>
      <c r="CG602" s="64">
        <v>1</v>
      </c>
      <c r="CH602" s="64">
        <v>1</v>
      </c>
      <c r="CI602" s="64">
        <v>1</v>
      </c>
      <c r="CJ602" s="64">
        <v>0</v>
      </c>
      <c r="CK602" s="64">
        <v>0</v>
      </c>
      <c r="CL602" s="64">
        <v>0</v>
      </c>
      <c r="CM602" s="64">
        <v>0</v>
      </c>
      <c r="CN602" s="64">
        <v>0</v>
      </c>
      <c r="CO602" s="64">
        <v>0</v>
      </c>
      <c r="CP602" s="64">
        <v>0</v>
      </c>
      <c r="CQ602" s="64">
        <v>0</v>
      </c>
      <c r="CR602" s="64">
        <v>0</v>
      </c>
    </row>
    <row r="603" s="54" customFormat="1" customHeight="1" spans="1:96">
      <c r="A603" s="54">
        <v>7733</v>
      </c>
      <c r="B603" s="54" t="s">
        <v>894</v>
      </c>
      <c r="H603" s="54">
        <v>200000</v>
      </c>
      <c r="I603" s="54" t="s">
        <v>639</v>
      </c>
      <c r="J603" s="54">
        <v>90000</v>
      </c>
      <c r="K603" s="54" t="s">
        <v>511</v>
      </c>
      <c r="O603" s="54" t="s">
        <v>329</v>
      </c>
      <c r="P603" s="54" t="s">
        <v>329</v>
      </c>
      <c r="Q603" s="54">
        <v>0</v>
      </c>
      <c r="R603" s="54">
        <v>0</v>
      </c>
      <c r="S603" s="109">
        <v>0</v>
      </c>
      <c r="T603" s="109">
        <v>0</v>
      </c>
      <c r="U603" s="109">
        <v>0</v>
      </c>
      <c r="V603" s="109">
        <v>0</v>
      </c>
      <c r="W603" s="54">
        <v>0</v>
      </c>
      <c r="X603" s="54">
        <v>0</v>
      </c>
      <c r="Y603" s="54">
        <v>0</v>
      </c>
      <c r="Z603" s="54">
        <v>0</v>
      </c>
      <c r="AA603" s="54">
        <v>0</v>
      </c>
      <c r="AB603" s="54">
        <v>0</v>
      </c>
      <c r="AC603" s="54">
        <v>0</v>
      </c>
      <c r="AD603" s="54">
        <v>0</v>
      </c>
      <c r="AE603" s="54" t="s">
        <v>665</v>
      </c>
      <c r="AF603" s="54" t="s">
        <v>666</v>
      </c>
      <c r="AG603" s="54" t="s">
        <v>657</v>
      </c>
      <c r="AH603" s="54" t="s">
        <v>667</v>
      </c>
      <c r="AI603" s="54" t="s">
        <v>895</v>
      </c>
      <c r="AU603" s="54" t="s">
        <v>677</v>
      </c>
      <c r="AV603" s="54" t="s">
        <v>669</v>
      </c>
      <c r="AW603" s="54">
        <v>1</v>
      </c>
      <c r="AX603" s="54">
        <v>1</v>
      </c>
      <c r="AY603" s="54" t="s">
        <v>322</v>
      </c>
      <c r="BK603" s="54" t="s">
        <v>320</v>
      </c>
      <c r="BL603" s="54" t="s">
        <v>320</v>
      </c>
      <c r="BM603" s="54" t="s">
        <v>320</v>
      </c>
      <c r="BN603" s="54" t="s">
        <v>320</v>
      </c>
      <c r="BO603" s="54" t="s">
        <v>320</v>
      </c>
      <c r="CA603" s="54" t="s">
        <v>671</v>
      </c>
      <c r="CB603" s="54" t="s">
        <v>671</v>
      </c>
      <c r="CC603" s="54">
        <v>0</v>
      </c>
      <c r="CD603" s="54">
        <v>0</v>
      </c>
      <c r="CE603" s="54">
        <v>0</v>
      </c>
      <c r="CF603" s="54">
        <v>202101</v>
      </c>
      <c r="CG603" s="54">
        <v>1</v>
      </c>
      <c r="CH603" s="54">
        <v>1</v>
      </c>
      <c r="CI603" s="54">
        <v>1</v>
      </c>
      <c r="CJ603" s="54">
        <v>0</v>
      </c>
      <c r="CK603" s="54">
        <v>0</v>
      </c>
      <c r="CL603" s="54">
        <v>0</v>
      </c>
      <c r="CM603" s="54">
        <v>0</v>
      </c>
      <c r="CN603" s="54">
        <v>0</v>
      </c>
      <c r="CO603" s="54">
        <v>0</v>
      </c>
      <c r="CP603" s="54">
        <v>0</v>
      </c>
      <c r="CQ603" s="54">
        <v>0</v>
      </c>
      <c r="CR603" s="54">
        <v>0</v>
      </c>
    </row>
    <row r="604" s="65" customFormat="1" customHeight="1" spans="1:101">
      <c r="A604" s="65">
        <v>7734</v>
      </c>
      <c r="B604" s="150" t="s">
        <v>896</v>
      </c>
      <c r="O604" s="65">
        <v>201342</v>
      </c>
      <c r="P604" s="65">
        <v>1</v>
      </c>
      <c r="Q604" s="65">
        <v>0</v>
      </c>
      <c r="R604" s="65">
        <v>0</v>
      </c>
      <c r="S604" s="65">
        <v>0</v>
      </c>
      <c r="T604" s="65">
        <v>0</v>
      </c>
      <c r="U604" s="65">
        <v>0</v>
      </c>
      <c r="V604" s="65">
        <v>0</v>
      </c>
      <c r="W604" s="65">
        <v>0</v>
      </c>
      <c r="X604" s="65">
        <v>0</v>
      </c>
      <c r="Y604" s="65">
        <v>0</v>
      </c>
      <c r="Z604" s="65">
        <v>0</v>
      </c>
      <c r="AA604" s="65">
        <v>0</v>
      </c>
      <c r="AB604" s="65">
        <v>0</v>
      </c>
      <c r="AC604" s="65">
        <v>0</v>
      </c>
      <c r="AD604" s="65">
        <v>0</v>
      </c>
      <c r="CA604" s="65">
        <v>100</v>
      </c>
      <c r="CB604" s="65">
        <v>100</v>
      </c>
      <c r="CC604" s="65">
        <v>0</v>
      </c>
      <c r="CD604" s="65">
        <v>0</v>
      </c>
      <c r="CE604" s="65">
        <v>0</v>
      </c>
      <c r="CF604" s="65">
        <v>0</v>
      </c>
      <c r="CG604" s="65">
        <v>1</v>
      </c>
      <c r="CH604" s="65">
        <v>0</v>
      </c>
      <c r="CI604" s="65">
        <v>1</v>
      </c>
      <c r="CJ604" s="65">
        <v>0</v>
      </c>
      <c r="CK604" s="65">
        <v>0</v>
      </c>
      <c r="CL604" s="65">
        <v>0</v>
      </c>
      <c r="CM604" s="65">
        <v>0</v>
      </c>
      <c r="CN604" s="65">
        <v>0</v>
      </c>
      <c r="CO604" s="65">
        <v>0</v>
      </c>
      <c r="CP604" s="65">
        <v>0</v>
      </c>
      <c r="CQ604" s="65">
        <v>1</v>
      </c>
      <c r="CR604" s="65">
        <v>0</v>
      </c>
      <c r="CV604" s="65">
        <v>0</v>
      </c>
      <c r="CW604" s="65">
        <v>0</v>
      </c>
    </row>
    <row r="605" s="65" customFormat="1" customHeight="1" spans="1:101">
      <c r="A605" s="65">
        <v>7735</v>
      </c>
      <c r="B605" s="151" t="s">
        <v>897</v>
      </c>
      <c r="O605" s="65">
        <v>201343</v>
      </c>
      <c r="P605" s="65">
        <v>1</v>
      </c>
      <c r="Q605" s="65">
        <v>0</v>
      </c>
      <c r="R605" s="65">
        <v>0</v>
      </c>
      <c r="S605" s="65">
        <v>0</v>
      </c>
      <c r="T605" s="65">
        <v>0</v>
      </c>
      <c r="U605" s="65">
        <v>0</v>
      </c>
      <c r="V605" s="65">
        <v>0</v>
      </c>
      <c r="W605" s="65">
        <v>0</v>
      </c>
      <c r="X605" s="65">
        <v>0</v>
      </c>
      <c r="Y605" s="65">
        <v>0</v>
      </c>
      <c r="Z605" s="65">
        <v>0</v>
      </c>
      <c r="AA605" s="65">
        <v>0</v>
      </c>
      <c r="AB605" s="65">
        <v>0</v>
      </c>
      <c r="AC605" s="65">
        <v>0</v>
      </c>
      <c r="AD605" s="65">
        <v>0</v>
      </c>
      <c r="CA605" s="65">
        <v>100</v>
      </c>
      <c r="CB605" s="65">
        <v>100</v>
      </c>
      <c r="CC605" s="65">
        <v>0</v>
      </c>
      <c r="CD605" s="65">
        <v>0</v>
      </c>
      <c r="CE605" s="65">
        <v>0</v>
      </c>
      <c r="CF605" s="65">
        <v>0</v>
      </c>
      <c r="CG605" s="65">
        <v>1</v>
      </c>
      <c r="CH605" s="65">
        <v>0</v>
      </c>
      <c r="CI605" s="65">
        <v>1</v>
      </c>
      <c r="CJ605" s="65">
        <v>0</v>
      </c>
      <c r="CK605" s="65">
        <v>0</v>
      </c>
      <c r="CL605" s="65">
        <v>0</v>
      </c>
      <c r="CM605" s="65">
        <v>0</v>
      </c>
      <c r="CN605" s="65">
        <v>0</v>
      </c>
      <c r="CO605" s="65">
        <v>0</v>
      </c>
      <c r="CP605" s="65">
        <v>0</v>
      </c>
      <c r="CQ605" s="65">
        <v>1</v>
      </c>
      <c r="CR605" s="65">
        <v>0</v>
      </c>
      <c r="CV605" s="65">
        <v>0</v>
      </c>
      <c r="CW605" s="65">
        <v>0</v>
      </c>
    </row>
    <row r="606" s="65" customFormat="1" customHeight="1" spans="1:101">
      <c r="A606" s="65">
        <v>7736</v>
      </c>
      <c r="B606" s="151" t="s">
        <v>898</v>
      </c>
      <c r="O606" s="65">
        <v>201344</v>
      </c>
      <c r="P606" s="65">
        <v>1</v>
      </c>
      <c r="Q606" s="65">
        <v>0</v>
      </c>
      <c r="R606" s="65">
        <v>0</v>
      </c>
      <c r="S606" s="65">
        <v>0</v>
      </c>
      <c r="T606" s="65">
        <v>0</v>
      </c>
      <c r="U606" s="65">
        <v>0</v>
      </c>
      <c r="V606" s="65">
        <v>0</v>
      </c>
      <c r="W606" s="65">
        <v>0</v>
      </c>
      <c r="X606" s="65">
        <v>0</v>
      </c>
      <c r="Y606" s="65">
        <v>0</v>
      </c>
      <c r="Z606" s="65">
        <v>0</v>
      </c>
      <c r="AA606" s="65">
        <v>0</v>
      </c>
      <c r="AB606" s="65">
        <v>0</v>
      </c>
      <c r="AC606" s="65">
        <v>0</v>
      </c>
      <c r="AD606" s="65">
        <v>0</v>
      </c>
      <c r="CA606" s="65">
        <v>100</v>
      </c>
      <c r="CB606" s="65">
        <v>100</v>
      </c>
      <c r="CC606" s="65">
        <v>0</v>
      </c>
      <c r="CD606" s="65">
        <v>0</v>
      </c>
      <c r="CE606" s="65">
        <v>0</v>
      </c>
      <c r="CF606" s="65">
        <v>0</v>
      </c>
      <c r="CG606" s="65">
        <v>1</v>
      </c>
      <c r="CH606" s="65">
        <v>0</v>
      </c>
      <c r="CI606" s="65">
        <v>1</v>
      </c>
      <c r="CJ606" s="65">
        <v>0</v>
      </c>
      <c r="CK606" s="65">
        <v>0</v>
      </c>
      <c r="CL606" s="65">
        <v>0</v>
      </c>
      <c r="CM606" s="65">
        <v>0</v>
      </c>
      <c r="CN606" s="65">
        <v>0</v>
      </c>
      <c r="CO606" s="65">
        <v>0</v>
      </c>
      <c r="CP606" s="65">
        <v>0</v>
      </c>
      <c r="CQ606" s="65">
        <v>1</v>
      </c>
      <c r="CR606" s="65">
        <v>0</v>
      </c>
      <c r="CV606" s="65">
        <v>0</v>
      </c>
      <c r="CW606" s="65">
        <v>0</v>
      </c>
    </row>
    <row r="607" s="65" customFormat="1" customHeight="1" spans="1:101">
      <c r="A607" s="65">
        <v>7737</v>
      </c>
      <c r="B607" s="151" t="s">
        <v>899</v>
      </c>
      <c r="O607" s="65">
        <v>201365</v>
      </c>
      <c r="P607" s="65">
        <v>1</v>
      </c>
      <c r="Q607" s="65">
        <v>0</v>
      </c>
      <c r="R607" s="65">
        <v>0</v>
      </c>
      <c r="S607" s="65">
        <v>0</v>
      </c>
      <c r="T607" s="65">
        <v>0</v>
      </c>
      <c r="U607" s="65">
        <v>0</v>
      </c>
      <c r="V607" s="65">
        <v>0</v>
      </c>
      <c r="W607" s="65">
        <v>0</v>
      </c>
      <c r="X607" s="65">
        <v>0</v>
      </c>
      <c r="Y607" s="65">
        <v>0</v>
      </c>
      <c r="Z607" s="65">
        <v>0</v>
      </c>
      <c r="AA607" s="65">
        <v>0</v>
      </c>
      <c r="AB607" s="65">
        <v>0</v>
      </c>
      <c r="AC607" s="65">
        <v>0</v>
      </c>
      <c r="AD607" s="65">
        <v>0</v>
      </c>
      <c r="CA607" s="65">
        <v>100</v>
      </c>
      <c r="CB607" s="65">
        <v>100</v>
      </c>
      <c r="CC607" s="65">
        <v>0</v>
      </c>
      <c r="CD607" s="65">
        <v>0</v>
      </c>
      <c r="CE607" s="65">
        <v>0</v>
      </c>
      <c r="CF607" s="65">
        <v>0</v>
      </c>
      <c r="CG607" s="65">
        <v>1</v>
      </c>
      <c r="CH607" s="65">
        <v>0</v>
      </c>
      <c r="CI607" s="65">
        <v>1</v>
      </c>
      <c r="CJ607" s="65">
        <v>0</v>
      </c>
      <c r="CK607" s="65">
        <v>0</v>
      </c>
      <c r="CL607" s="65">
        <v>0</v>
      </c>
      <c r="CM607" s="65">
        <v>0</v>
      </c>
      <c r="CN607" s="65">
        <v>0</v>
      </c>
      <c r="CO607" s="65">
        <v>0</v>
      </c>
      <c r="CP607" s="65">
        <v>0</v>
      </c>
      <c r="CQ607" s="65">
        <v>1</v>
      </c>
      <c r="CR607" s="65">
        <v>0</v>
      </c>
      <c r="CV607" s="65">
        <v>0</v>
      </c>
      <c r="CW607" s="65">
        <v>0</v>
      </c>
    </row>
    <row r="608" s="65" customFormat="1" customHeight="1" spans="1:101">
      <c r="A608" s="65">
        <v>7738</v>
      </c>
      <c r="B608" s="151" t="s">
        <v>900</v>
      </c>
      <c r="O608" s="65">
        <v>201366</v>
      </c>
      <c r="P608" s="65">
        <v>1</v>
      </c>
      <c r="Q608" s="65">
        <v>0</v>
      </c>
      <c r="R608" s="65">
        <v>0</v>
      </c>
      <c r="S608" s="65">
        <v>0</v>
      </c>
      <c r="T608" s="65">
        <v>0</v>
      </c>
      <c r="U608" s="65">
        <v>0</v>
      </c>
      <c r="V608" s="65">
        <v>0</v>
      </c>
      <c r="W608" s="65">
        <v>0</v>
      </c>
      <c r="X608" s="65">
        <v>0</v>
      </c>
      <c r="Y608" s="65">
        <v>0</v>
      </c>
      <c r="Z608" s="65">
        <v>0</v>
      </c>
      <c r="AA608" s="65">
        <v>0</v>
      </c>
      <c r="AB608" s="65">
        <v>0</v>
      </c>
      <c r="AC608" s="65">
        <v>0</v>
      </c>
      <c r="AD608" s="65">
        <v>0</v>
      </c>
      <c r="CA608" s="65">
        <v>100</v>
      </c>
      <c r="CB608" s="65">
        <v>100</v>
      </c>
      <c r="CC608" s="65">
        <v>0</v>
      </c>
      <c r="CD608" s="65">
        <v>0</v>
      </c>
      <c r="CE608" s="65">
        <v>0</v>
      </c>
      <c r="CF608" s="65">
        <v>0</v>
      </c>
      <c r="CG608" s="65">
        <v>1</v>
      </c>
      <c r="CH608" s="65">
        <v>0</v>
      </c>
      <c r="CI608" s="65">
        <v>1</v>
      </c>
      <c r="CJ608" s="65">
        <v>0</v>
      </c>
      <c r="CK608" s="65">
        <v>0</v>
      </c>
      <c r="CL608" s="65">
        <v>0</v>
      </c>
      <c r="CM608" s="65">
        <v>0</v>
      </c>
      <c r="CN608" s="65">
        <v>0</v>
      </c>
      <c r="CO608" s="65">
        <v>0</v>
      </c>
      <c r="CP608" s="65">
        <v>0</v>
      </c>
      <c r="CQ608" s="65">
        <v>1</v>
      </c>
      <c r="CR608" s="65">
        <v>0</v>
      </c>
      <c r="CV608" s="65">
        <v>0</v>
      </c>
      <c r="CW608" s="65">
        <v>0</v>
      </c>
    </row>
    <row r="609" s="66" customFormat="1" customHeight="1" spans="1:101">
      <c r="A609" s="66">
        <v>7739</v>
      </c>
      <c r="B609" s="68" t="s">
        <v>901</v>
      </c>
      <c r="O609" s="66">
        <v>230000</v>
      </c>
      <c r="P609" s="66">
        <v>1</v>
      </c>
      <c r="Q609" s="66">
        <v>0</v>
      </c>
      <c r="R609" s="66">
        <v>0</v>
      </c>
      <c r="S609" s="66">
        <v>0</v>
      </c>
      <c r="T609" s="66">
        <v>0</v>
      </c>
      <c r="U609" s="66">
        <v>0</v>
      </c>
      <c r="V609" s="66">
        <v>0</v>
      </c>
      <c r="W609" s="66">
        <v>0</v>
      </c>
      <c r="X609" s="66">
        <v>0</v>
      </c>
      <c r="Y609" s="66">
        <v>0</v>
      </c>
      <c r="Z609" s="66">
        <v>0</v>
      </c>
      <c r="AA609" s="66">
        <v>0</v>
      </c>
      <c r="AB609" s="66">
        <v>0</v>
      </c>
      <c r="AC609" s="66">
        <v>0</v>
      </c>
      <c r="AD609" s="66">
        <v>0</v>
      </c>
      <c r="CA609" s="66">
        <v>100</v>
      </c>
      <c r="CB609" s="66">
        <v>100</v>
      </c>
      <c r="CC609" s="66">
        <v>0</v>
      </c>
      <c r="CD609" s="66">
        <v>0</v>
      </c>
      <c r="CE609" s="66">
        <v>0</v>
      </c>
      <c r="CF609" s="66">
        <v>0</v>
      </c>
      <c r="CG609" s="66">
        <v>1</v>
      </c>
      <c r="CH609" s="66">
        <v>0</v>
      </c>
      <c r="CI609" s="66">
        <v>1</v>
      </c>
      <c r="CJ609" s="66">
        <v>0</v>
      </c>
      <c r="CK609" s="66">
        <v>0</v>
      </c>
      <c r="CL609" s="66">
        <v>0</v>
      </c>
      <c r="CM609" s="66">
        <v>0</v>
      </c>
      <c r="CN609" s="66">
        <v>0</v>
      </c>
      <c r="CO609" s="66">
        <v>0</v>
      </c>
      <c r="CP609" s="66">
        <v>0</v>
      </c>
      <c r="CQ609" s="66">
        <v>1</v>
      </c>
      <c r="CR609" s="66">
        <v>0</v>
      </c>
      <c r="CV609" s="66">
        <v>0</v>
      </c>
      <c r="CW609" s="66">
        <v>0</v>
      </c>
    </row>
    <row r="610" s="66" customFormat="1" customHeight="1" spans="1:101">
      <c r="A610" s="66">
        <v>7740</v>
      </c>
      <c r="B610" s="68" t="s">
        <v>902</v>
      </c>
      <c r="O610" s="66">
        <v>230001</v>
      </c>
      <c r="P610" s="66">
        <v>1</v>
      </c>
      <c r="Q610" s="66">
        <v>0</v>
      </c>
      <c r="R610" s="66">
        <v>0</v>
      </c>
      <c r="S610" s="66">
        <v>0</v>
      </c>
      <c r="T610" s="66">
        <v>0</v>
      </c>
      <c r="U610" s="66">
        <v>0</v>
      </c>
      <c r="V610" s="66">
        <v>0</v>
      </c>
      <c r="W610" s="66">
        <v>0</v>
      </c>
      <c r="X610" s="66">
        <v>0</v>
      </c>
      <c r="Y610" s="66">
        <v>0</v>
      </c>
      <c r="Z610" s="66">
        <v>0</v>
      </c>
      <c r="AA610" s="66">
        <v>0</v>
      </c>
      <c r="AB610" s="66">
        <v>0</v>
      </c>
      <c r="AC610" s="66">
        <v>0</v>
      </c>
      <c r="AD610" s="66">
        <v>0</v>
      </c>
      <c r="CA610" s="66">
        <v>100</v>
      </c>
      <c r="CB610" s="66">
        <v>100</v>
      </c>
      <c r="CC610" s="66">
        <v>0</v>
      </c>
      <c r="CD610" s="66">
        <v>0</v>
      </c>
      <c r="CE610" s="66">
        <v>0</v>
      </c>
      <c r="CF610" s="66">
        <v>0</v>
      </c>
      <c r="CG610" s="66">
        <v>1</v>
      </c>
      <c r="CH610" s="66">
        <v>0</v>
      </c>
      <c r="CI610" s="66">
        <v>1</v>
      </c>
      <c r="CJ610" s="66">
        <v>0</v>
      </c>
      <c r="CK610" s="66">
        <v>0</v>
      </c>
      <c r="CL610" s="66">
        <v>0</v>
      </c>
      <c r="CM610" s="66">
        <v>0</v>
      </c>
      <c r="CN610" s="66">
        <v>0</v>
      </c>
      <c r="CO610" s="66">
        <v>0</v>
      </c>
      <c r="CP610" s="66">
        <v>0</v>
      </c>
      <c r="CQ610" s="66">
        <v>1</v>
      </c>
      <c r="CR610" s="66">
        <v>0</v>
      </c>
      <c r="CV610" s="66">
        <v>0</v>
      </c>
      <c r="CW610" s="66">
        <v>0</v>
      </c>
    </row>
    <row r="611" s="66" customFormat="1" customHeight="1" spans="1:101">
      <c r="A611" s="66">
        <v>7741</v>
      </c>
      <c r="B611" s="68" t="s">
        <v>903</v>
      </c>
      <c r="O611" s="66">
        <v>230002</v>
      </c>
      <c r="P611" s="66">
        <v>1</v>
      </c>
      <c r="Q611" s="66">
        <v>0</v>
      </c>
      <c r="R611" s="66">
        <v>0</v>
      </c>
      <c r="S611" s="66">
        <v>0</v>
      </c>
      <c r="T611" s="66">
        <v>0</v>
      </c>
      <c r="U611" s="66">
        <v>0</v>
      </c>
      <c r="V611" s="66">
        <v>0</v>
      </c>
      <c r="W611" s="66">
        <v>0</v>
      </c>
      <c r="X611" s="66">
        <v>0</v>
      </c>
      <c r="Y611" s="66">
        <v>0</v>
      </c>
      <c r="Z611" s="66">
        <v>0</v>
      </c>
      <c r="AA611" s="66">
        <v>0</v>
      </c>
      <c r="AB611" s="66">
        <v>0</v>
      </c>
      <c r="AC611" s="66">
        <v>0</v>
      </c>
      <c r="AD611" s="66">
        <v>0</v>
      </c>
      <c r="CA611" s="66">
        <v>100</v>
      </c>
      <c r="CB611" s="66">
        <v>100</v>
      </c>
      <c r="CC611" s="66">
        <v>0</v>
      </c>
      <c r="CD611" s="66">
        <v>0</v>
      </c>
      <c r="CE611" s="66">
        <v>0</v>
      </c>
      <c r="CF611" s="66">
        <v>0</v>
      </c>
      <c r="CG611" s="66">
        <v>1</v>
      </c>
      <c r="CH611" s="66">
        <v>0</v>
      </c>
      <c r="CI611" s="66">
        <v>1</v>
      </c>
      <c r="CJ611" s="66">
        <v>0</v>
      </c>
      <c r="CK611" s="66">
        <v>0</v>
      </c>
      <c r="CL611" s="66">
        <v>0</v>
      </c>
      <c r="CM611" s="66">
        <v>0</v>
      </c>
      <c r="CN611" s="66">
        <v>0</v>
      </c>
      <c r="CO611" s="66">
        <v>0</v>
      </c>
      <c r="CP611" s="66">
        <v>0</v>
      </c>
      <c r="CQ611" s="66">
        <v>1</v>
      </c>
      <c r="CR611" s="66">
        <v>0</v>
      </c>
      <c r="CV611" s="66">
        <v>0</v>
      </c>
      <c r="CW611" s="66">
        <v>0</v>
      </c>
    </row>
    <row r="612" s="66" customFormat="1" customHeight="1" spans="1:101">
      <c r="A612" s="66">
        <v>7742</v>
      </c>
      <c r="B612" s="68" t="s">
        <v>904</v>
      </c>
      <c r="O612" s="66">
        <v>230003</v>
      </c>
      <c r="P612" s="66">
        <v>1</v>
      </c>
      <c r="Q612" s="66">
        <v>0</v>
      </c>
      <c r="R612" s="66">
        <v>0</v>
      </c>
      <c r="S612" s="66">
        <v>0</v>
      </c>
      <c r="T612" s="66">
        <v>0</v>
      </c>
      <c r="U612" s="66">
        <v>0</v>
      </c>
      <c r="V612" s="66">
        <v>0</v>
      </c>
      <c r="W612" s="66">
        <v>0</v>
      </c>
      <c r="X612" s="66">
        <v>0</v>
      </c>
      <c r="Y612" s="66">
        <v>0</v>
      </c>
      <c r="Z612" s="66">
        <v>0</v>
      </c>
      <c r="AA612" s="66">
        <v>0</v>
      </c>
      <c r="AB612" s="66">
        <v>0</v>
      </c>
      <c r="AC612" s="66">
        <v>0</v>
      </c>
      <c r="AD612" s="66">
        <v>0</v>
      </c>
      <c r="CA612" s="66">
        <v>100</v>
      </c>
      <c r="CB612" s="66">
        <v>100</v>
      </c>
      <c r="CC612" s="66">
        <v>0</v>
      </c>
      <c r="CD612" s="66">
        <v>0</v>
      </c>
      <c r="CE612" s="66">
        <v>0</v>
      </c>
      <c r="CF612" s="66">
        <v>0</v>
      </c>
      <c r="CG612" s="66">
        <v>1</v>
      </c>
      <c r="CH612" s="66">
        <v>0</v>
      </c>
      <c r="CI612" s="66">
        <v>1</v>
      </c>
      <c r="CJ612" s="66">
        <v>0</v>
      </c>
      <c r="CK612" s="66">
        <v>0</v>
      </c>
      <c r="CL612" s="66">
        <v>0</v>
      </c>
      <c r="CM612" s="66">
        <v>0</v>
      </c>
      <c r="CN612" s="66">
        <v>0</v>
      </c>
      <c r="CO612" s="66">
        <v>0</v>
      </c>
      <c r="CP612" s="66">
        <v>0</v>
      </c>
      <c r="CQ612" s="66">
        <v>1</v>
      </c>
      <c r="CR612" s="66">
        <v>0</v>
      </c>
      <c r="CV612" s="66">
        <v>0</v>
      </c>
      <c r="CW612" s="66">
        <v>0</v>
      </c>
    </row>
    <row r="613" s="67" customFormat="1" customHeight="1" spans="1:101">
      <c r="A613" s="67">
        <v>7743</v>
      </c>
      <c r="B613" s="152" t="s">
        <v>905</v>
      </c>
      <c r="O613" s="67">
        <v>230004</v>
      </c>
      <c r="P613" s="67">
        <v>1</v>
      </c>
      <c r="Q613" s="67">
        <v>0</v>
      </c>
      <c r="R613" s="67">
        <v>0</v>
      </c>
      <c r="S613" s="67">
        <v>0</v>
      </c>
      <c r="T613" s="67">
        <v>0</v>
      </c>
      <c r="U613" s="67">
        <v>0</v>
      </c>
      <c r="V613" s="67">
        <v>0</v>
      </c>
      <c r="W613" s="67">
        <v>0</v>
      </c>
      <c r="X613" s="67">
        <v>0</v>
      </c>
      <c r="Y613" s="67">
        <v>0</v>
      </c>
      <c r="Z613" s="67">
        <v>0</v>
      </c>
      <c r="AA613" s="67">
        <v>0</v>
      </c>
      <c r="AB613" s="67">
        <v>0</v>
      </c>
      <c r="AC613" s="67">
        <v>0</v>
      </c>
      <c r="AD613" s="67">
        <v>0</v>
      </c>
      <c r="CA613" s="67">
        <v>100</v>
      </c>
      <c r="CB613" s="67">
        <v>100</v>
      </c>
      <c r="CC613" s="67">
        <v>0</v>
      </c>
      <c r="CD613" s="67">
        <v>0</v>
      </c>
      <c r="CE613" s="67">
        <v>0</v>
      </c>
      <c r="CF613" s="67">
        <v>0</v>
      </c>
      <c r="CG613" s="67">
        <v>1</v>
      </c>
      <c r="CH613" s="67">
        <v>0</v>
      </c>
      <c r="CI613" s="67">
        <v>1</v>
      </c>
      <c r="CJ613" s="67">
        <v>0</v>
      </c>
      <c r="CK613" s="67">
        <v>0</v>
      </c>
      <c r="CL613" s="67">
        <v>0</v>
      </c>
      <c r="CM613" s="67">
        <v>0</v>
      </c>
      <c r="CN613" s="67">
        <v>0</v>
      </c>
      <c r="CO613" s="67">
        <v>0</v>
      </c>
      <c r="CP613" s="67">
        <v>0</v>
      </c>
      <c r="CQ613" s="67">
        <v>1</v>
      </c>
      <c r="CR613" s="67">
        <v>0</v>
      </c>
      <c r="CV613" s="67">
        <v>0</v>
      </c>
      <c r="CW613" s="67">
        <v>0</v>
      </c>
    </row>
    <row r="614" s="67" customFormat="1" customHeight="1" spans="1:101">
      <c r="A614" s="67">
        <v>7744</v>
      </c>
      <c r="B614" s="152" t="s">
        <v>906</v>
      </c>
      <c r="O614" s="67">
        <v>230005</v>
      </c>
      <c r="P614" s="67">
        <v>1</v>
      </c>
      <c r="Q614" s="67">
        <v>0</v>
      </c>
      <c r="R614" s="67">
        <v>0</v>
      </c>
      <c r="S614" s="67">
        <v>0</v>
      </c>
      <c r="T614" s="67">
        <v>0</v>
      </c>
      <c r="U614" s="67">
        <v>0</v>
      </c>
      <c r="V614" s="67">
        <v>0</v>
      </c>
      <c r="W614" s="67">
        <v>0</v>
      </c>
      <c r="X614" s="67">
        <v>0</v>
      </c>
      <c r="Y614" s="67">
        <v>0</v>
      </c>
      <c r="Z614" s="67">
        <v>0</v>
      </c>
      <c r="AA614" s="67">
        <v>0</v>
      </c>
      <c r="AB614" s="67">
        <v>0</v>
      </c>
      <c r="AC614" s="67">
        <v>0</v>
      </c>
      <c r="AD614" s="67">
        <v>0</v>
      </c>
      <c r="AE614" s="67"/>
      <c r="AF614" s="67"/>
      <c r="AG614" s="67"/>
      <c r="AH614" s="67"/>
      <c r="AI614" s="67"/>
      <c r="AJ614" s="67"/>
      <c r="AK614" s="67"/>
      <c r="CA614" s="67">
        <v>100</v>
      </c>
      <c r="CB614" s="67">
        <v>100</v>
      </c>
      <c r="CC614" s="67">
        <v>0</v>
      </c>
      <c r="CD614" s="67">
        <v>0</v>
      </c>
      <c r="CE614" s="67">
        <v>0</v>
      </c>
      <c r="CF614" s="67">
        <v>0</v>
      </c>
      <c r="CG614" s="67">
        <v>1</v>
      </c>
      <c r="CH614" s="67">
        <v>0</v>
      </c>
      <c r="CI614" s="67">
        <v>1</v>
      </c>
      <c r="CJ614" s="67">
        <v>0</v>
      </c>
      <c r="CK614" s="67">
        <v>0</v>
      </c>
      <c r="CL614" s="67">
        <v>0</v>
      </c>
      <c r="CM614" s="67">
        <v>0</v>
      </c>
      <c r="CN614" s="67">
        <v>0</v>
      </c>
      <c r="CO614" s="67">
        <v>0</v>
      </c>
      <c r="CP614" s="67">
        <v>0</v>
      </c>
      <c r="CQ614" s="67">
        <v>1</v>
      </c>
      <c r="CR614" s="67">
        <v>0</v>
      </c>
      <c r="CV614" s="67">
        <v>0</v>
      </c>
      <c r="CW614" s="67">
        <v>0</v>
      </c>
    </row>
    <row r="615" s="44" customFormat="1" customHeight="1" spans="1:101">
      <c r="A615" s="67">
        <v>7745</v>
      </c>
      <c r="B615" s="79" t="s">
        <v>907</v>
      </c>
      <c r="E615" s="44" t="s">
        <v>640</v>
      </c>
      <c r="F615" s="44" t="s">
        <v>908</v>
      </c>
      <c r="H615" s="50"/>
      <c r="K615" s="44" t="s">
        <v>116</v>
      </c>
      <c r="O615" s="77">
        <v>0</v>
      </c>
      <c r="P615" s="77">
        <v>0</v>
      </c>
      <c r="Q615" s="77">
        <v>0</v>
      </c>
      <c r="R615" s="77">
        <v>0</v>
      </c>
      <c r="S615" s="64">
        <v>0</v>
      </c>
      <c r="T615" s="64">
        <v>0</v>
      </c>
      <c r="U615" s="64">
        <v>0</v>
      </c>
      <c r="V615" s="64">
        <v>0</v>
      </c>
      <c r="W615" s="63">
        <v>0</v>
      </c>
      <c r="X615" s="63">
        <v>0</v>
      </c>
      <c r="Y615" s="63">
        <v>0</v>
      </c>
      <c r="Z615" s="63">
        <v>0</v>
      </c>
      <c r="AA615" s="78">
        <v>0</v>
      </c>
      <c r="AB615" s="78">
        <v>0</v>
      </c>
      <c r="AC615" s="78">
        <v>0</v>
      </c>
      <c r="AD615" s="78">
        <v>0</v>
      </c>
      <c r="AE615" s="48">
        <v>200069</v>
      </c>
      <c r="AF615" s="44">
        <v>200073</v>
      </c>
      <c r="AG615" s="44">
        <v>200205</v>
      </c>
      <c r="AH615" s="44">
        <v>200071</v>
      </c>
      <c r="AI615" s="44">
        <v>200066</v>
      </c>
      <c r="AJ615" s="44">
        <v>200177</v>
      </c>
      <c r="AK615" s="44">
        <v>200210</v>
      </c>
      <c r="AU615" s="62">
        <v>1</v>
      </c>
      <c r="AV615" s="44">
        <v>1</v>
      </c>
      <c r="AW615" s="44">
        <v>1</v>
      </c>
      <c r="AX615" s="44">
        <v>1</v>
      </c>
      <c r="AY615" s="44">
        <v>1</v>
      </c>
      <c r="AZ615" s="44">
        <v>1</v>
      </c>
      <c r="BA615" s="44">
        <v>1</v>
      </c>
      <c r="BK615" s="62">
        <v>220</v>
      </c>
      <c r="BL615" s="44">
        <v>200</v>
      </c>
      <c r="BM615" s="44">
        <v>100</v>
      </c>
      <c r="BN615" s="44">
        <v>100</v>
      </c>
      <c r="BO615" s="44">
        <v>200</v>
      </c>
      <c r="BP615" s="44">
        <v>170</v>
      </c>
      <c r="BQ615" s="44">
        <v>10</v>
      </c>
      <c r="CA615" s="44">
        <v>1000</v>
      </c>
      <c r="CB615" s="44">
        <v>1000</v>
      </c>
      <c r="CC615" s="44">
        <v>0</v>
      </c>
      <c r="CD615" s="44">
        <v>0</v>
      </c>
      <c r="CE615" s="44">
        <v>0</v>
      </c>
      <c r="CF615" s="44">
        <v>0</v>
      </c>
      <c r="CG615" s="44">
        <v>0</v>
      </c>
      <c r="CH615" s="44">
        <v>1</v>
      </c>
      <c r="CI615" s="44">
        <v>1</v>
      </c>
      <c r="CJ615" s="44">
        <v>0</v>
      </c>
      <c r="CK615" s="44">
        <v>0</v>
      </c>
      <c r="CL615" s="44">
        <v>0</v>
      </c>
      <c r="CM615" s="44">
        <v>0</v>
      </c>
      <c r="CN615" s="44">
        <v>0</v>
      </c>
      <c r="CO615" s="44">
        <v>0</v>
      </c>
      <c r="CP615" s="44">
        <v>0</v>
      </c>
      <c r="CQ615" s="44">
        <v>1</v>
      </c>
      <c r="CR615" s="44">
        <v>0</v>
      </c>
      <c r="CV615" s="44">
        <v>0</v>
      </c>
      <c r="CW615" s="44">
        <v>0</v>
      </c>
    </row>
    <row r="616" s="67" customFormat="1" customHeight="1" spans="1:101">
      <c r="A616" s="67">
        <v>7746</v>
      </c>
      <c r="B616" s="152" t="s">
        <v>909</v>
      </c>
      <c r="O616" s="109">
        <v>230037</v>
      </c>
      <c r="P616" s="67">
        <v>1</v>
      </c>
      <c r="Q616" s="67">
        <v>0</v>
      </c>
      <c r="R616" s="67">
        <v>0</v>
      </c>
      <c r="S616" s="109">
        <v>230038</v>
      </c>
      <c r="T616" s="109" t="s">
        <v>319</v>
      </c>
      <c r="U616" s="109">
        <v>0</v>
      </c>
      <c r="V616" s="109">
        <v>0</v>
      </c>
      <c r="W616" s="109">
        <v>230039</v>
      </c>
      <c r="X616" s="109" t="s">
        <v>319</v>
      </c>
      <c r="Y616" s="109">
        <v>0</v>
      </c>
      <c r="Z616" s="109">
        <v>0</v>
      </c>
      <c r="AA616" s="67">
        <v>0</v>
      </c>
      <c r="AB616" s="67">
        <v>0</v>
      </c>
      <c r="AC616" s="67">
        <v>0</v>
      </c>
      <c r="AD616" s="67">
        <v>0</v>
      </c>
      <c r="AE616" s="67"/>
      <c r="AF616" s="67"/>
      <c r="AG616" s="67"/>
      <c r="AH616" s="67"/>
      <c r="AI616" s="67"/>
      <c r="AJ616" s="67"/>
      <c r="AK616" s="67"/>
      <c r="CA616" s="67">
        <v>100</v>
      </c>
      <c r="CB616" s="67">
        <v>100</v>
      </c>
      <c r="CC616" s="67">
        <v>0</v>
      </c>
      <c r="CD616" s="67">
        <v>0</v>
      </c>
      <c r="CE616" s="67">
        <v>0</v>
      </c>
      <c r="CF616" s="67">
        <v>0</v>
      </c>
      <c r="CG616" s="67">
        <v>1</v>
      </c>
      <c r="CH616" s="67">
        <v>0</v>
      </c>
      <c r="CI616" s="67">
        <v>1</v>
      </c>
      <c r="CJ616" s="67">
        <v>0</v>
      </c>
      <c r="CK616" s="67">
        <v>0</v>
      </c>
      <c r="CL616" s="67">
        <v>0</v>
      </c>
      <c r="CM616" s="67">
        <v>0</v>
      </c>
      <c r="CN616" s="67">
        <v>0</v>
      </c>
      <c r="CO616" s="67">
        <v>0</v>
      </c>
      <c r="CP616" s="67">
        <v>0</v>
      </c>
      <c r="CQ616" s="67">
        <v>1</v>
      </c>
      <c r="CR616" s="67">
        <v>0</v>
      </c>
      <c r="CV616" s="67">
        <v>0</v>
      </c>
      <c r="CW616" s="67">
        <v>0</v>
      </c>
    </row>
    <row r="617" s="68" customFormat="1" customHeight="1" spans="1:101">
      <c r="A617" s="67">
        <v>7747</v>
      </c>
      <c r="B617" s="68" t="s">
        <v>910</v>
      </c>
      <c r="O617" s="157" t="s">
        <v>911</v>
      </c>
      <c r="P617" s="68" t="s">
        <v>912</v>
      </c>
      <c r="Q617" s="68">
        <v>0</v>
      </c>
      <c r="R617" s="68">
        <v>0</v>
      </c>
      <c r="S617" s="157" t="s">
        <v>913</v>
      </c>
      <c r="T617" s="157" t="s">
        <v>912</v>
      </c>
      <c r="U617" s="157" t="s">
        <v>329</v>
      </c>
      <c r="V617" s="157" t="s">
        <v>329</v>
      </c>
      <c r="W617" s="157" t="s">
        <v>914</v>
      </c>
      <c r="X617" s="157" t="s">
        <v>912</v>
      </c>
      <c r="Y617" s="157" t="s">
        <v>329</v>
      </c>
      <c r="Z617" s="157" t="s">
        <v>329</v>
      </c>
      <c r="AA617" s="157" t="s">
        <v>915</v>
      </c>
      <c r="AB617" s="157" t="s">
        <v>912</v>
      </c>
      <c r="AC617" s="157" t="s">
        <v>329</v>
      </c>
      <c r="AD617" s="157" t="s">
        <v>329</v>
      </c>
      <c r="AE617" s="68" t="s">
        <v>916</v>
      </c>
      <c r="AU617" s="68" t="s">
        <v>912</v>
      </c>
      <c r="BK617" s="68" t="s">
        <v>320</v>
      </c>
      <c r="CA617" s="68">
        <v>100</v>
      </c>
      <c r="CB617" s="68">
        <v>100</v>
      </c>
      <c r="CC617" s="68">
        <v>0</v>
      </c>
      <c r="CD617" s="68">
        <v>0</v>
      </c>
      <c r="CE617" s="68">
        <v>0</v>
      </c>
      <c r="CF617" s="68">
        <v>0</v>
      </c>
      <c r="CG617" s="68">
        <v>1</v>
      </c>
      <c r="CH617" s="68">
        <v>0</v>
      </c>
      <c r="CI617" s="68">
        <v>1</v>
      </c>
      <c r="CJ617" s="68">
        <v>0</v>
      </c>
      <c r="CK617" s="68">
        <v>0</v>
      </c>
      <c r="CL617" s="68">
        <v>0</v>
      </c>
      <c r="CM617" s="68">
        <v>0</v>
      </c>
      <c r="CN617" s="68">
        <v>0</v>
      </c>
      <c r="CO617" s="68">
        <v>0</v>
      </c>
      <c r="CP617" s="68">
        <v>0</v>
      </c>
      <c r="CQ617" s="68">
        <v>1</v>
      </c>
      <c r="CR617" s="68">
        <v>0</v>
      </c>
      <c r="CV617" s="68">
        <v>0</v>
      </c>
      <c r="CW617" s="68">
        <v>0</v>
      </c>
    </row>
    <row r="618" s="68" customFormat="1" customHeight="1" spans="1:101">
      <c r="A618" s="67">
        <v>7748</v>
      </c>
      <c r="B618" s="68" t="s">
        <v>917</v>
      </c>
      <c r="O618" s="71" t="s">
        <v>918</v>
      </c>
      <c r="P618" s="68" t="s">
        <v>319</v>
      </c>
      <c r="Q618" s="68">
        <v>0</v>
      </c>
      <c r="R618" s="68">
        <v>0</v>
      </c>
      <c r="S618" s="157" t="s">
        <v>329</v>
      </c>
      <c r="T618" s="157" t="s">
        <v>329</v>
      </c>
      <c r="U618" s="157" t="s">
        <v>329</v>
      </c>
      <c r="V618" s="157" t="s">
        <v>329</v>
      </c>
      <c r="W618" s="157" t="s">
        <v>329</v>
      </c>
      <c r="X618" s="157" t="s">
        <v>329</v>
      </c>
      <c r="Y618" s="157" t="s">
        <v>329</v>
      </c>
      <c r="Z618" s="157" t="s">
        <v>329</v>
      </c>
      <c r="AA618" s="157" t="s">
        <v>329</v>
      </c>
      <c r="AB618" s="157" t="s">
        <v>329</v>
      </c>
      <c r="AC618" s="157" t="s">
        <v>329</v>
      </c>
      <c r="AD618" s="157" t="s">
        <v>329</v>
      </c>
      <c r="CA618" s="68">
        <v>100</v>
      </c>
      <c r="CB618" s="68">
        <v>100</v>
      </c>
      <c r="CC618" s="68">
        <v>0</v>
      </c>
      <c r="CD618" s="68">
        <v>0</v>
      </c>
      <c r="CE618" s="68">
        <v>0</v>
      </c>
      <c r="CF618" s="68">
        <v>0</v>
      </c>
      <c r="CG618" s="68">
        <v>1</v>
      </c>
      <c r="CH618" s="68">
        <v>0</v>
      </c>
      <c r="CI618" s="68">
        <v>1</v>
      </c>
      <c r="CJ618" s="68">
        <v>0</v>
      </c>
      <c r="CK618" s="68">
        <v>0</v>
      </c>
      <c r="CL618" s="68">
        <v>0</v>
      </c>
      <c r="CM618" s="68">
        <v>0</v>
      </c>
      <c r="CN618" s="68">
        <v>0</v>
      </c>
      <c r="CO618" s="68">
        <v>0</v>
      </c>
      <c r="CP618" s="68">
        <v>0</v>
      </c>
      <c r="CQ618" s="68">
        <v>1</v>
      </c>
      <c r="CR618" s="68">
        <v>0</v>
      </c>
      <c r="CV618" s="68">
        <v>0</v>
      </c>
      <c r="CW618" s="68">
        <v>0</v>
      </c>
    </row>
    <row r="619" s="68" customFormat="1" customHeight="1" spans="1:101">
      <c r="A619" s="67">
        <v>7749</v>
      </c>
      <c r="B619" s="68" t="s">
        <v>919</v>
      </c>
      <c r="O619" s="71" t="s">
        <v>920</v>
      </c>
      <c r="P619" s="68" t="s">
        <v>319</v>
      </c>
      <c r="Q619" s="68">
        <v>0</v>
      </c>
      <c r="R619" s="68">
        <v>0</v>
      </c>
      <c r="S619" s="157" t="s">
        <v>329</v>
      </c>
      <c r="T619" s="157" t="s">
        <v>329</v>
      </c>
      <c r="U619" s="157" t="s">
        <v>329</v>
      </c>
      <c r="V619" s="157" t="s">
        <v>329</v>
      </c>
      <c r="W619" s="157" t="s">
        <v>329</v>
      </c>
      <c r="X619" s="157" t="s">
        <v>329</v>
      </c>
      <c r="Y619" s="157" t="s">
        <v>329</v>
      </c>
      <c r="Z619" s="157" t="s">
        <v>329</v>
      </c>
      <c r="AA619" s="157" t="s">
        <v>329</v>
      </c>
      <c r="AB619" s="157" t="s">
        <v>329</v>
      </c>
      <c r="AC619" s="157" t="s">
        <v>329</v>
      </c>
      <c r="AD619" s="157" t="s">
        <v>329</v>
      </c>
      <c r="CA619" s="68">
        <v>100</v>
      </c>
      <c r="CB619" s="68">
        <v>100</v>
      </c>
      <c r="CC619" s="68">
        <v>0</v>
      </c>
      <c r="CD619" s="68">
        <v>0</v>
      </c>
      <c r="CE619" s="68">
        <v>0</v>
      </c>
      <c r="CF619" s="68">
        <v>0</v>
      </c>
      <c r="CG619" s="68">
        <v>1</v>
      </c>
      <c r="CH619" s="68">
        <v>0</v>
      </c>
      <c r="CI619" s="68">
        <v>1</v>
      </c>
      <c r="CJ619" s="68">
        <v>0</v>
      </c>
      <c r="CK619" s="68">
        <v>0</v>
      </c>
      <c r="CL619" s="68">
        <v>0</v>
      </c>
      <c r="CM619" s="68">
        <v>0</v>
      </c>
      <c r="CN619" s="68">
        <v>0</v>
      </c>
      <c r="CO619" s="68">
        <v>0</v>
      </c>
      <c r="CP619" s="68">
        <v>0</v>
      </c>
      <c r="CQ619" s="68">
        <v>1</v>
      </c>
      <c r="CR619" s="68">
        <v>0</v>
      </c>
      <c r="CV619" s="68">
        <v>0</v>
      </c>
      <c r="CW619" s="68">
        <v>0</v>
      </c>
    </row>
    <row r="620" s="69" customFormat="1" customHeight="1" spans="1:101">
      <c r="A620" s="153" t="s">
        <v>921</v>
      </c>
      <c r="B620" s="154" t="s">
        <v>922</v>
      </c>
      <c r="H620" s="70" t="s">
        <v>923</v>
      </c>
      <c r="I620" s="69" t="s">
        <v>924</v>
      </c>
      <c r="J620" s="69">
        <v>300000</v>
      </c>
      <c r="K620" s="69" t="s">
        <v>653</v>
      </c>
      <c r="N620" s="69">
        <v>10</v>
      </c>
      <c r="O620" s="109">
        <v>201303</v>
      </c>
      <c r="P620" s="69" t="s">
        <v>669</v>
      </c>
      <c r="Q620" s="69">
        <v>0</v>
      </c>
      <c r="R620" s="69">
        <v>0</v>
      </c>
      <c r="S620" s="72" t="s">
        <v>925</v>
      </c>
      <c r="T620" s="69" t="s">
        <v>319</v>
      </c>
      <c r="U620" s="69" t="s">
        <v>329</v>
      </c>
      <c r="V620" s="69">
        <v>0</v>
      </c>
      <c r="W620" s="48" t="s">
        <v>926</v>
      </c>
      <c r="X620" s="69" t="s">
        <v>319</v>
      </c>
      <c r="Y620" s="48">
        <v>0</v>
      </c>
      <c r="Z620" s="48">
        <v>0</v>
      </c>
      <c r="AA620" s="48" t="s">
        <v>927</v>
      </c>
      <c r="AB620" s="48" t="s">
        <v>670</v>
      </c>
      <c r="AC620" s="48">
        <v>0</v>
      </c>
      <c r="AD620" s="48">
        <v>0</v>
      </c>
      <c r="AE620" s="161">
        <v>200110</v>
      </c>
      <c r="AF620" s="161">
        <v>230004</v>
      </c>
      <c r="AG620" s="161">
        <v>230005</v>
      </c>
      <c r="AH620" s="74">
        <v>230601</v>
      </c>
      <c r="AI620" s="74">
        <v>230451</v>
      </c>
      <c r="AJ620" s="74">
        <v>230452</v>
      </c>
      <c r="AK620" s="74">
        <v>230453</v>
      </c>
      <c r="AL620" s="109">
        <v>230806</v>
      </c>
      <c r="AM620" s="109">
        <v>230805</v>
      </c>
      <c r="AN620" s="109"/>
      <c r="AO620" s="72"/>
      <c r="AP620" s="48"/>
      <c r="AQ620" s="48"/>
      <c r="AU620" s="164" t="s">
        <v>674</v>
      </c>
      <c r="AV620" s="164">
        <v>1</v>
      </c>
      <c r="AW620" s="164">
        <v>1</v>
      </c>
      <c r="AX620" s="164">
        <v>1</v>
      </c>
      <c r="AY620" s="164" t="s">
        <v>912</v>
      </c>
      <c r="AZ620" s="164">
        <v>1</v>
      </c>
      <c r="BA620" s="164">
        <v>1</v>
      </c>
      <c r="BB620" s="164" t="s">
        <v>654</v>
      </c>
      <c r="BC620" s="164" t="s">
        <v>670</v>
      </c>
      <c r="BD620" s="164"/>
      <c r="BE620" s="164"/>
      <c r="BF620" s="164"/>
      <c r="BG620" s="164"/>
      <c r="BK620" s="164">
        <v>100</v>
      </c>
      <c r="BL620" s="164" t="s">
        <v>806</v>
      </c>
      <c r="BM620" s="164" t="s">
        <v>806</v>
      </c>
      <c r="BN620" s="164" t="s">
        <v>806</v>
      </c>
      <c r="BO620" s="164" t="s">
        <v>806</v>
      </c>
      <c r="BP620" s="164" t="s">
        <v>806</v>
      </c>
      <c r="BQ620" s="164" t="s">
        <v>806</v>
      </c>
      <c r="BR620" s="164">
        <v>100</v>
      </c>
      <c r="BS620" s="164">
        <v>100</v>
      </c>
      <c r="BT620" s="164"/>
      <c r="BU620" s="164"/>
      <c r="BV620" s="164"/>
      <c r="BW620" s="164"/>
      <c r="CA620" s="69" t="s">
        <v>928</v>
      </c>
      <c r="CB620" s="69" t="s">
        <v>928</v>
      </c>
      <c r="CC620" s="69">
        <v>0</v>
      </c>
      <c r="CD620" s="69">
        <v>0</v>
      </c>
      <c r="CE620" s="69">
        <v>0</v>
      </c>
      <c r="CF620" s="170" t="s">
        <v>929</v>
      </c>
      <c r="CG620" s="69">
        <v>1</v>
      </c>
      <c r="CH620" s="69">
        <v>1</v>
      </c>
      <c r="CI620" s="69">
        <v>1</v>
      </c>
      <c r="CJ620" s="69">
        <v>0</v>
      </c>
      <c r="CK620" s="69">
        <v>0</v>
      </c>
      <c r="CL620" s="69">
        <v>0</v>
      </c>
      <c r="CM620" s="69">
        <v>0</v>
      </c>
      <c r="CN620" s="69">
        <v>0</v>
      </c>
      <c r="CO620" s="69">
        <v>0</v>
      </c>
      <c r="CP620" s="69">
        <v>0</v>
      </c>
      <c r="CQ620" s="69">
        <v>0</v>
      </c>
      <c r="CR620" s="69">
        <v>0</v>
      </c>
      <c r="CV620" s="69">
        <v>0</v>
      </c>
      <c r="CW620" s="69">
        <v>0</v>
      </c>
    </row>
    <row r="621" s="70" customFormat="1" customHeight="1" spans="1:101">
      <c r="A621" s="153" t="s">
        <v>930</v>
      </c>
      <c r="B621" s="155" t="s">
        <v>931</v>
      </c>
      <c r="H621" s="70" t="s">
        <v>932</v>
      </c>
      <c r="I621" s="70" t="s">
        <v>924</v>
      </c>
      <c r="J621" s="70">
        <v>300000</v>
      </c>
      <c r="K621" s="70" t="s">
        <v>650</v>
      </c>
      <c r="N621" s="70">
        <v>10</v>
      </c>
      <c r="O621" s="109">
        <v>201303</v>
      </c>
      <c r="P621" s="70" t="s">
        <v>677</v>
      </c>
      <c r="Q621" s="70">
        <v>0</v>
      </c>
      <c r="R621" s="70">
        <v>0</v>
      </c>
      <c r="S621" s="72" t="s">
        <v>933</v>
      </c>
      <c r="T621" s="70" t="s">
        <v>319</v>
      </c>
      <c r="U621" s="70" t="s">
        <v>329</v>
      </c>
      <c r="V621" s="70">
        <v>0</v>
      </c>
      <c r="W621" s="70" t="s">
        <v>934</v>
      </c>
      <c r="X621" s="70" t="s">
        <v>319</v>
      </c>
      <c r="Y621" s="70">
        <v>0</v>
      </c>
      <c r="Z621" s="70">
        <v>0</v>
      </c>
      <c r="AA621" s="48" t="s">
        <v>927</v>
      </c>
      <c r="AB621" s="48" t="s">
        <v>670</v>
      </c>
      <c r="AC621" s="70">
        <v>0</v>
      </c>
      <c r="AD621" s="70">
        <v>0</v>
      </c>
      <c r="AE621" s="161">
        <v>200110</v>
      </c>
      <c r="AF621" s="161">
        <v>230004</v>
      </c>
      <c r="AG621" s="161">
        <v>230005</v>
      </c>
      <c r="AH621" s="74">
        <v>230601</v>
      </c>
      <c r="AI621" s="74">
        <v>230451</v>
      </c>
      <c r="AJ621" s="74">
        <v>230452</v>
      </c>
      <c r="AK621" s="74">
        <v>230453</v>
      </c>
      <c r="AL621" s="109">
        <v>230806</v>
      </c>
      <c r="AM621" s="109">
        <v>230805</v>
      </c>
      <c r="AN621" s="72"/>
      <c r="AU621" s="164" t="s">
        <v>674</v>
      </c>
      <c r="AV621" s="164">
        <v>1</v>
      </c>
      <c r="AW621" s="166">
        <v>1</v>
      </c>
      <c r="AX621" s="166">
        <v>1</v>
      </c>
      <c r="AY621" s="166" t="s">
        <v>912</v>
      </c>
      <c r="AZ621" s="166">
        <v>1</v>
      </c>
      <c r="BA621" s="166">
        <v>1</v>
      </c>
      <c r="BB621" s="166" t="s">
        <v>654</v>
      </c>
      <c r="BC621" s="166" t="s">
        <v>670</v>
      </c>
      <c r="BD621" s="166"/>
      <c r="BE621" s="166"/>
      <c r="BF621" s="166"/>
      <c r="BG621" s="166"/>
      <c r="BK621" s="164">
        <v>100</v>
      </c>
      <c r="BL621" s="164" t="s">
        <v>806</v>
      </c>
      <c r="BM621" s="164" t="s">
        <v>806</v>
      </c>
      <c r="BN621" s="164" t="s">
        <v>806</v>
      </c>
      <c r="BO621" s="164" t="s">
        <v>806</v>
      </c>
      <c r="BP621" s="164" t="s">
        <v>806</v>
      </c>
      <c r="BQ621" s="164" t="s">
        <v>806</v>
      </c>
      <c r="BR621" s="164">
        <v>100</v>
      </c>
      <c r="BS621" s="164">
        <v>100</v>
      </c>
      <c r="BT621" s="166"/>
      <c r="BU621" s="166"/>
      <c r="BV621" s="166"/>
      <c r="BW621" s="166"/>
      <c r="CA621" s="69" t="s">
        <v>928</v>
      </c>
      <c r="CB621" s="69" t="s">
        <v>928</v>
      </c>
      <c r="CC621" s="70">
        <v>0</v>
      </c>
      <c r="CD621" s="70">
        <v>0</v>
      </c>
      <c r="CE621" s="70">
        <v>0</v>
      </c>
      <c r="CF621" s="155">
        <v>201044</v>
      </c>
      <c r="CG621" s="69">
        <v>1</v>
      </c>
      <c r="CH621" s="69">
        <v>1</v>
      </c>
      <c r="CI621" s="70">
        <v>1</v>
      </c>
      <c r="CJ621" s="70">
        <v>0</v>
      </c>
      <c r="CK621" s="70">
        <v>0</v>
      </c>
      <c r="CL621" s="70">
        <v>0</v>
      </c>
      <c r="CM621" s="70">
        <v>0</v>
      </c>
      <c r="CN621" s="70">
        <v>0</v>
      </c>
      <c r="CO621" s="70">
        <v>0</v>
      </c>
      <c r="CP621" s="70">
        <v>0</v>
      </c>
      <c r="CQ621" s="70">
        <v>0</v>
      </c>
      <c r="CR621" s="70">
        <v>0</v>
      </c>
      <c r="CV621" s="70">
        <v>0</v>
      </c>
      <c r="CW621" s="70">
        <v>0</v>
      </c>
    </row>
    <row r="622" s="71" customFormat="1" customHeight="1" spans="1:101">
      <c r="A622" s="71" t="s">
        <v>935</v>
      </c>
      <c r="B622" s="71" t="s">
        <v>936</v>
      </c>
      <c r="H622" s="71" t="s">
        <v>937</v>
      </c>
      <c r="I622" s="71" t="s">
        <v>924</v>
      </c>
      <c r="J622" s="71">
        <v>300000</v>
      </c>
      <c r="K622" s="71" t="s">
        <v>511</v>
      </c>
      <c r="N622" s="71">
        <v>10</v>
      </c>
      <c r="O622" s="74">
        <v>201306</v>
      </c>
      <c r="P622" s="71" t="s">
        <v>670</v>
      </c>
      <c r="Q622" s="71">
        <v>0</v>
      </c>
      <c r="R622" s="71">
        <v>0</v>
      </c>
      <c r="S622" s="71">
        <v>0</v>
      </c>
      <c r="T622" s="71">
        <v>0</v>
      </c>
      <c r="U622" s="71">
        <v>0</v>
      </c>
      <c r="V622" s="71">
        <v>0</v>
      </c>
      <c r="W622" s="71">
        <v>0</v>
      </c>
      <c r="X622" s="71">
        <v>0</v>
      </c>
      <c r="Y622" s="71">
        <v>0</v>
      </c>
      <c r="Z622" s="71">
        <v>0</v>
      </c>
      <c r="AA622" s="71">
        <v>0</v>
      </c>
      <c r="AB622" s="71">
        <v>0</v>
      </c>
      <c r="AC622" s="71">
        <v>0</v>
      </c>
      <c r="AD622" s="71">
        <v>0</v>
      </c>
      <c r="AE622" s="146">
        <v>230517</v>
      </c>
      <c r="AF622" s="146">
        <v>230512</v>
      </c>
      <c r="AG622" s="146">
        <v>201298</v>
      </c>
      <c r="AH622" s="146">
        <v>201299</v>
      </c>
      <c r="AI622" s="146"/>
      <c r="AJ622" s="146"/>
      <c r="AK622" s="146"/>
      <c r="AL622" s="146"/>
      <c r="AM622" s="71"/>
      <c r="AN622" s="71"/>
      <c r="AO622" s="71"/>
      <c r="AP622" s="71"/>
      <c r="AQ622" s="71"/>
      <c r="AR622" s="71"/>
      <c r="AS622" s="71"/>
      <c r="AT622" s="71"/>
      <c r="AU622" s="165" t="s">
        <v>319</v>
      </c>
      <c r="AV622" s="165" t="s">
        <v>319</v>
      </c>
      <c r="AW622" s="165" t="s">
        <v>677</v>
      </c>
      <c r="AX622" s="165" t="s">
        <v>654</v>
      </c>
      <c r="AY622" s="165"/>
      <c r="AZ622" s="165"/>
      <c r="BA622" s="165"/>
      <c r="BB622" s="165"/>
      <c r="BC622" s="165"/>
      <c r="BD622" s="165"/>
      <c r="BE622" s="165"/>
      <c r="BF622" s="165"/>
      <c r="BG622" s="165"/>
      <c r="BK622" s="165" t="s">
        <v>320</v>
      </c>
      <c r="BL622" s="165" t="s">
        <v>320</v>
      </c>
      <c r="BM622" s="165" t="s">
        <v>320</v>
      </c>
      <c r="BN622" s="165" t="s">
        <v>320</v>
      </c>
      <c r="BO622" s="165"/>
      <c r="BP622" s="165"/>
      <c r="BQ622" s="165"/>
      <c r="BR622" s="165"/>
      <c r="BS622" s="165"/>
      <c r="BT622" s="165"/>
      <c r="BU622" s="165"/>
      <c r="BV622" s="165"/>
      <c r="BW622" s="165"/>
      <c r="CA622" s="71" t="s">
        <v>938</v>
      </c>
      <c r="CB622" s="71" t="s">
        <v>938</v>
      </c>
      <c r="CC622" s="71">
        <v>0</v>
      </c>
      <c r="CD622" s="71">
        <v>0</v>
      </c>
      <c r="CE622" s="71">
        <v>0</v>
      </c>
      <c r="CF622" s="71">
        <v>203015</v>
      </c>
      <c r="CG622" s="71">
        <v>1</v>
      </c>
      <c r="CH622" s="71">
        <v>1</v>
      </c>
      <c r="CI622" s="71">
        <v>1</v>
      </c>
      <c r="CJ622" s="71">
        <v>0</v>
      </c>
      <c r="CK622" s="71">
        <v>0</v>
      </c>
      <c r="CL622" s="71">
        <v>0</v>
      </c>
      <c r="CM622" s="71">
        <v>0</v>
      </c>
      <c r="CN622" s="71">
        <v>0</v>
      </c>
      <c r="CO622" s="71">
        <v>0</v>
      </c>
      <c r="CP622" s="71">
        <v>0</v>
      </c>
      <c r="CQ622" s="71">
        <v>0</v>
      </c>
      <c r="CR622" s="71">
        <v>0</v>
      </c>
      <c r="CV622" s="71">
        <v>0</v>
      </c>
      <c r="CW622" s="71">
        <v>0</v>
      </c>
    </row>
    <row r="623" s="71" customFormat="1" customHeight="1" spans="1:101">
      <c r="A623" s="71" t="s">
        <v>939</v>
      </c>
      <c r="B623" s="71" t="s">
        <v>940</v>
      </c>
      <c r="H623" s="71" t="s">
        <v>937</v>
      </c>
      <c r="I623" s="71" t="s">
        <v>924</v>
      </c>
      <c r="J623" s="71">
        <v>300000</v>
      </c>
      <c r="K623" s="71" t="s">
        <v>809</v>
      </c>
      <c r="N623" s="71">
        <v>10</v>
      </c>
      <c r="O623" s="74">
        <v>201306</v>
      </c>
      <c r="P623" s="71" t="s">
        <v>678</v>
      </c>
      <c r="Q623" s="71">
        <v>0</v>
      </c>
      <c r="R623" s="71">
        <v>0</v>
      </c>
      <c r="S623" s="71">
        <v>0</v>
      </c>
      <c r="T623" s="71">
        <v>0</v>
      </c>
      <c r="U623" s="71">
        <v>0</v>
      </c>
      <c r="V623" s="71">
        <v>0</v>
      </c>
      <c r="W623" s="71">
        <v>0</v>
      </c>
      <c r="X623" s="71">
        <v>0</v>
      </c>
      <c r="Y623" s="71">
        <v>0</v>
      </c>
      <c r="Z623" s="71">
        <v>0</v>
      </c>
      <c r="AA623" s="71">
        <v>0</v>
      </c>
      <c r="AB623" s="71">
        <v>0</v>
      </c>
      <c r="AC623" s="71">
        <v>0</v>
      </c>
      <c r="AD623" s="71">
        <v>0</v>
      </c>
      <c r="AE623" s="146">
        <v>230518</v>
      </c>
      <c r="AF623" s="146">
        <v>230512</v>
      </c>
      <c r="AG623" s="146">
        <v>201298</v>
      </c>
      <c r="AH623" s="146">
        <v>201299</v>
      </c>
      <c r="AI623" s="146"/>
      <c r="AJ623" s="146"/>
      <c r="AK623" s="146"/>
      <c r="AL623" s="146"/>
      <c r="AM623" s="71"/>
      <c r="AN623" s="71"/>
      <c r="AO623" s="71"/>
      <c r="AP623" s="71"/>
      <c r="AQ623" s="71"/>
      <c r="AR623" s="71"/>
      <c r="AS623" s="71"/>
      <c r="AT623" s="71"/>
      <c r="AU623" s="165" t="s">
        <v>319</v>
      </c>
      <c r="AV623" s="165" t="s">
        <v>319</v>
      </c>
      <c r="AW623" s="165" t="s">
        <v>810</v>
      </c>
      <c r="AX623" s="165" t="s">
        <v>669</v>
      </c>
      <c r="AY623" s="165"/>
      <c r="AZ623" s="165"/>
      <c r="BA623" s="165"/>
      <c r="BB623" s="165"/>
      <c r="BC623" s="165"/>
      <c r="BD623" s="165"/>
      <c r="BE623" s="165"/>
      <c r="BF623" s="165"/>
      <c r="BG623" s="165"/>
      <c r="BK623" s="165" t="s">
        <v>320</v>
      </c>
      <c r="BL623" s="165" t="s">
        <v>320</v>
      </c>
      <c r="BM623" s="165" t="s">
        <v>320</v>
      </c>
      <c r="BN623" s="165" t="s">
        <v>320</v>
      </c>
      <c r="BO623" s="165"/>
      <c r="BP623" s="165"/>
      <c r="BQ623" s="165"/>
      <c r="BR623" s="165"/>
      <c r="BS623" s="165"/>
      <c r="BT623" s="165"/>
      <c r="BU623" s="165"/>
      <c r="BV623" s="165"/>
      <c r="BW623" s="165"/>
      <c r="CA623" s="71" t="s">
        <v>938</v>
      </c>
      <c r="CB623" s="71" t="s">
        <v>938</v>
      </c>
      <c r="CC623" s="71">
        <v>0</v>
      </c>
      <c r="CD623" s="71">
        <v>0</v>
      </c>
      <c r="CE623" s="71">
        <v>0</v>
      </c>
      <c r="CF623" s="71">
        <v>203016</v>
      </c>
      <c r="CG623" s="71">
        <v>1</v>
      </c>
      <c r="CH623" s="71">
        <v>1</v>
      </c>
      <c r="CI623" s="71">
        <v>1</v>
      </c>
      <c r="CJ623" s="71">
        <v>0</v>
      </c>
      <c r="CK623" s="71">
        <v>0</v>
      </c>
      <c r="CL623" s="71">
        <v>0</v>
      </c>
      <c r="CM623" s="71">
        <v>0</v>
      </c>
      <c r="CN623" s="71">
        <v>0</v>
      </c>
      <c r="CO623" s="71">
        <v>0</v>
      </c>
      <c r="CP623" s="71">
        <v>0</v>
      </c>
      <c r="CQ623" s="71">
        <v>0</v>
      </c>
      <c r="CR623" s="71">
        <v>0</v>
      </c>
      <c r="CV623" s="71">
        <v>0</v>
      </c>
      <c r="CW623" s="71">
        <v>0</v>
      </c>
    </row>
    <row r="624" s="71" customFormat="1" customHeight="1" spans="1:101">
      <c r="A624" s="71" t="s">
        <v>941</v>
      </c>
      <c r="B624" s="71" t="s">
        <v>942</v>
      </c>
      <c r="H624" s="71" t="s">
        <v>943</v>
      </c>
      <c r="I624" s="71" t="s">
        <v>924</v>
      </c>
      <c r="J624" s="71">
        <v>300000</v>
      </c>
      <c r="K624" s="71" t="s">
        <v>809</v>
      </c>
      <c r="N624" s="71">
        <v>10</v>
      </c>
      <c r="O624" s="74">
        <v>201307</v>
      </c>
      <c r="P624" s="71" t="s">
        <v>670</v>
      </c>
      <c r="Q624" s="71">
        <v>0</v>
      </c>
      <c r="R624" s="71">
        <v>0</v>
      </c>
      <c r="S624" s="71">
        <v>0</v>
      </c>
      <c r="T624" s="71">
        <v>0</v>
      </c>
      <c r="U624" s="71">
        <v>0</v>
      </c>
      <c r="V624" s="71">
        <v>0</v>
      </c>
      <c r="W624" s="71">
        <v>0</v>
      </c>
      <c r="X624" s="71">
        <v>0</v>
      </c>
      <c r="Y624" s="71">
        <v>0</v>
      </c>
      <c r="Z624" s="71">
        <v>0</v>
      </c>
      <c r="AA624" s="71">
        <v>0</v>
      </c>
      <c r="AB624" s="71">
        <v>0</v>
      </c>
      <c r="AC624" s="71">
        <v>0</v>
      </c>
      <c r="AD624" s="71">
        <v>0</v>
      </c>
      <c r="AE624" s="146">
        <v>230519</v>
      </c>
      <c r="AF624" s="146">
        <v>230513</v>
      </c>
      <c r="AG624" s="146">
        <v>201300</v>
      </c>
      <c r="AH624" s="146">
        <v>201301</v>
      </c>
      <c r="AI624" s="146"/>
      <c r="AJ624" s="146"/>
      <c r="AK624" s="146"/>
      <c r="AL624" s="146"/>
      <c r="AM624" s="71"/>
      <c r="AN624" s="71"/>
      <c r="AO624" s="71"/>
      <c r="AP624" s="71"/>
      <c r="AQ624" s="71"/>
      <c r="AR624" s="71"/>
      <c r="AS624" s="71"/>
      <c r="AT624" s="71"/>
      <c r="AU624" s="165" t="s">
        <v>319</v>
      </c>
      <c r="AV624" s="165" t="s">
        <v>319</v>
      </c>
      <c r="AW624" s="165" t="s">
        <v>669</v>
      </c>
      <c r="AX624" s="165" t="s">
        <v>654</v>
      </c>
      <c r="AY624" s="165"/>
      <c r="AZ624" s="165"/>
      <c r="BA624" s="165"/>
      <c r="BB624" s="165"/>
      <c r="BC624" s="165"/>
      <c r="BD624" s="165"/>
      <c r="BE624" s="165"/>
      <c r="BF624" s="165"/>
      <c r="BG624" s="165"/>
      <c r="BK624" s="165" t="s">
        <v>320</v>
      </c>
      <c r="BL624" s="165" t="s">
        <v>320</v>
      </c>
      <c r="BM624" s="165" t="s">
        <v>320</v>
      </c>
      <c r="BN624" s="165" t="s">
        <v>320</v>
      </c>
      <c r="BO624" s="165"/>
      <c r="BP624" s="165"/>
      <c r="BQ624" s="165"/>
      <c r="BR624" s="165"/>
      <c r="BS624" s="165"/>
      <c r="BT624" s="165"/>
      <c r="BU624" s="165"/>
      <c r="BV624" s="165"/>
      <c r="BW624" s="165"/>
      <c r="CA624" s="71" t="s">
        <v>938</v>
      </c>
      <c r="CB624" s="71" t="s">
        <v>938</v>
      </c>
      <c r="CC624" s="71">
        <v>0</v>
      </c>
      <c r="CD624" s="71">
        <v>0</v>
      </c>
      <c r="CE624" s="71">
        <v>0</v>
      </c>
      <c r="CF624" s="71">
        <v>203017</v>
      </c>
      <c r="CG624" s="71">
        <v>1</v>
      </c>
      <c r="CH624" s="71">
        <v>1</v>
      </c>
      <c r="CI624" s="71">
        <v>1</v>
      </c>
      <c r="CJ624" s="71">
        <v>0</v>
      </c>
      <c r="CK624" s="71">
        <v>0</v>
      </c>
      <c r="CL624" s="71">
        <v>0</v>
      </c>
      <c r="CM624" s="71">
        <v>0</v>
      </c>
      <c r="CN624" s="71">
        <v>0</v>
      </c>
      <c r="CO624" s="71">
        <v>0</v>
      </c>
      <c r="CP624" s="71">
        <v>0</v>
      </c>
      <c r="CQ624" s="71">
        <v>0</v>
      </c>
      <c r="CR624" s="71">
        <v>0</v>
      </c>
      <c r="CV624" s="71">
        <v>0</v>
      </c>
      <c r="CW624" s="71">
        <v>0</v>
      </c>
    </row>
    <row r="625" s="71" customFormat="1" customHeight="1" spans="1:101">
      <c r="A625" s="71" t="s">
        <v>944</v>
      </c>
      <c r="B625" s="71" t="s">
        <v>945</v>
      </c>
      <c r="H625" s="71" t="s">
        <v>943</v>
      </c>
      <c r="I625" s="71" t="s">
        <v>924</v>
      </c>
      <c r="J625" s="71">
        <v>300000</v>
      </c>
      <c r="K625" s="71" t="s">
        <v>676</v>
      </c>
      <c r="N625" s="71">
        <v>10</v>
      </c>
      <c r="O625" s="74">
        <v>201307</v>
      </c>
      <c r="P625" s="71" t="s">
        <v>678</v>
      </c>
      <c r="Q625" s="71">
        <v>0</v>
      </c>
      <c r="R625" s="71">
        <v>0</v>
      </c>
      <c r="S625" s="71">
        <v>0</v>
      </c>
      <c r="T625" s="71">
        <v>0</v>
      </c>
      <c r="U625" s="71">
        <v>0</v>
      </c>
      <c r="V625" s="71">
        <v>0</v>
      </c>
      <c r="W625" s="71">
        <v>0</v>
      </c>
      <c r="X625" s="71">
        <v>0</v>
      </c>
      <c r="Y625" s="71">
        <v>0</v>
      </c>
      <c r="Z625" s="71">
        <v>0</v>
      </c>
      <c r="AA625" s="71">
        <v>0</v>
      </c>
      <c r="AB625" s="71">
        <v>0</v>
      </c>
      <c r="AC625" s="71">
        <v>0</v>
      </c>
      <c r="AD625" s="71">
        <v>0</v>
      </c>
      <c r="AE625" s="146">
        <v>230520</v>
      </c>
      <c r="AF625" s="146">
        <v>230513</v>
      </c>
      <c r="AG625" s="146">
        <v>201300</v>
      </c>
      <c r="AH625" s="146">
        <v>201301</v>
      </c>
      <c r="AI625" s="146"/>
      <c r="AJ625" s="146"/>
      <c r="AK625" s="146"/>
      <c r="AL625" s="146"/>
      <c r="AM625" s="71"/>
      <c r="AN625" s="71"/>
      <c r="AO625" s="71"/>
      <c r="AP625" s="71"/>
      <c r="AQ625" s="71"/>
      <c r="AR625" s="71"/>
      <c r="AS625" s="71"/>
      <c r="AT625" s="71"/>
      <c r="AU625" s="165" t="s">
        <v>319</v>
      </c>
      <c r="AV625" s="165" t="s">
        <v>319</v>
      </c>
      <c r="AW625" s="165" t="s">
        <v>673</v>
      </c>
      <c r="AX625" s="165" t="s">
        <v>669</v>
      </c>
      <c r="AY625" s="165"/>
      <c r="AZ625" s="165"/>
      <c r="BA625" s="165"/>
      <c r="BB625" s="165"/>
      <c r="BC625" s="165"/>
      <c r="BD625" s="165"/>
      <c r="BE625" s="165"/>
      <c r="BF625" s="165"/>
      <c r="BG625" s="165"/>
      <c r="BK625" s="165" t="s">
        <v>320</v>
      </c>
      <c r="BL625" s="165" t="s">
        <v>320</v>
      </c>
      <c r="BM625" s="165" t="s">
        <v>320</v>
      </c>
      <c r="BN625" s="165" t="s">
        <v>320</v>
      </c>
      <c r="BO625" s="165"/>
      <c r="BP625" s="165"/>
      <c r="BQ625" s="165"/>
      <c r="BR625" s="165"/>
      <c r="BS625" s="165"/>
      <c r="BT625" s="165"/>
      <c r="BU625" s="165"/>
      <c r="BV625" s="165"/>
      <c r="BW625" s="165"/>
      <c r="CA625" s="71" t="s">
        <v>938</v>
      </c>
      <c r="CB625" s="71" t="s">
        <v>938</v>
      </c>
      <c r="CC625" s="71">
        <v>0</v>
      </c>
      <c r="CD625" s="71">
        <v>0</v>
      </c>
      <c r="CE625" s="71">
        <v>0</v>
      </c>
      <c r="CF625" s="71">
        <v>203018</v>
      </c>
      <c r="CG625" s="71">
        <v>1</v>
      </c>
      <c r="CH625" s="71">
        <v>1</v>
      </c>
      <c r="CI625" s="71">
        <v>1</v>
      </c>
      <c r="CJ625" s="71">
        <v>0</v>
      </c>
      <c r="CK625" s="71">
        <v>0</v>
      </c>
      <c r="CL625" s="71">
        <v>0</v>
      </c>
      <c r="CM625" s="71">
        <v>0</v>
      </c>
      <c r="CN625" s="71">
        <v>0</v>
      </c>
      <c r="CO625" s="71">
        <v>0</v>
      </c>
      <c r="CP625" s="71">
        <v>0</v>
      </c>
      <c r="CQ625" s="71">
        <v>0</v>
      </c>
      <c r="CR625" s="71">
        <v>0</v>
      </c>
      <c r="CV625" s="71">
        <v>0</v>
      </c>
      <c r="CW625" s="71">
        <v>0</v>
      </c>
    </row>
    <row r="626" s="71" customFormat="1" customHeight="1" spans="1:101">
      <c r="A626" s="71" t="s">
        <v>946</v>
      </c>
      <c r="B626" s="71" t="s">
        <v>947</v>
      </c>
      <c r="H626" s="71" t="s">
        <v>948</v>
      </c>
      <c r="I626" s="71" t="s">
        <v>924</v>
      </c>
      <c r="J626" s="71">
        <v>300000</v>
      </c>
      <c r="K626" s="71" t="s">
        <v>676</v>
      </c>
      <c r="N626" s="71">
        <v>10</v>
      </c>
      <c r="O626" s="74">
        <v>201308</v>
      </c>
      <c r="P626" s="71" t="s">
        <v>670</v>
      </c>
      <c r="Q626" s="71">
        <v>0</v>
      </c>
      <c r="R626" s="71">
        <v>0</v>
      </c>
      <c r="S626" s="71">
        <v>0</v>
      </c>
      <c r="T626" s="71">
        <v>0</v>
      </c>
      <c r="U626" s="71">
        <v>0</v>
      </c>
      <c r="V626" s="71">
        <v>0</v>
      </c>
      <c r="W626" s="71">
        <v>0</v>
      </c>
      <c r="X626" s="71">
        <v>0</v>
      </c>
      <c r="Y626" s="71">
        <v>0</v>
      </c>
      <c r="Z626" s="71">
        <v>0</v>
      </c>
      <c r="AA626" s="71">
        <v>0</v>
      </c>
      <c r="AB626" s="71">
        <v>0</v>
      </c>
      <c r="AC626" s="71">
        <v>0</v>
      </c>
      <c r="AD626" s="71">
        <v>0</v>
      </c>
      <c r="AE626" s="146">
        <v>230521</v>
      </c>
      <c r="AF626" s="146">
        <v>230514</v>
      </c>
      <c r="AG626" s="146">
        <v>201301</v>
      </c>
      <c r="AH626" s="146">
        <v>201302</v>
      </c>
      <c r="AI626" s="146"/>
      <c r="AJ626" s="146"/>
      <c r="AK626" s="146"/>
      <c r="AL626" s="146"/>
      <c r="AM626" s="71"/>
      <c r="AN626" s="71"/>
      <c r="AO626" s="71"/>
      <c r="AP626" s="71"/>
      <c r="AQ626" s="71"/>
      <c r="AR626" s="71"/>
      <c r="AS626" s="71"/>
      <c r="AT626" s="71"/>
      <c r="AU626" s="165" t="s">
        <v>319</v>
      </c>
      <c r="AV626" s="165" t="s">
        <v>319</v>
      </c>
      <c r="AW626" s="165" t="s">
        <v>669</v>
      </c>
      <c r="AX626" s="165" t="s">
        <v>654</v>
      </c>
      <c r="AY626" s="165"/>
      <c r="AZ626" s="165"/>
      <c r="BA626" s="165"/>
      <c r="BB626" s="165"/>
      <c r="BC626" s="165"/>
      <c r="BD626" s="165"/>
      <c r="BE626" s="165"/>
      <c r="BF626" s="165"/>
      <c r="BG626" s="165"/>
      <c r="BK626" s="165" t="s">
        <v>320</v>
      </c>
      <c r="BL626" s="165" t="s">
        <v>320</v>
      </c>
      <c r="BM626" s="165" t="s">
        <v>320</v>
      </c>
      <c r="BN626" s="165" t="s">
        <v>320</v>
      </c>
      <c r="BO626" s="165"/>
      <c r="BP626" s="165"/>
      <c r="BQ626" s="165"/>
      <c r="BR626" s="165"/>
      <c r="BS626" s="165"/>
      <c r="BT626" s="165"/>
      <c r="BU626" s="165"/>
      <c r="BV626" s="165"/>
      <c r="BW626" s="165"/>
      <c r="CA626" s="71" t="s">
        <v>938</v>
      </c>
      <c r="CB626" s="71" t="s">
        <v>938</v>
      </c>
      <c r="CC626" s="71">
        <v>0</v>
      </c>
      <c r="CD626" s="71">
        <v>0</v>
      </c>
      <c r="CE626" s="71">
        <v>0</v>
      </c>
      <c r="CF626" s="71">
        <v>203019</v>
      </c>
      <c r="CG626" s="71">
        <v>1</v>
      </c>
      <c r="CH626" s="71">
        <v>1</v>
      </c>
      <c r="CI626" s="71">
        <v>1</v>
      </c>
      <c r="CJ626" s="71">
        <v>0</v>
      </c>
      <c r="CK626" s="71">
        <v>0</v>
      </c>
      <c r="CL626" s="71">
        <v>0</v>
      </c>
      <c r="CM626" s="71">
        <v>0</v>
      </c>
      <c r="CN626" s="71">
        <v>0</v>
      </c>
      <c r="CO626" s="71">
        <v>0</v>
      </c>
      <c r="CP626" s="71">
        <v>0</v>
      </c>
      <c r="CQ626" s="71">
        <v>0</v>
      </c>
      <c r="CR626" s="71">
        <v>0</v>
      </c>
      <c r="CV626" s="71">
        <v>0</v>
      </c>
      <c r="CW626" s="71">
        <v>0</v>
      </c>
    </row>
    <row r="627" s="71" customFormat="1" customHeight="1" spans="1:101">
      <c r="A627" s="71" t="s">
        <v>949</v>
      </c>
      <c r="B627" s="71" t="s">
        <v>950</v>
      </c>
      <c r="H627" s="71" t="s">
        <v>948</v>
      </c>
      <c r="I627" s="71" t="s">
        <v>924</v>
      </c>
      <c r="J627" s="71">
        <v>300000</v>
      </c>
      <c r="K627" s="71" t="s">
        <v>819</v>
      </c>
      <c r="N627" s="71">
        <v>10</v>
      </c>
      <c r="O627" s="74">
        <v>201308</v>
      </c>
      <c r="P627" s="71" t="s">
        <v>678</v>
      </c>
      <c r="Q627" s="71">
        <v>0</v>
      </c>
      <c r="R627" s="71">
        <v>0</v>
      </c>
      <c r="S627" s="71">
        <v>0</v>
      </c>
      <c r="T627" s="71">
        <v>0</v>
      </c>
      <c r="U627" s="71">
        <v>0</v>
      </c>
      <c r="V627" s="71">
        <v>0</v>
      </c>
      <c r="W627" s="71">
        <v>0</v>
      </c>
      <c r="X627" s="71">
        <v>0</v>
      </c>
      <c r="Y627" s="71">
        <v>0</v>
      </c>
      <c r="Z627" s="71">
        <v>0</v>
      </c>
      <c r="AA627" s="71">
        <v>0</v>
      </c>
      <c r="AB627" s="71">
        <v>0</v>
      </c>
      <c r="AC627" s="71">
        <v>0</v>
      </c>
      <c r="AD627" s="71">
        <v>0</v>
      </c>
      <c r="AE627" s="146">
        <v>230522</v>
      </c>
      <c r="AF627" s="146">
        <v>230514</v>
      </c>
      <c r="AG627" s="146">
        <v>201301</v>
      </c>
      <c r="AH627" s="146">
        <v>201302</v>
      </c>
      <c r="AI627" s="146"/>
      <c r="AJ627" s="146"/>
      <c r="AK627" s="146"/>
      <c r="AL627" s="146"/>
      <c r="AM627" s="71"/>
      <c r="AN627" s="71"/>
      <c r="AO627" s="71"/>
      <c r="AP627" s="71"/>
      <c r="AQ627" s="71"/>
      <c r="AR627" s="71"/>
      <c r="AS627" s="71"/>
      <c r="AT627" s="71"/>
      <c r="AU627" s="165" t="s">
        <v>319</v>
      </c>
      <c r="AV627" s="165" t="s">
        <v>319</v>
      </c>
      <c r="AW627" s="165" t="s">
        <v>673</v>
      </c>
      <c r="AX627" s="165" t="s">
        <v>669</v>
      </c>
      <c r="AY627" s="165"/>
      <c r="AZ627" s="165"/>
      <c r="BA627" s="165"/>
      <c r="BB627" s="165"/>
      <c r="BC627" s="165"/>
      <c r="BD627" s="165"/>
      <c r="BE627" s="165"/>
      <c r="BF627" s="165"/>
      <c r="BG627" s="165"/>
      <c r="BK627" s="165" t="s">
        <v>320</v>
      </c>
      <c r="BL627" s="165" t="s">
        <v>320</v>
      </c>
      <c r="BM627" s="165" t="s">
        <v>320</v>
      </c>
      <c r="BN627" s="165" t="s">
        <v>320</v>
      </c>
      <c r="BO627" s="165"/>
      <c r="BP627" s="165"/>
      <c r="BQ627" s="165"/>
      <c r="BR627" s="165"/>
      <c r="BS627" s="165"/>
      <c r="BT627" s="165"/>
      <c r="BU627" s="165"/>
      <c r="BV627" s="165"/>
      <c r="BW627" s="165"/>
      <c r="CA627" s="71" t="s">
        <v>938</v>
      </c>
      <c r="CB627" s="71" t="s">
        <v>938</v>
      </c>
      <c r="CC627" s="71">
        <v>0</v>
      </c>
      <c r="CD627" s="71">
        <v>0</v>
      </c>
      <c r="CE627" s="71">
        <v>0</v>
      </c>
      <c r="CF627" s="71">
        <v>203020</v>
      </c>
      <c r="CG627" s="71">
        <v>1</v>
      </c>
      <c r="CH627" s="71">
        <v>1</v>
      </c>
      <c r="CI627" s="71">
        <v>1</v>
      </c>
      <c r="CJ627" s="71">
        <v>0</v>
      </c>
      <c r="CK627" s="71">
        <v>0</v>
      </c>
      <c r="CL627" s="71">
        <v>0</v>
      </c>
      <c r="CM627" s="71">
        <v>0</v>
      </c>
      <c r="CN627" s="71">
        <v>0</v>
      </c>
      <c r="CO627" s="71">
        <v>0</v>
      </c>
      <c r="CP627" s="71">
        <v>0</v>
      </c>
      <c r="CQ627" s="71">
        <v>0</v>
      </c>
      <c r="CR627" s="71">
        <v>0</v>
      </c>
      <c r="CV627" s="71">
        <v>0</v>
      </c>
      <c r="CW627" s="71">
        <v>0</v>
      </c>
    </row>
    <row r="628" s="71" customFormat="1" customHeight="1" spans="1:101">
      <c r="A628" s="71" t="s">
        <v>951</v>
      </c>
      <c r="B628" s="71" t="s">
        <v>952</v>
      </c>
      <c r="H628" s="71" t="s">
        <v>953</v>
      </c>
      <c r="I628" s="71" t="s">
        <v>924</v>
      </c>
      <c r="J628" s="71">
        <v>300000</v>
      </c>
      <c r="K628" s="71" t="s">
        <v>819</v>
      </c>
      <c r="N628" s="71">
        <v>10</v>
      </c>
      <c r="O628" s="74">
        <v>201309</v>
      </c>
      <c r="P628" s="71" t="s">
        <v>670</v>
      </c>
      <c r="Q628" s="71">
        <v>0</v>
      </c>
      <c r="R628" s="71">
        <v>0</v>
      </c>
      <c r="S628" s="71">
        <v>0</v>
      </c>
      <c r="T628" s="71">
        <v>0</v>
      </c>
      <c r="U628" s="71">
        <v>0</v>
      </c>
      <c r="V628" s="71">
        <v>0</v>
      </c>
      <c r="W628" s="71">
        <v>0</v>
      </c>
      <c r="X628" s="71">
        <v>0</v>
      </c>
      <c r="Y628" s="71">
        <v>0</v>
      </c>
      <c r="Z628" s="71">
        <v>0</v>
      </c>
      <c r="AA628" s="71">
        <v>0</v>
      </c>
      <c r="AB628" s="71">
        <v>0</v>
      </c>
      <c r="AC628" s="71">
        <v>0</v>
      </c>
      <c r="AD628" s="71">
        <v>0</v>
      </c>
      <c r="AE628" s="146">
        <v>230523</v>
      </c>
      <c r="AF628" s="146">
        <v>230515</v>
      </c>
      <c r="AG628" s="146">
        <v>201302</v>
      </c>
      <c r="AH628" s="146">
        <v>201303</v>
      </c>
      <c r="AI628" s="146">
        <v>230001</v>
      </c>
      <c r="AJ628" s="146"/>
      <c r="AK628" s="146"/>
      <c r="AL628" s="146"/>
      <c r="AM628" s="71"/>
      <c r="AN628" s="71"/>
      <c r="AO628" s="71"/>
      <c r="AP628" s="71"/>
      <c r="AQ628" s="71"/>
      <c r="AR628" s="71"/>
      <c r="AS628" s="71"/>
      <c r="AT628" s="71"/>
      <c r="AU628" s="165" t="s">
        <v>319</v>
      </c>
      <c r="AV628" s="165" t="s">
        <v>319</v>
      </c>
      <c r="AW628" s="165" t="s">
        <v>654</v>
      </c>
      <c r="AX628" s="165" t="s">
        <v>319</v>
      </c>
      <c r="AY628" s="165" t="s">
        <v>319</v>
      </c>
      <c r="AZ628" s="165"/>
      <c r="BA628" s="165"/>
      <c r="BB628" s="165"/>
      <c r="BC628" s="165"/>
      <c r="BD628" s="165"/>
      <c r="BE628" s="165"/>
      <c r="BF628" s="165"/>
      <c r="BG628" s="165"/>
      <c r="BK628" s="165" t="s">
        <v>320</v>
      </c>
      <c r="BL628" s="165" t="s">
        <v>320</v>
      </c>
      <c r="BM628" s="165" t="s">
        <v>320</v>
      </c>
      <c r="BN628" s="165" t="s">
        <v>320</v>
      </c>
      <c r="BO628" s="165" t="s">
        <v>322</v>
      </c>
      <c r="BP628" s="165"/>
      <c r="BQ628" s="165"/>
      <c r="BR628" s="165"/>
      <c r="BS628" s="165"/>
      <c r="BT628" s="165"/>
      <c r="BU628" s="165"/>
      <c r="BV628" s="165"/>
      <c r="BW628" s="165"/>
      <c r="CA628" s="71" t="s">
        <v>954</v>
      </c>
      <c r="CB628" s="71" t="s">
        <v>954</v>
      </c>
      <c r="CC628" s="71">
        <v>0</v>
      </c>
      <c r="CD628" s="71">
        <v>0</v>
      </c>
      <c r="CE628" s="71">
        <v>0</v>
      </c>
      <c r="CF628" s="71">
        <v>203021</v>
      </c>
      <c r="CG628" s="71">
        <v>1</v>
      </c>
      <c r="CH628" s="71">
        <v>1</v>
      </c>
      <c r="CI628" s="71">
        <v>1</v>
      </c>
      <c r="CJ628" s="71">
        <v>0</v>
      </c>
      <c r="CK628" s="71">
        <v>0</v>
      </c>
      <c r="CL628" s="71">
        <v>0</v>
      </c>
      <c r="CM628" s="71">
        <v>0</v>
      </c>
      <c r="CN628" s="71">
        <v>0</v>
      </c>
      <c r="CO628" s="71">
        <v>0</v>
      </c>
      <c r="CP628" s="71">
        <v>0</v>
      </c>
      <c r="CQ628" s="71">
        <v>0</v>
      </c>
      <c r="CR628" s="71">
        <v>0</v>
      </c>
      <c r="CV628" s="71">
        <v>0</v>
      </c>
      <c r="CW628" s="71">
        <v>0</v>
      </c>
    </row>
    <row r="629" s="71" customFormat="1" customHeight="1" spans="1:101">
      <c r="A629" s="71" t="s">
        <v>955</v>
      </c>
      <c r="B629" s="71" t="s">
        <v>956</v>
      </c>
      <c r="H629" s="71" t="s">
        <v>953</v>
      </c>
      <c r="I629" s="71" t="s">
        <v>924</v>
      </c>
      <c r="J629" s="71">
        <v>300000</v>
      </c>
      <c r="K629" s="71" t="s">
        <v>957</v>
      </c>
      <c r="N629" s="71">
        <v>10</v>
      </c>
      <c r="O629" s="74">
        <v>201309</v>
      </c>
      <c r="P629" s="71" t="s">
        <v>678</v>
      </c>
      <c r="Q629" s="71">
        <v>0</v>
      </c>
      <c r="R629" s="71">
        <v>0</v>
      </c>
      <c r="S629" s="71">
        <v>0</v>
      </c>
      <c r="T629" s="71">
        <v>0</v>
      </c>
      <c r="U629" s="71">
        <v>0</v>
      </c>
      <c r="V629" s="71">
        <v>0</v>
      </c>
      <c r="W629" s="71">
        <v>0</v>
      </c>
      <c r="X629" s="71">
        <v>0</v>
      </c>
      <c r="Y629" s="71">
        <v>0</v>
      </c>
      <c r="Z629" s="71">
        <v>0</v>
      </c>
      <c r="AA629" s="71">
        <v>0</v>
      </c>
      <c r="AB629" s="71">
        <v>0</v>
      </c>
      <c r="AC629" s="71">
        <v>0</v>
      </c>
      <c r="AD629" s="71">
        <v>0</v>
      </c>
      <c r="AE629" s="146">
        <v>230524</v>
      </c>
      <c r="AF629" s="146">
        <v>230515</v>
      </c>
      <c r="AG629" s="146">
        <v>201302</v>
      </c>
      <c r="AH629" s="146">
        <v>201303</v>
      </c>
      <c r="AI629" s="146">
        <v>230001</v>
      </c>
      <c r="AJ629" s="146">
        <v>230002</v>
      </c>
      <c r="AK629" s="146"/>
      <c r="AL629" s="146"/>
      <c r="AM629" s="71"/>
      <c r="AN629" s="71"/>
      <c r="AO629" s="71"/>
      <c r="AP629" s="71"/>
      <c r="AQ629" s="71"/>
      <c r="AR629" s="71"/>
      <c r="AS629" s="71"/>
      <c r="AT629" s="71"/>
      <c r="AU629" s="165" t="s">
        <v>319</v>
      </c>
      <c r="AV629" s="165" t="s">
        <v>319</v>
      </c>
      <c r="AW629" s="165" t="s">
        <v>669</v>
      </c>
      <c r="AX629" s="165" t="s">
        <v>654</v>
      </c>
      <c r="AY629" s="165" t="s">
        <v>319</v>
      </c>
      <c r="AZ629" s="165" t="s">
        <v>319</v>
      </c>
      <c r="BA629" s="165"/>
      <c r="BB629" s="165"/>
      <c r="BC629" s="165"/>
      <c r="BD629" s="165"/>
      <c r="BE629" s="165"/>
      <c r="BF629" s="165"/>
      <c r="BG629" s="165"/>
      <c r="BK629" s="165" t="s">
        <v>320</v>
      </c>
      <c r="BL629" s="165" t="s">
        <v>320</v>
      </c>
      <c r="BM629" s="165" t="s">
        <v>320</v>
      </c>
      <c r="BN629" s="165" t="s">
        <v>320</v>
      </c>
      <c r="BO629" s="165" t="s">
        <v>322</v>
      </c>
      <c r="BP629" s="165" t="s">
        <v>662</v>
      </c>
      <c r="BQ629" s="165"/>
      <c r="BR629" s="165"/>
      <c r="BS629" s="165"/>
      <c r="BT629" s="165"/>
      <c r="BU629" s="165"/>
      <c r="BV629" s="165"/>
      <c r="BW629" s="165"/>
      <c r="CA629" s="71" t="s">
        <v>958</v>
      </c>
      <c r="CB629" s="71" t="s">
        <v>958</v>
      </c>
      <c r="CC629" s="71">
        <v>0</v>
      </c>
      <c r="CD629" s="71">
        <v>0</v>
      </c>
      <c r="CE629" s="71">
        <v>0</v>
      </c>
      <c r="CF629" s="71">
        <v>203022</v>
      </c>
      <c r="CG629" s="71">
        <v>1</v>
      </c>
      <c r="CH629" s="71">
        <v>1</v>
      </c>
      <c r="CI629" s="71">
        <v>1</v>
      </c>
      <c r="CJ629" s="71">
        <v>0</v>
      </c>
      <c r="CK629" s="71">
        <v>0</v>
      </c>
      <c r="CL629" s="71">
        <v>0</v>
      </c>
      <c r="CM629" s="71">
        <v>0</v>
      </c>
      <c r="CN629" s="71">
        <v>0</v>
      </c>
      <c r="CO629" s="71">
        <v>0</v>
      </c>
      <c r="CP629" s="71">
        <v>0</v>
      </c>
      <c r="CQ629" s="71">
        <v>0</v>
      </c>
      <c r="CR629" s="71">
        <v>0</v>
      </c>
      <c r="CV629" s="71">
        <v>0</v>
      </c>
      <c r="CW629" s="71">
        <v>0</v>
      </c>
    </row>
    <row r="630" s="71" customFormat="1" customHeight="1" spans="1:101">
      <c r="A630" s="71" t="s">
        <v>959</v>
      </c>
      <c r="B630" s="71" t="s">
        <v>960</v>
      </c>
      <c r="H630" s="71" t="s">
        <v>847</v>
      </c>
      <c r="I630" s="71" t="s">
        <v>924</v>
      </c>
      <c r="J630" s="71">
        <v>300000</v>
      </c>
      <c r="K630" s="71" t="s">
        <v>821</v>
      </c>
      <c r="N630" s="71">
        <v>10</v>
      </c>
      <c r="O630" s="74">
        <v>201310</v>
      </c>
      <c r="P630" s="71" t="s">
        <v>670</v>
      </c>
      <c r="Q630" s="71">
        <v>0</v>
      </c>
      <c r="R630" s="71">
        <v>0</v>
      </c>
      <c r="S630" s="71">
        <v>0</v>
      </c>
      <c r="T630" s="71">
        <v>0</v>
      </c>
      <c r="U630" s="71">
        <v>0</v>
      </c>
      <c r="V630" s="71">
        <v>0</v>
      </c>
      <c r="W630" s="71">
        <v>0</v>
      </c>
      <c r="X630" s="71">
        <v>0</v>
      </c>
      <c r="Y630" s="71">
        <v>0</v>
      </c>
      <c r="Z630" s="71">
        <v>0</v>
      </c>
      <c r="AA630" s="71">
        <v>0</v>
      </c>
      <c r="AB630" s="71">
        <v>0</v>
      </c>
      <c r="AC630" s="71">
        <v>0</v>
      </c>
      <c r="AD630" s="71">
        <v>0</v>
      </c>
      <c r="AE630" s="146">
        <v>230525</v>
      </c>
      <c r="AF630" s="146">
        <v>230516</v>
      </c>
      <c r="AG630" s="146">
        <v>201303</v>
      </c>
      <c r="AH630" s="146">
        <v>230001</v>
      </c>
      <c r="AI630" s="146">
        <v>230002</v>
      </c>
      <c r="AJ630" s="146">
        <v>230003</v>
      </c>
      <c r="AK630" s="146"/>
      <c r="AL630" s="146"/>
      <c r="AM630" s="71"/>
      <c r="AN630" s="71"/>
      <c r="AO630" s="71"/>
      <c r="AP630" s="71"/>
      <c r="AQ630" s="71"/>
      <c r="AR630" s="71"/>
      <c r="AS630" s="71"/>
      <c r="AT630" s="71"/>
      <c r="AU630" s="165" t="s">
        <v>319</v>
      </c>
      <c r="AV630" s="165" t="s">
        <v>319</v>
      </c>
      <c r="AW630" s="165" t="s">
        <v>654</v>
      </c>
      <c r="AX630" s="165" t="s">
        <v>319</v>
      </c>
      <c r="AY630" s="165" t="s">
        <v>319</v>
      </c>
      <c r="AZ630" s="165" t="s">
        <v>319</v>
      </c>
      <c r="BA630" s="165"/>
      <c r="BB630" s="165"/>
      <c r="BC630" s="165"/>
      <c r="BD630" s="165"/>
      <c r="BE630" s="165"/>
      <c r="BF630" s="165"/>
      <c r="BG630" s="165"/>
      <c r="BK630" s="165" t="s">
        <v>320</v>
      </c>
      <c r="BL630" s="165" t="s">
        <v>320</v>
      </c>
      <c r="BM630" s="165" t="s">
        <v>320</v>
      </c>
      <c r="BN630" s="165" t="s">
        <v>322</v>
      </c>
      <c r="BO630" s="165" t="s">
        <v>662</v>
      </c>
      <c r="BP630" s="165" t="s">
        <v>678</v>
      </c>
      <c r="BQ630" s="165"/>
      <c r="BR630" s="165"/>
      <c r="BS630" s="165"/>
      <c r="BT630" s="165"/>
      <c r="BU630" s="165"/>
      <c r="BV630" s="165"/>
      <c r="BW630" s="165"/>
      <c r="CA630" s="71" t="s">
        <v>938</v>
      </c>
      <c r="CB630" s="71" t="s">
        <v>938</v>
      </c>
      <c r="CC630" s="71">
        <v>0</v>
      </c>
      <c r="CD630" s="71">
        <v>0</v>
      </c>
      <c r="CE630" s="71">
        <v>0</v>
      </c>
      <c r="CF630" s="71">
        <v>203023</v>
      </c>
      <c r="CG630" s="71">
        <v>1</v>
      </c>
      <c r="CH630" s="71">
        <v>1</v>
      </c>
      <c r="CI630" s="71">
        <v>1</v>
      </c>
      <c r="CJ630" s="71">
        <v>0</v>
      </c>
      <c r="CK630" s="71">
        <v>0</v>
      </c>
      <c r="CL630" s="71">
        <v>0</v>
      </c>
      <c r="CM630" s="71">
        <v>0</v>
      </c>
      <c r="CN630" s="71">
        <v>0</v>
      </c>
      <c r="CO630" s="71">
        <v>0</v>
      </c>
      <c r="CP630" s="71">
        <v>0</v>
      </c>
      <c r="CQ630" s="71">
        <v>0</v>
      </c>
      <c r="CR630" s="71">
        <v>0</v>
      </c>
      <c r="CV630" s="71">
        <v>0</v>
      </c>
      <c r="CW630" s="71">
        <v>0</v>
      </c>
    </row>
    <row r="631" s="71" customFormat="1" customHeight="1" spans="1:101">
      <c r="A631" s="71" t="s">
        <v>961</v>
      </c>
      <c r="B631" s="71" t="s">
        <v>962</v>
      </c>
      <c r="H631" s="71" t="s">
        <v>847</v>
      </c>
      <c r="I631" s="71" t="s">
        <v>924</v>
      </c>
      <c r="J631" s="71">
        <v>300000</v>
      </c>
      <c r="K631" s="71" t="s">
        <v>963</v>
      </c>
      <c r="N631" s="71">
        <v>10</v>
      </c>
      <c r="O631" s="74">
        <v>201310</v>
      </c>
      <c r="P631" s="71" t="s">
        <v>678</v>
      </c>
      <c r="Q631" s="71">
        <v>0</v>
      </c>
      <c r="R631" s="71">
        <v>0</v>
      </c>
      <c r="S631" s="71">
        <v>0</v>
      </c>
      <c r="T631" s="71">
        <v>0</v>
      </c>
      <c r="U631" s="71">
        <v>0</v>
      </c>
      <c r="V631" s="71">
        <v>0</v>
      </c>
      <c r="W631" s="71">
        <v>0</v>
      </c>
      <c r="X631" s="71">
        <v>0</v>
      </c>
      <c r="Y631" s="71">
        <v>0</v>
      </c>
      <c r="Z631" s="71">
        <v>0</v>
      </c>
      <c r="AA631" s="71">
        <v>0</v>
      </c>
      <c r="AB631" s="71">
        <v>0</v>
      </c>
      <c r="AC631" s="71">
        <v>0</v>
      </c>
      <c r="AD631" s="71">
        <v>0</v>
      </c>
      <c r="AE631" s="146">
        <v>230526</v>
      </c>
      <c r="AF631" s="146">
        <v>230516</v>
      </c>
      <c r="AG631" s="146">
        <v>201303</v>
      </c>
      <c r="AH631" s="146">
        <v>230002</v>
      </c>
      <c r="AI631" s="146">
        <v>230003</v>
      </c>
      <c r="AJ631" s="146"/>
      <c r="AK631" s="146"/>
      <c r="AL631" s="146"/>
      <c r="AM631" s="71"/>
      <c r="AN631" s="71"/>
      <c r="AO631" s="71"/>
      <c r="AP631" s="71"/>
      <c r="AQ631" s="71"/>
      <c r="AR631" s="71"/>
      <c r="AS631" s="71"/>
      <c r="AT631" s="71"/>
      <c r="AU631" s="165" t="s">
        <v>319</v>
      </c>
      <c r="AV631" s="165" t="s">
        <v>319</v>
      </c>
      <c r="AW631" s="165" t="s">
        <v>669</v>
      </c>
      <c r="AX631" s="165" t="s">
        <v>319</v>
      </c>
      <c r="AY631" s="165" t="s">
        <v>319</v>
      </c>
      <c r="AZ631" s="165"/>
      <c r="BA631" s="165"/>
      <c r="BB631" s="165"/>
      <c r="BC631" s="165"/>
      <c r="BD631" s="165"/>
      <c r="BE631" s="165"/>
      <c r="BF631" s="165"/>
      <c r="BG631" s="165"/>
      <c r="BK631" s="165" t="s">
        <v>320</v>
      </c>
      <c r="BL631" s="165" t="s">
        <v>320</v>
      </c>
      <c r="BM631" s="165" t="s">
        <v>320</v>
      </c>
      <c r="BN631" s="165" t="s">
        <v>662</v>
      </c>
      <c r="BO631" s="165" t="s">
        <v>678</v>
      </c>
      <c r="BP631" s="165"/>
      <c r="BQ631" s="165"/>
      <c r="BR631" s="165"/>
      <c r="BS631" s="165"/>
      <c r="BT631" s="165"/>
      <c r="BU631" s="165"/>
      <c r="BV631" s="165"/>
      <c r="BW631" s="165"/>
      <c r="CA631" s="71" t="s">
        <v>964</v>
      </c>
      <c r="CB631" s="71" t="s">
        <v>964</v>
      </c>
      <c r="CC631" s="71">
        <v>0</v>
      </c>
      <c r="CD631" s="71">
        <v>0</v>
      </c>
      <c r="CE631" s="71">
        <v>0</v>
      </c>
      <c r="CF631" s="71">
        <v>203024</v>
      </c>
      <c r="CG631" s="71">
        <v>1</v>
      </c>
      <c r="CH631" s="71">
        <v>1</v>
      </c>
      <c r="CI631" s="71">
        <v>1</v>
      </c>
      <c r="CJ631" s="71">
        <v>0</v>
      </c>
      <c r="CK631" s="71">
        <v>0</v>
      </c>
      <c r="CL631" s="71">
        <v>0</v>
      </c>
      <c r="CM631" s="71">
        <v>0</v>
      </c>
      <c r="CN631" s="71">
        <v>0</v>
      </c>
      <c r="CO631" s="71">
        <v>0</v>
      </c>
      <c r="CP631" s="71">
        <v>0</v>
      </c>
      <c r="CQ631" s="71">
        <v>0</v>
      </c>
      <c r="CR631" s="71">
        <v>0</v>
      </c>
      <c r="CV631" s="71">
        <v>0</v>
      </c>
      <c r="CW631" s="71">
        <v>0</v>
      </c>
    </row>
    <row r="632" s="72" customFormat="1" customHeight="1" spans="1:101">
      <c r="A632" s="72" t="s">
        <v>965</v>
      </c>
      <c r="B632" s="72" t="s">
        <v>966</v>
      </c>
      <c r="H632" s="72" t="s">
        <v>967</v>
      </c>
      <c r="I632" s="72" t="s">
        <v>924</v>
      </c>
      <c r="J632" s="72">
        <v>300000</v>
      </c>
      <c r="K632" s="72">
        <v>10000</v>
      </c>
      <c r="N632" s="72">
        <v>10</v>
      </c>
      <c r="O632" s="72">
        <v>230010</v>
      </c>
      <c r="P632" s="72" t="s">
        <v>824</v>
      </c>
      <c r="Q632" s="72">
        <v>0</v>
      </c>
      <c r="R632" s="72">
        <v>0</v>
      </c>
      <c r="S632" s="72" t="s">
        <v>968</v>
      </c>
      <c r="T632" s="72" t="s">
        <v>319</v>
      </c>
      <c r="U632" s="72" t="s">
        <v>329</v>
      </c>
      <c r="V632" s="72">
        <v>0</v>
      </c>
      <c r="W632" s="72" t="s">
        <v>969</v>
      </c>
      <c r="X632" s="72" t="s">
        <v>669</v>
      </c>
      <c r="Y632" s="72">
        <v>0</v>
      </c>
      <c r="Z632" s="72">
        <v>0</v>
      </c>
      <c r="AA632" s="48" t="s">
        <v>926</v>
      </c>
      <c r="AB632" s="72" t="s">
        <v>654</v>
      </c>
      <c r="AC632" s="72">
        <v>0</v>
      </c>
      <c r="AD632" s="72">
        <v>0</v>
      </c>
      <c r="AE632" s="72">
        <v>201298</v>
      </c>
      <c r="AF632" s="72">
        <v>201299</v>
      </c>
      <c r="AG632" s="72">
        <v>201300</v>
      </c>
      <c r="AH632" s="72">
        <v>201301</v>
      </c>
      <c r="AI632" s="72">
        <v>201302</v>
      </c>
      <c r="AJ632" s="72">
        <v>201303</v>
      </c>
      <c r="AK632" s="72">
        <v>202127</v>
      </c>
      <c r="AL632" s="72">
        <v>230005</v>
      </c>
      <c r="AM632" s="72">
        <v>230164</v>
      </c>
      <c r="AN632" s="72">
        <v>230441</v>
      </c>
      <c r="AO632" s="72" t="s">
        <v>920</v>
      </c>
      <c r="AP632" s="72"/>
      <c r="AQ632" s="72"/>
      <c r="AR632" s="72"/>
      <c r="AS632" s="72"/>
      <c r="AT632" s="72"/>
      <c r="AU632" s="72">
        <v>2</v>
      </c>
      <c r="AV632" s="72">
        <v>2</v>
      </c>
      <c r="AW632" s="72">
        <v>2</v>
      </c>
      <c r="AX632" s="72">
        <v>2</v>
      </c>
      <c r="AY632" s="72">
        <v>2</v>
      </c>
      <c r="AZ632" s="72">
        <v>2</v>
      </c>
      <c r="BA632" s="72">
        <v>2</v>
      </c>
      <c r="BB632" s="72">
        <v>2</v>
      </c>
      <c r="BC632" s="72">
        <v>2</v>
      </c>
      <c r="BD632" s="72">
        <v>2</v>
      </c>
      <c r="BE632" s="72">
        <v>2</v>
      </c>
      <c r="BF632" s="72"/>
      <c r="BG632" s="72"/>
      <c r="BH632" s="72"/>
      <c r="BI632" s="72"/>
      <c r="BJ632" s="72"/>
      <c r="BK632" s="72">
        <v>100</v>
      </c>
      <c r="BL632" s="72">
        <v>100</v>
      </c>
      <c r="BM632" s="72">
        <v>100</v>
      </c>
      <c r="BN632" s="72">
        <v>100</v>
      </c>
      <c r="BO632" s="72">
        <v>100</v>
      </c>
      <c r="BP632" s="72">
        <v>100</v>
      </c>
      <c r="BQ632" s="72">
        <v>100</v>
      </c>
      <c r="BR632" s="72">
        <v>100</v>
      </c>
      <c r="BS632" s="72">
        <v>100</v>
      </c>
      <c r="BT632" s="72" t="s">
        <v>320</v>
      </c>
      <c r="BU632" s="72" t="s">
        <v>320</v>
      </c>
      <c r="BV632" s="72"/>
      <c r="BW632" s="72"/>
      <c r="CA632" s="72" t="s">
        <v>970</v>
      </c>
      <c r="CB632" s="72" t="s">
        <v>971</v>
      </c>
      <c r="CC632" s="72">
        <v>0</v>
      </c>
      <c r="CD632" s="72">
        <v>0</v>
      </c>
      <c r="CE632" s="72">
        <v>0</v>
      </c>
      <c r="CF632" s="72" t="s">
        <v>929</v>
      </c>
      <c r="CG632" s="72">
        <v>1</v>
      </c>
      <c r="CH632" s="72">
        <v>1</v>
      </c>
      <c r="CI632" s="72">
        <v>1</v>
      </c>
      <c r="CJ632" s="72">
        <v>0</v>
      </c>
      <c r="CK632" s="72">
        <v>0</v>
      </c>
      <c r="CL632" s="72">
        <v>0</v>
      </c>
      <c r="CM632" s="72">
        <v>0</v>
      </c>
      <c r="CN632" s="72">
        <v>0</v>
      </c>
      <c r="CO632" s="72">
        <v>0</v>
      </c>
      <c r="CP632" s="72">
        <v>0</v>
      </c>
      <c r="CQ632" s="72">
        <v>0</v>
      </c>
      <c r="CR632" s="72">
        <v>0</v>
      </c>
      <c r="CV632" s="72">
        <v>0</v>
      </c>
      <c r="CW632" s="72">
        <v>0</v>
      </c>
    </row>
    <row r="633" s="72" customFormat="1" customHeight="1" spans="1:101">
      <c r="A633" s="72" t="s">
        <v>972</v>
      </c>
      <c r="B633" s="72" t="s">
        <v>973</v>
      </c>
      <c r="H633" s="72" t="s">
        <v>967</v>
      </c>
      <c r="I633" s="72" t="s">
        <v>924</v>
      </c>
      <c r="J633" s="72">
        <v>300000</v>
      </c>
      <c r="K633" s="72">
        <v>10000</v>
      </c>
      <c r="N633" s="72">
        <v>10</v>
      </c>
      <c r="O633" s="72">
        <v>230010</v>
      </c>
      <c r="P633" s="72" t="s">
        <v>974</v>
      </c>
      <c r="Q633" s="72">
        <v>0</v>
      </c>
      <c r="R633" s="72">
        <v>0</v>
      </c>
      <c r="S633" s="72" t="s">
        <v>968</v>
      </c>
      <c r="T633" s="72" t="s">
        <v>319</v>
      </c>
      <c r="U633" s="72" t="s">
        <v>329</v>
      </c>
      <c r="V633" s="72">
        <v>0</v>
      </c>
      <c r="W633" s="72" t="s">
        <v>969</v>
      </c>
      <c r="X633" s="72" t="s">
        <v>673</v>
      </c>
      <c r="Y633" s="72">
        <v>0</v>
      </c>
      <c r="Z633" s="72">
        <v>0</v>
      </c>
      <c r="AA633" s="48" t="s">
        <v>926</v>
      </c>
      <c r="AB633" s="72" t="s">
        <v>669</v>
      </c>
      <c r="AC633" s="72">
        <v>0</v>
      </c>
      <c r="AD633" s="72">
        <v>0</v>
      </c>
      <c r="AE633" s="72">
        <v>201298</v>
      </c>
      <c r="AF633" s="72">
        <v>201299</v>
      </c>
      <c r="AG633" s="72">
        <v>201300</v>
      </c>
      <c r="AH633" s="72">
        <v>201301</v>
      </c>
      <c r="AI633" s="72">
        <v>201302</v>
      </c>
      <c r="AJ633" s="72">
        <v>201303</v>
      </c>
      <c r="AK633" s="72">
        <v>202127</v>
      </c>
      <c r="AL633" s="72">
        <v>230005</v>
      </c>
      <c r="AM633" s="72">
        <v>230164</v>
      </c>
      <c r="AN633" s="72">
        <v>230441</v>
      </c>
      <c r="AO633" s="72" t="s">
        <v>920</v>
      </c>
      <c r="AP633" s="72"/>
      <c r="AQ633" s="72"/>
      <c r="AR633" s="72"/>
      <c r="AS633" s="72"/>
      <c r="AT633" s="72"/>
      <c r="AU633" s="72">
        <v>2</v>
      </c>
      <c r="AV633" s="72">
        <v>2</v>
      </c>
      <c r="AW633" s="72">
        <v>2</v>
      </c>
      <c r="AX633" s="72">
        <v>2</v>
      </c>
      <c r="AY633" s="72">
        <v>2</v>
      </c>
      <c r="AZ633" s="72">
        <v>2</v>
      </c>
      <c r="BA633" s="72">
        <v>2</v>
      </c>
      <c r="BB633" s="72">
        <v>2</v>
      </c>
      <c r="BC633" s="72">
        <v>2</v>
      </c>
      <c r="BD633" s="72">
        <v>2</v>
      </c>
      <c r="BE633" s="72">
        <v>2</v>
      </c>
      <c r="BF633" s="72"/>
      <c r="BG633" s="72"/>
      <c r="BK633" s="72">
        <v>100</v>
      </c>
      <c r="BL633" s="72">
        <v>100</v>
      </c>
      <c r="BM633" s="72">
        <v>100</v>
      </c>
      <c r="BN633" s="72">
        <v>100</v>
      </c>
      <c r="BO633" s="72">
        <v>100</v>
      </c>
      <c r="BP633" s="72">
        <v>100</v>
      </c>
      <c r="BQ633" s="72">
        <v>100</v>
      </c>
      <c r="BR633" s="72">
        <v>100</v>
      </c>
      <c r="BS633" s="72">
        <v>100</v>
      </c>
      <c r="BT633" s="72" t="s">
        <v>320</v>
      </c>
      <c r="BU633" s="72" t="s">
        <v>320</v>
      </c>
      <c r="BV633" s="72"/>
      <c r="BW633" s="72"/>
      <c r="CA633" s="72" t="s">
        <v>970</v>
      </c>
      <c r="CB633" s="72" t="s">
        <v>971</v>
      </c>
      <c r="CC633" s="72">
        <v>0</v>
      </c>
      <c r="CD633" s="72">
        <v>0</v>
      </c>
      <c r="CE633" s="72">
        <v>0</v>
      </c>
      <c r="CF633" s="72" t="s">
        <v>929</v>
      </c>
      <c r="CG633" s="72">
        <v>1</v>
      </c>
      <c r="CH633" s="72">
        <v>1</v>
      </c>
      <c r="CI633" s="72">
        <v>1</v>
      </c>
      <c r="CJ633" s="72">
        <v>0</v>
      </c>
      <c r="CK633" s="72">
        <v>0</v>
      </c>
      <c r="CL633" s="72">
        <v>0</v>
      </c>
      <c r="CM633" s="72">
        <v>0</v>
      </c>
      <c r="CN633" s="72">
        <v>0</v>
      </c>
      <c r="CO633" s="72">
        <v>0</v>
      </c>
      <c r="CP633" s="72">
        <v>0</v>
      </c>
      <c r="CQ633" s="72">
        <v>0</v>
      </c>
      <c r="CR633" s="72">
        <v>0</v>
      </c>
      <c r="CV633" s="72">
        <v>0</v>
      </c>
      <c r="CW633" s="72">
        <v>0</v>
      </c>
    </row>
    <row r="634" s="72" customFormat="1" customHeight="1" spans="1:101">
      <c r="A634" s="72" t="s">
        <v>975</v>
      </c>
      <c r="B634" s="72" t="s">
        <v>976</v>
      </c>
      <c r="H634" s="72" t="s">
        <v>967</v>
      </c>
      <c r="I634" s="72" t="s">
        <v>924</v>
      </c>
      <c r="J634" s="72">
        <v>300000</v>
      </c>
      <c r="K634" s="72">
        <v>10000</v>
      </c>
      <c r="N634" s="72">
        <v>10</v>
      </c>
      <c r="O634" s="72">
        <v>230010</v>
      </c>
      <c r="P634" s="72" t="s">
        <v>977</v>
      </c>
      <c r="Q634" s="72">
        <v>0</v>
      </c>
      <c r="R634" s="72">
        <v>0</v>
      </c>
      <c r="S634" s="72" t="s">
        <v>968</v>
      </c>
      <c r="T634" s="72" t="s">
        <v>319</v>
      </c>
      <c r="U634" s="72" t="s">
        <v>329</v>
      </c>
      <c r="V634" s="72">
        <v>0</v>
      </c>
      <c r="W634" s="72" t="s">
        <v>969</v>
      </c>
      <c r="X634" s="72" t="s">
        <v>677</v>
      </c>
      <c r="Y634" s="72">
        <v>0</v>
      </c>
      <c r="Z634" s="72">
        <v>0</v>
      </c>
      <c r="AA634" s="48" t="s">
        <v>926</v>
      </c>
      <c r="AB634" s="72" t="s">
        <v>673</v>
      </c>
      <c r="AC634" s="72">
        <v>0</v>
      </c>
      <c r="AD634" s="72">
        <v>0</v>
      </c>
      <c r="AE634" s="72">
        <v>201298</v>
      </c>
      <c r="AF634" s="72">
        <v>201299</v>
      </c>
      <c r="AG634" s="72">
        <v>201300</v>
      </c>
      <c r="AH634" s="72">
        <v>201301</v>
      </c>
      <c r="AI634" s="72">
        <v>201302</v>
      </c>
      <c r="AJ634" s="72">
        <v>201303</v>
      </c>
      <c r="AK634" s="72">
        <v>202127</v>
      </c>
      <c r="AL634" s="72">
        <v>230005</v>
      </c>
      <c r="AM634" s="72">
        <v>230164</v>
      </c>
      <c r="AN634" s="72">
        <v>230441</v>
      </c>
      <c r="AO634" s="72" t="s">
        <v>920</v>
      </c>
      <c r="AP634" s="72"/>
      <c r="AQ634" s="72"/>
      <c r="AR634" s="72"/>
      <c r="AS634" s="72"/>
      <c r="AT634" s="72"/>
      <c r="AU634" s="72">
        <v>3</v>
      </c>
      <c r="AV634" s="72">
        <v>3</v>
      </c>
      <c r="AW634" s="72">
        <v>3</v>
      </c>
      <c r="AX634" s="72">
        <v>3</v>
      </c>
      <c r="AY634" s="72">
        <v>3</v>
      </c>
      <c r="AZ634" s="72">
        <v>3</v>
      </c>
      <c r="BA634" s="72">
        <v>3</v>
      </c>
      <c r="BB634" s="72">
        <v>3</v>
      </c>
      <c r="BC634" s="72">
        <v>3</v>
      </c>
      <c r="BD634" s="72">
        <v>3</v>
      </c>
      <c r="BE634" s="72">
        <v>3</v>
      </c>
      <c r="BF634" s="72"/>
      <c r="BG634" s="72"/>
      <c r="BK634" s="72">
        <v>100</v>
      </c>
      <c r="BL634" s="72">
        <v>100</v>
      </c>
      <c r="BM634" s="72">
        <v>100</v>
      </c>
      <c r="BN634" s="72">
        <v>100</v>
      </c>
      <c r="BO634" s="72">
        <v>100</v>
      </c>
      <c r="BP634" s="72">
        <v>100</v>
      </c>
      <c r="BQ634" s="72">
        <v>100</v>
      </c>
      <c r="BR634" s="72">
        <v>100</v>
      </c>
      <c r="BS634" s="72">
        <v>100</v>
      </c>
      <c r="BT634" s="72" t="s">
        <v>320</v>
      </c>
      <c r="BU634" s="72" t="s">
        <v>320</v>
      </c>
      <c r="BV634" s="72"/>
      <c r="BW634" s="72"/>
      <c r="CA634" s="72" t="s">
        <v>970</v>
      </c>
      <c r="CB634" s="72" t="s">
        <v>971</v>
      </c>
      <c r="CC634" s="72">
        <v>0</v>
      </c>
      <c r="CD634" s="72">
        <v>0</v>
      </c>
      <c r="CE634" s="72">
        <v>0</v>
      </c>
      <c r="CF634" s="72" t="s">
        <v>929</v>
      </c>
      <c r="CG634" s="72">
        <v>1</v>
      </c>
      <c r="CH634" s="72">
        <v>1</v>
      </c>
      <c r="CI634" s="72">
        <v>1</v>
      </c>
      <c r="CJ634" s="72">
        <v>0</v>
      </c>
      <c r="CK634" s="72">
        <v>0</v>
      </c>
      <c r="CL634" s="72">
        <v>0</v>
      </c>
      <c r="CM634" s="72">
        <v>0</v>
      </c>
      <c r="CN634" s="72">
        <v>0</v>
      </c>
      <c r="CO634" s="72">
        <v>0</v>
      </c>
      <c r="CP634" s="72">
        <v>0</v>
      </c>
      <c r="CQ634" s="72">
        <v>0</v>
      </c>
      <c r="CR634" s="72">
        <v>0</v>
      </c>
      <c r="CV634" s="72">
        <v>0</v>
      </c>
      <c r="CW634" s="72">
        <v>0</v>
      </c>
    </row>
    <row r="635" s="72" customFormat="1" customHeight="1" spans="1:101">
      <c r="A635" s="72" t="s">
        <v>978</v>
      </c>
      <c r="B635" s="72" t="s">
        <v>979</v>
      </c>
      <c r="H635" s="72" t="s">
        <v>967</v>
      </c>
      <c r="I635" s="72" t="s">
        <v>924</v>
      </c>
      <c r="J635" s="72">
        <v>300000</v>
      </c>
      <c r="K635" s="72">
        <v>10000</v>
      </c>
      <c r="N635" s="72">
        <v>10</v>
      </c>
      <c r="O635" s="72">
        <v>230010</v>
      </c>
      <c r="P635" s="72" t="s">
        <v>662</v>
      </c>
      <c r="Q635" s="72">
        <v>0</v>
      </c>
      <c r="R635" s="72">
        <v>0</v>
      </c>
      <c r="S635" s="72" t="s">
        <v>968</v>
      </c>
      <c r="T635" s="72" t="s">
        <v>319</v>
      </c>
      <c r="U635" s="72" t="s">
        <v>329</v>
      </c>
      <c r="V635" s="72">
        <v>0</v>
      </c>
      <c r="W635" s="72" t="s">
        <v>969</v>
      </c>
      <c r="X635" s="72" t="s">
        <v>810</v>
      </c>
      <c r="Y635" s="72">
        <v>0</v>
      </c>
      <c r="Z635" s="72">
        <v>0</v>
      </c>
      <c r="AA635" s="48" t="s">
        <v>926</v>
      </c>
      <c r="AB635" s="72" t="s">
        <v>677</v>
      </c>
      <c r="AC635" s="72">
        <v>0</v>
      </c>
      <c r="AD635" s="72">
        <v>0</v>
      </c>
      <c r="AE635" s="72">
        <v>201298</v>
      </c>
      <c r="AF635" s="72">
        <v>201299</v>
      </c>
      <c r="AG635" s="72">
        <v>201300</v>
      </c>
      <c r="AH635" s="72">
        <v>201301</v>
      </c>
      <c r="AI635" s="72">
        <v>201302</v>
      </c>
      <c r="AJ635" s="72">
        <v>201303</v>
      </c>
      <c r="AK635" s="72">
        <v>202127</v>
      </c>
      <c r="AL635" s="72">
        <v>230005</v>
      </c>
      <c r="AM635" s="72">
        <v>230164</v>
      </c>
      <c r="AN635" s="72">
        <v>230441</v>
      </c>
      <c r="AO635" s="72" t="s">
        <v>920</v>
      </c>
      <c r="AP635" s="72"/>
      <c r="AQ635" s="72"/>
      <c r="AR635" s="72"/>
      <c r="AS635" s="72"/>
      <c r="AT635" s="72"/>
      <c r="AU635" s="72">
        <v>3</v>
      </c>
      <c r="AV635" s="72">
        <v>3</v>
      </c>
      <c r="AW635" s="72">
        <v>3</v>
      </c>
      <c r="AX635" s="72">
        <v>3</v>
      </c>
      <c r="AY635" s="72">
        <v>3</v>
      </c>
      <c r="AZ635" s="72">
        <v>3</v>
      </c>
      <c r="BA635" s="72">
        <v>3</v>
      </c>
      <c r="BB635" s="72">
        <v>3</v>
      </c>
      <c r="BC635" s="72">
        <v>3</v>
      </c>
      <c r="BD635" s="72">
        <v>3</v>
      </c>
      <c r="BE635" s="72">
        <v>3</v>
      </c>
      <c r="BF635" s="72"/>
      <c r="BG635" s="72"/>
      <c r="BK635" s="72">
        <v>100</v>
      </c>
      <c r="BL635" s="72">
        <v>100</v>
      </c>
      <c r="BM635" s="72">
        <v>100</v>
      </c>
      <c r="BN635" s="72">
        <v>100</v>
      </c>
      <c r="BO635" s="72">
        <v>100</v>
      </c>
      <c r="BP635" s="72">
        <v>100</v>
      </c>
      <c r="BQ635" s="72">
        <v>100</v>
      </c>
      <c r="BR635" s="72">
        <v>100</v>
      </c>
      <c r="BS635" s="72">
        <v>100</v>
      </c>
      <c r="BT635" s="72" t="s">
        <v>320</v>
      </c>
      <c r="BU635" s="72" t="s">
        <v>320</v>
      </c>
      <c r="BV635" s="72"/>
      <c r="BW635" s="72"/>
      <c r="CA635" s="72" t="s">
        <v>970</v>
      </c>
      <c r="CB635" s="72" t="s">
        <v>971</v>
      </c>
      <c r="CC635" s="72">
        <v>0</v>
      </c>
      <c r="CD635" s="72">
        <v>0</v>
      </c>
      <c r="CE635" s="72">
        <v>0</v>
      </c>
      <c r="CF635" s="72" t="s">
        <v>929</v>
      </c>
      <c r="CG635" s="72">
        <v>1</v>
      </c>
      <c r="CH635" s="72">
        <v>1</v>
      </c>
      <c r="CI635" s="72">
        <v>1</v>
      </c>
      <c r="CJ635" s="72">
        <v>0</v>
      </c>
      <c r="CK635" s="72">
        <v>0</v>
      </c>
      <c r="CL635" s="72">
        <v>0</v>
      </c>
      <c r="CM635" s="72">
        <v>0</v>
      </c>
      <c r="CN635" s="72">
        <v>0</v>
      </c>
      <c r="CO635" s="72">
        <v>0</v>
      </c>
      <c r="CP635" s="72">
        <v>0</v>
      </c>
      <c r="CQ635" s="72">
        <v>0</v>
      </c>
      <c r="CR635" s="72">
        <v>0</v>
      </c>
      <c r="CV635" s="72">
        <v>0</v>
      </c>
      <c r="CW635" s="72">
        <v>0</v>
      </c>
    </row>
    <row r="636" s="72" customFormat="1" customHeight="1" spans="1:101">
      <c r="A636" s="72" t="s">
        <v>980</v>
      </c>
      <c r="B636" s="72" t="s">
        <v>981</v>
      </c>
      <c r="H636" s="72" t="s">
        <v>967</v>
      </c>
      <c r="I636" s="72" t="s">
        <v>924</v>
      </c>
      <c r="J636" s="72">
        <v>300000</v>
      </c>
      <c r="K636" s="72">
        <v>10000</v>
      </c>
      <c r="N636" s="72">
        <v>10</v>
      </c>
      <c r="O636" s="72">
        <v>230010</v>
      </c>
      <c r="P636" s="72" t="s">
        <v>982</v>
      </c>
      <c r="Q636" s="72">
        <v>0</v>
      </c>
      <c r="R636" s="72">
        <v>0</v>
      </c>
      <c r="S636" s="72" t="s">
        <v>968</v>
      </c>
      <c r="T636" s="72" t="s">
        <v>319</v>
      </c>
      <c r="U636" s="72" t="s">
        <v>329</v>
      </c>
      <c r="V636" s="72">
        <v>0</v>
      </c>
      <c r="W636" s="72" t="s">
        <v>969</v>
      </c>
      <c r="X636" s="72" t="s">
        <v>983</v>
      </c>
      <c r="Y636" s="72">
        <v>0</v>
      </c>
      <c r="Z636" s="72">
        <v>0</v>
      </c>
      <c r="AA636" s="48" t="s">
        <v>926</v>
      </c>
      <c r="AB636" s="72" t="s">
        <v>810</v>
      </c>
      <c r="AC636" s="72">
        <v>0</v>
      </c>
      <c r="AD636" s="72">
        <v>0</v>
      </c>
      <c r="AE636" s="72">
        <v>201298</v>
      </c>
      <c r="AF636" s="72">
        <v>201299</v>
      </c>
      <c r="AG636" s="72">
        <v>201300</v>
      </c>
      <c r="AH636" s="72">
        <v>201301</v>
      </c>
      <c r="AI636" s="72">
        <v>201302</v>
      </c>
      <c r="AJ636" s="72">
        <v>201303</v>
      </c>
      <c r="AK636" s="72">
        <v>202127</v>
      </c>
      <c r="AL636" s="72">
        <v>230005</v>
      </c>
      <c r="AM636" s="72">
        <v>230164</v>
      </c>
      <c r="AN636" s="72">
        <v>230441</v>
      </c>
      <c r="AO636" s="72" t="s">
        <v>920</v>
      </c>
      <c r="AP636" s="72"/>
      <c r="AQ636" s="72"/>
      <c r="AR636" s="72"/>
      <c r="AS636" s="72"/>
      <c r="AT636" s="72"/>
      <c r="AU636" s="72">
        <v>4</v>
      </c>
      <c r="AV636" s="72">
        <v>4</v>
      </c>
      <c r="AW636" s="72">
        <v>4</v>
      </c>
      <c r="AX636" s="72">
        <v>4</v>
      </c>
      <c r="AY636" s="72">
        <v>4</v>
      </c>
      <c r="AZ636" s="72">
        <v>4</v>
      </c>
      <c r="BA636" s="72">
        <v>4</v>
      </c>
      <c r="BB636" s="72">
        <v>4</v>
      </c>
      <c r="BC636" s="72">
        <v>4</v>
      </c>
      <c r="BD636" s="72">
        <v>4</v>
      </c>
      <c r="BE636" s="72">
        <v>4</v>
      </c>
      <c r="BF636" s="72"/>
      <c r="BG636" s="72"/>
      <c r="BK636" s="72">
        <v>100</v>
      </c>
      <c r="BL636" s="72">
        <v>100</v>
      </c>
      <c r="BM636" s="72">
        <v>100</v>
      </c>
      <c r="BN636" s="72">
        <v>100</v>
      </c>
      <c r="BO636" s="72">
        <v>100</v>
      </c>
      <c r="BP636" s="72">
        <v>100</v>
      </c>
      <c r="BQ636" s="72">
        <v>100</v>
      </c>
      <c r="BR636" s="72">
        <v>100</v>
      </c>
      <c r="BS636" s="72">
        <v>100</v>
      </c>
      <c r="BT636" s="72" t="s">
        <v>320</v>
      </c>
      <c r="BU636" s="72" t="s">
        <v>320</v>
      </c>
      <c r="BV636" s="72"/>
      <c r="BW636" s="72"/>
      <c r="CA636" s="72" t="s">
        <v>970</v>
      </c>
      <c r="CB636" s="72" t="s">
        <v>971</v>
      </c>
      <c r="CC636" s="72">
        <v>0</v>
      </c>
      <c r="CD636" s="72">
        <v>0</v>
      </c>
      <c r="CE636" s="72">
        <v>0</v>
      </c>
      <c r="CF636" s="72" t="s">
        <v>929</v>
      </c>
      <c r="CG636" s="72">
        <v>1</v>
      </c>
      <c r="CH636" s="72">
        <v>1</v>
      </c>
      <c r="CI636" s="72">
        <v>1</v>
      </c>
      <c r="CJ636" s="72">
        <v>0</v>
      </c>
      <c r="CK636" s="72">
        <v>0</v>
      </c>
      <c r="CL636" s="72">
        <v>0</v>
      </c>
      <c r="CM636" s="72">
        <v>0</v>
      </c>
      <c r="CN636" s="72">
        <v>0</v>
      </c>
      <c r="CO636" s="72">
        <v>0</v>
      </c>
      <c r="CP636" s="72">
        <v>0</v>
      </c>
      <c r="CQ636" s="72">
        <v>0</v>
      </c>
      <c r="CR636" s="72">
        <v>0</v>
      </c>
      <c r="CV636" s="72">
        <v>0</v>
      </c>
      <c r="CW636" s="72">
        <v>0</v>
      </c>
    </row>
    <row r="637" s="72" customFormat="1" customHeight="1" spans="1:101">
      <c r="A637" s="72" t="s">
        <v>984</v>
      </c>
      <c r="B637" s="72" t="s">
        <v>985</v>
      </c>
      <c r="H637" s="72" t="s">
        <v>967</v>
      </c>
      <c r="I637" s="72" t="s">
        <v>924</v>
      </c>
      <c r="J637" s="72">
        <v>300000</v>
      </c>
      <c r="K637" s="72">
        <v>10000</v>
      </c>
      <c r="N637" s="72">
        <v>10</v>
      </c>
      <c r="O637" s="72">
        <v>230010</v>
      </c>
      <c r="P637" s="72" t="s">
        <v>986</v>
      </c>
      <c r="Q637" s="72">
        <v>0</v>
      </c>
      <c r="R637" s="72">
        <v>0</v>
      </c>
      <c r="S637" s="72" t="s">
        <v>968</v>
      </c>
      <c r="T637" s="72" t="s">
        <v>319</v>
      </c>
      <c r="U637" s="72" t="s">
        <v>329</v>
      </c>
      <c r="V637" s="72">
        <v>0</v>
      </c>
      <c r="W637" s="72" t="s">
        <v>969</v>
      </c>
      <c r="X637" s="72" t="s">
        <v>815</v>
      </c>
      <c r="Y637" s="72">
        <v>0</v>
      </c>
      <c r="Z637" s="72">
        <v>0</v>
      </c>
      <c r="AA637" s="48" t="s">
        <v>926</v>
      </c>
      <c r="AB637" s="72" t="s">
        <v>983</v>
      </c>
      <c r="AC637" s="72">
        <v>0</v>
      </c>
      <c r="AD637" s="72">
        <v>0</v>
      </c>
      <c r="AE637" s="72">
        <v>201298</v>
      </c>
      <c r="AF637" s="72">
        <v>201299</v>
      </c>
      <c r="AG637" s="72">
        <v>201300</v>
      </c>
      <c r="AH637" s="72">
        <v>201301</v>
      </c>
      <c r="AI637" s="72">
        <v>201302</v>
      </c>
      <c r="AJ637" s="72">
        <v>201303</v>
      </c>
      <c r="AK637" s="72">
        <v>202127</v>
      </c>
      <c r="AL637" s="72">
        <v>230005</v>
      </c>
      <c r="AM637" s="72">
        <v>230164</v>
      </c>
      <c r="AN637" s="72">
        <v>230441</v>
      </c>
      <c r="AO637" s="72" t="s">
        <v>920</v>
      </c>
      <c r="AP637" s="72"/>
      <c r="AQ637" s="72"/>
      <c r="AR637" s="72"/>
      <c r="AS637" s="72"/>
      <c r="AT637" s="72"/>
      <c r="AU637" s="72">
        <v>4</v>
      </c>
      <c r="AV637" s="72">
        <v>4</v>
      </c>
      <c r="AW637" s="72">
        <v>4</v>
      </c>
      <c r="AX637" s="72">
        <v>4</v>
      </c>
      <c r="AY637" s="72">
        <v>4</v>
      </c>
      <c r="AZ637" s="72">
        <v>4</v>
      </c>
      <c r="BA637" s="72">
        <v>4</v>
      </c>
      <c r="BB637" s="72">
        <v>4</v>
      </c>
      <c r="BC637" s="72">
        <v>4</v>
      </c>
      <c r="BD637" s="72">
        <v>4</v>
      </c>
      <c r="BE637" s="72">
        <v>4</v>
      </c>
      <c r="BF637" s="72"/>
      <c r="BG637" s="72"/>
      <c r="BK637" s="72">
        <v>100</v>
      </c>
      <c r="BL637" s="72">
        <v>100</v>
      </c>
      <c r="BM637" s="72">
        <v>100</v>
      </c>
      <c r="BN637" s="72">
        <v>100</v>
      </c>
      <c r="BO637" s="72">
        <v>100</v>
      </c>
      <c r="BP637" s="72">
        <v>100</v>
      </c>
      <c r="BQ637" s="72">
        <v>100</v>
      </c>
      <c r="BR637" s="72">
        <v>100</v>
      </c>
      <c r="BS637" s="72">
        <v>100</v>
      </c>
      <c r="BT637" s="72" t="s">
        <v>320</v>
      </c>
      <c r="BU637" s="72" t="s">
        <v>320</v>
      </c>
      <c r="BV637" s="72"/>
      <c r="BW637" s="72"/>
      <c r="CA637" s="72" t="s">
        <v>970</v>
      </c>
      <c r="CB637" s="72" t="s">
        <v>971</v>
      </c>
      <c r="CC637" s="72">
        <v>0</v>
      </c>
      <c r="CD637" s="72">
        <v>0</v>
      </c>
      <c r="CE637" s="72">
        <v>0</v>
      </c>
      <c r="CF637" s="72" t="s">
        <v>929</v>
      </c>
      <c r="CG637" s="72">
        <v>1</v>
      </c>
      <c r="CH637" s="72">
        <v>1</v>
      </c>
      <c r="CI637" s="72">
        <v>1</v>
      </c>
      <c r="CJ637" s="72">
        <v>0</v>
      </c>
      <c r="CK637" s="72">
        <v>0</v>
      </c>
      <c r="CL637" s="72">
        <v>0</v>
      </c>
      <c r="CM637" s="72">
        <v>0</v>
      </c>
      <c r="CN637" s="72">
        <v>0</v>
      </c>
      <c r="CO637" s="72">
        <v>0</v>
      </c>
      <c r="CP637" s="72">
        <v>0</v>
      </c>
      <c r="CQ637" s="72">
        <v>0</v>
      </c>
      <c r="CR637" s="72">
        <v>0</v>
      </c>
      <c r="CV637" s="72">
        <v>0</v>
      </c>
      <c r="CW637" s="72">
        <v>0</v>
      </c>
    </row>
    <row r="638" s="72" customFormat="1" customHeight="1" spans="1:101">
      <c r="A638" s="72" t="s">
        <v>987</v>
      </c>
      <c r="B638" s="72" t="s">
        <v>988</v>
      </c>
      <c r="H638" s="72" t="s">
        <v>967</v>
      </c>
      <c r="I638" s="72" t="s">
        <v>924</v>
      </c>
      <c r="J638" s="72">
        <v>300000</v>
      </c>
      <c r="K638" s="72">
        <v>10000</v>
      </c>
      <c r="N638" s="72">
        <v>10</v>
      </c>
      <c r="O638" s="72">
        <v>230010</v>
      </c>
      <c r="P638" s="72" t="s">
        <v>989</v>
      </c>
      <c r="Q638" s="72">
        <v>0</v>
      </c>
      <c r="R638" s="72">
        <v>0</v>
      </c>
      <c r="S638" s="72" t="s">
        <v>968</v>
      </c>
      <c r="T638" s="72" t="s">
        <v>319</v>
      </c>
      <c r="U638" s="72" t="s">
        <v>329</v>
      </c>
      <c r="V638" s="72">
        <v>0</v>
      </c>
      <c r="W638" s="72" t="s">
        <v>969</v>
      </c>
      <c r="X638" s="72" t="s">
        <v>990</v>
      </c>
      <c r="Y638" s="72">
        <v>0</v>
      </c>
      <c r="Z638" s="72">
        <v>0</v>
      </c>
      <c r="AA638" s="48" t="s">
        <v>926</v>
      </c>
      <c r="AB638" s="72" t="s">
        <v>815</v>
      </c>
      <c r="AC638" s="72">
        <v>0</v>
      </c>
      <c r="AD638" s="72">
        <v>0</v>
      </c>
      <c r="AE638" s="72">
        <v>201298</v>
      </c>
      <c r="AF638" s="72">
        <v>201299</v>
      </c>
      <c r="AG638" s="72">
        <v>201300</v>
      </c>
      <c r="AH638" s="72">
        <v>201301</v>
      </c>
      <c r="AI638" s="72">
        <v>201302</v>
      </c>
      <c r="AJ638" s="72">
        <v>201303</v>
      </c>
      <c r="AK638" s="72">
        <v>202127</v>
      </c>
      <c r="AL638" s="72">
        <v>230005</v>
      </c>
      <c r="AM638" s="72">
        <v>230164</v>
      </c>
      <c r="AN638" s="72">
        <v>230441</v>
      </c>
      <c r="AO638" s="72" t="s">
        <v>920</v>
      </c>
      <c r="AP638" s="72"/>
      <c r="AQ638" s="72"/>
      <c r="AR638" s="72"/>
      <c r="AS638" s="72"/>
      <c r="AT638" s="72"/>
      <c r="AU638" s="72">
        <v>5</v>
      </c>
      <c r="AV638" s="72">
        <v>5</v>
      </c>
      <c r="AW638" s="72">
        <v>5</v>
      </c>
      <c r="AX638" s="72">
        <v>5</v>
      </c>
      <c r="AY638" s="72">
        <v>5</v>
      </c>
      <c r="AZ638" s="72">
        <v>5</v>
      </c>
      <c r="BA638" s="72">
        <v>5</v>
      </c>
      <c r="BB638" s="72">
        <v>5</v>
      </c>
      <c r="BC638" s="72">
        <v>5</v>
      </c>
      <c r="BD638" s="72">
        <v>5</v>
      </c>
      <c r="BE638" s="72">
        <v>5</v>
      </c>
      <c r="BF638" s="72"/>
      <c r="BG638" s="72"/>
      <c r="BK638" s="72">
        <v>100</v>
      </c>
      <c r="BL638" s="72">
        <v>100</v>
      </c>
      <c r="BM638" s="72">
        <v>100</v>
      </c>
      <c r="BN638" s="72">
        <v>100</v>
      </c>
      <c r="BO638" s="72">
        <v>100</v>
      </c>
      <c r="BP638" s="72">
        <v>100</v>
      </c>
      <c r="BQ638" s="72">
        <v>100</v>
      </c>
      <c r="BR638" s="72">
        <v>100</v>
      </c>
      <c r="BS638" s="72">
        <v>100</v>
      </c>
      <c r="BT638" s="72" t="s">
        <v>320</v>
      </c>
      <c r="BU638" s="72" t="s">
        <v>320</v>
      </c>
      <c r="BV638" s="72"/>
      <c r="BW638" s="72"/>
      <c r="CA638" s="72" t="s">
        <v>970</v>
      </c>
      <c r="CB638" s="72" t="s">
        <v>971</v>
      </c>
      <c r="CC638" s="72">
        <v>0</v>
      </c>
      <c r="CD638" s="72">
        <v>0</v>
      </c>
      <c r="CE638" s="72">
        <v>0</v>
      </c>
      <c r="CF638" s="72" t="s">
        <v>929</v>
      </c>
      <c r="CG638" s="72">
        <v>1</v>
      </c>
      <c r="CH638" s="72">
        <v>1</v>
      </c>
      <c r="CI638" s="72">
        <v>1</v>
      </c>
      <c r="CJ638" s="72">
        <v>0</v>
      </c>
      <c r="CK638" s="72">
        <v>0</v>
      </c>
      <c r="CL638" s="72">
        <v>0</v>
      </c>
      <c r="CM638" s="72">
        <v>0</v>
      </c>
      <c r="CN638" s="72">
        <v>0</v>
      </c>
      <c r="CO638" s="72">
        <v>0</v>
      </c>
      <c r="CP638" s="72">
        <v>0</v>
      </c>
      <c r="CQ638" s="72">
        <v>0</v>
      </c>
      <c r="CR638" s="72">
        <v>0</v>
      </c>
      <c r="CV638" s="72">
        <v>0</v>
      </c>
      <c r="CW638" s="72">
        <v>0</v>
      </c>
    </row>
    <row r="639" s="72" customFormat="1" customHeight="1" spans="1:101">
      <c r="A639" s="72" t="s">
        <v>991</v>
      </c>
      <c r="B639" s="72" t="s">
        <v>992</v>
      </c>
      <c r="H639" s="72" t="s">
        <v>967</v>
      </c>
      <c r="I639" s="72" t="s">
        <v>924</v>
      </c>
      <c r="J639" s="72">
        <v>300000</v>
      </c>
      <c r="K639" s="72">
        <v>10000</v>
      </c>
      <c r="N639" s="72">
        <v>10</v>
      </c>
      <c r="O639" s="72">
        <v>230010</v>
      </c>
      <c r="P639" s="72" t="s">
        <v>993</v>
      </c>
      <c r="Q639" s="72">
        <v>0</v>
      </c>
      <c r="R639" s="72">
        <v>0</v>
      </c>
      <c r="S639" s="72" t="s">
        <v>968</v>
      </c>
      <c r="T639" s="72" t="s">
        <v>319</v>
      </c>
      <c r="U639" s="72" t="s">
        <v>329</v>
      </c>
      <c r="V639" s="72">
        <v>0</v>
      </c>
      <c r="W639" s="72" t="s">
        <v>969</v>
      </c>
      <c r="X639" s="72" t="s">
        <v>670</v>
      </c>
      <c r="Y639" s="72">
        <v>0</v>
      </c>
      <c r="Z639" s="72">
        <v>0</v>
      </c>
      <c r="AA639" s="48" t="s">
        <v>926</v>
      </c>
      <c r="AB639" s="72" t="s">
        <v>990</v>
      </c>
      <c r="AC639" s="72">
        <v>0</v>
      </c>
      <c r="AD639" s="72">
        <v>0</v>
      </c>
      <c r="AE639" s="72">
        <v>201298</v>
      </c>
      <c r="AF639" s="72">
        <v>201299</v>
      </c>
      <c r="AG639" s="72">
        <v>201300</v>
      </c>
      <c r="AH639" s="72">
        <v>201301</v>
      </c>
      <c r="AI639" s="72">
        <v>201302</v>
      </c>
      <c r="AJ639" s="72">
        <v>201303</v>
      </c>
      <c r="AK639" s="72">
        <v>202127</v>
      </c>
      <c r="AL639" s="72">
        <v>230005</v>
      </c>
      <c r="AM639" s="72">
        <v>230164</v>
      </c>
      <c r="AN639" s="72">
        <v>230441</v>
      </c>
      <c r="AO639" s="72" t="s">
        <v>920</v>
      </c>
      <c r="AP639" s="72"/>
      <c r="AQ639" s="72"/>
      <c r="AR639" s="72"/>
      <c r="AS639" s="72"/>
      <c r="AT639" s="72"/>
      <c r="AU639" s="72">
        <v>5</v>
      </c>
      <c r="AV639" s="72">
        <v>5</v>
      </c>
      <c r="AW639" s="72">
        <v>5</v>
      </c>
      <c r="AX639" s="72">
        <v>5</v>
      </c>
      <c r="AY639" s="72">
        <v>5</v>
      </c>
      <c r="AZ639" s="72">
        <v>5</v>
      </c>
      <c r="BA639" s="72">
        <v>5</v>
      </c>
      <c r="BB639" s="72">
        <v>5</v>
      </c>
      <c r="BC639" s="72">
        <v>5</v>
      </c>
      <c r="BD639" s="72">
        <v>5</v>
      </c>
      <c r="BE639" s="72">
        <v>5</v>
      </c>
      <c r="BF639" s="72"/>
      <c r="BG639" s="72"/>
      <c r="BK639" s="72">
        <v>100</v>
      </c>
      <c r="BL639" s="72">
        <v>100</v>
      </c>
      <c r="BM639" s="72">
        <v>100</v>
      </c>
      <c r="BN639" s="72">
        <v>100</v>
      </c>
      <c r="BO639" s="72">
        <v>100</v>
      </c>
      <c r="BP639" s="72">
        <v>100</v>
      </c>
      <c r="BQ639" s="72">
        <v>100</v>
      </c>
      <c r="BR639" s="72">
        <v>100</v>
      </c>
      <c r="BS639" s="72">
        <v>100</v>
      </c>
      <c r="BT639" s="72" t="s">
        <v>320</v>
      </c>
      <c r="BU639" s="72" t="s">
        <v>320</v>
      </c>
      <c r="BV639" s="72"/>
      <c r="BW639" s="72"/>
      <c r="CA639" s="72" t="s">
        <v>970</v>
      </c>
      <c r="CB639" s="72" t="s">
        <v>971</v>
      </c>
      <c r="CC639" s="72">
        <v>0</v>
      </c>
      <c r="CD639" s="72">
        <v>0</v>
      </c>
      <c r="CE639" s="72">
        <v>0</v>
      </c>
      <c r="CF639" s="72" t="s">
        <v>929</v>
      </c>
      <c r="CG639" s="72">
        <v>1</v>
      </c>
      <c r="CH639" s="72">
        <v>1</v>
      </c>
      <c r="CI639" s="72">
        <v>1</v>
      </c>
      <c r="CJ639" s="72">
        <v>0</v>
      </c>
      <c r="CK639" s="72">
        <v>0</v>
      </c>
      <c r="CL639" s="72">
        <v>0</v>
      </c>
      <c r="CM639" s="72">
        <v>0</v>
      </c>
      <c r="CN639" s="72">
        <v>0</v>
      </c>
      <c r="CO639" s="72">
        <v>0</v>
      </c>
      <c r="CP639" s="72">
        <v>0</v>
      </c>
      <c r="CQ639" s="72">
        <v>0</v>
      </c>
      <c r="CR639" s="72">
        <v>0</v>
      </c>
      <c r="CV639" s="72">
        <v>0</v>
      </c>
      <c r="CW639" s="72">
        <v>0</v>
      </c>
    </row>
    <row r="640" s="72" customFormat="1" customHeight="1" spans="1:101">
      <c r="A640" s="72" t="s">
        <v>994</v>
      </c>
      <c r="B640" s="72" t="s">
        <v>995</v>
      </c>
      <c r="H640" s="72" t="s">
        <v>967</v>
      </c>
      <c r="I640" s="72" t="s">
        <v>924</v>
      </c>
      <c r="J640" s="72">
        <v>300000</v>
      </c>
      <c r="K640" s="72">
        <v>10000</v>
      </c>
      <c r="N640" s="72">
        <v>10</v>
      </c>
      <c r="O640" s="72">
        <v>230010</v>
      </c>
      <c r="P640" s="72" t="s">
        <v>661</v>
      </c>
      <c r="Q640" s="72">
        <v>0</v>
      </c>
      <c r="R640" s="72">
        <v>0</v>
      </c>
      <c r="S640" s="72" t="s">
        <v>968</v>
      </c>
      <c r="T640" s="72" t="s">
        <v>319</v>
      </c>
      <c r="U640" s="72" t="s">
        <v>329</v>
      </c>
      <c r="V640" s="72">
        <v>0</v>
      </c>
      <c r="W640" s="72" t="s">
        <v>969</v>
      </c>
      <c r="X640" s="72" t="s">
        <v>996</v>
      </c>
      <c r="Y640" s="72">
        <v>0</v>
      </c>
      <c r="Z640" s="72">
        <v>0</v>
      </c>
      <c r="AA640" s="48" t="s">
        <v>926</v>
      </c>
      <c r="AB640" s="72" t="s">
        <v>670</v>
      </c>
      <c r="AC640" s="72">
        <v>0</v>
      </c>
      <c r="AD640" s="72">
        <v>0</v>
      </c>
      <c r="AE640" s="72">
        <v>201298</v>
      </c>
      <c r="AF640" s="72">
        <v>201299</v>
      </c>
      <c r="AG640" s="72">
        <v>201300</v>
      </c>
      <c r="AH640" s="72">
        <v>201301</v>
      </c>
      <c r="AI640" s="72">
        <v>201302</v>
      </c>
      <c r="AJ640" s="72">
        <v>201303</v>
      </c>
      <c r="AK640" s="72">
        <v>202127</v>
      </c>
      <c r="AL640" s="72">
        <v>230005</v>
      </c>
      <c r="AM640" s="72">
        <v>230164</v>
      </c>
      <c r="AN640" s="72">
        <v>230441</v>
      </c>
      <c r="AO640" s="72" t="s">
        <v>920</v>
      </c>
      <c r="AP640" s="72"/>
      <c r="AQ640" s="72"/>
      <c r="AR640" s="72"/>
      <c r="AS640" s="72"/>
      <c r="AT640" s="72"/>
      <c r="AU640" s="72">
        <v>6</v>
      </c>
      <c r="AV640" s="72">
        <v>6</v>
      </c>
      <c r="AW640" s="72">
        <v>6</v>
      </c>
      <c r="AX640" s="72">
        <v>6</v>
      </c>
      <c r="AY640" s="72">
        <v>6</v>
      </c>
      <c r="AZ640" s="72">
        <v>6</v>
      </c>
      <c r="BA640" s="72">
        <v>6</v>
      </c>
      <c r="BB640" s="72">
        <v>6</v>
      </c>
      <c r="BC640" s="72">
        <v>6</v>
      </c>
      <c r="BD640" s="72">
        <v>6</v>
      </c>
      <c r="BE640" s="72">
        <v>6</v>
      </c>
      <c r="BF640" s="72"/>
      <c r="BG640" s="72"/>
      <c r="BK640" s="72">
        <v>100</v>
      </c>
      <c r="BL640" s="72">
        <v>100</v>
      </c>
      <c r="BM640" s="72">
        <v>100</v>
      </c>
      <c r="BN640" s="72">
        <v>100</v>
      </c>
      <c r="BO640" s="72">
        <v>100</v>
      </c>
      <c r="BP640" s="72">
        <v>100</v>
      </c>
      <c r="BQ640" s="72">
        <v>100</v>
      </c>
      <c r="BR640" s="72">
        <v>100</v>
      </c>
      <c r="BS640" s="72">
        <v>100</v>
      </c>
      <c r="BT640" s="72" t="s">
        <v>320</v>
      </c>
      <c r="BU640" s="72" t="s">
        <v>320</v>
      </c>
      <c r="BV640" s="72"/>
      <c r="BW640" s="72"/>
      <c r="CA640" s="72" t="s">
        <v>970</v>
      </c>
      <c r="CB640" s="72" t="s">
        <v>971</v>
      </c>
      <c r="CC640" s="72">
        <v>0</v>
      </c>
      <c r="CD640" s="72">
        <v>0</v>
      </c>
      <c r="CE640" s="72">
        <v>0</v>
      </c>
      <c r="CF640" s="72" t="s">
        <v>929</v>
      </c>
      <c r="CG640" s="72">
        <v>1</v>
      </c>
      <c r="CH640" s="72">
        <v>1</v>
      </c>
      <c r="CI640" s="72">
        <v>1</v>
      </c>
      <c r="CJ640" s="72">
        <v>0</v>
      </c>
      <c r="CK640" s="72">
        <v>0</v>
      </c>
      <c r="CL640" s="72">
        <v>0</v>
      </c>
      <c r="CM640" s="72">
        <v>0</v>
      </c>
      <c r="CN640" s="72">
        <v>0</v>
      </c>
      <c r="CO640" s="72">
        <v>0</v>
      </c>
      <c r="CP640" s="72">
        <v>0</v>
      </c>
      <c r="CQ640" s="72">
        <v>0</v>
      </c>
      <c r="CR640" s="72">
        <v>0</v>
      </c>
      <c r="CV640" s="72">
        <v>0</v>
      </c>
      <c r="CW640" s="72">
        <v>0</v>
      </c>
    </row>
    <row r="641" s="71" customFormat="1" customHeight="1" spans="1:101">
      <c r="A641" s="71" t="s">
        <v>997</v>
      </c>
      <c r="B641" s="71" t="s">
        <v>998</v>
      </c>
      <c r="H641" s="71" t="s">
        <v>999</v>
      </c>
      <c r="I641" s="71" t="s">
        <v>924</v>
      </c>
      <c r="J641" s="71">
        <v>300000</v>
      </c>
      <c r="K641" s="71">
        <v>10000</v>
      </c>
      <c r="N641" s="71">
        <v>10</v>
      </c>
      <c r="O641" s="71">
        <v>230010</v>
      </c>
      <c r="P641" s="71" t="s">
        <v>983</v>
      </c>
      <c r="Q641" s="71">
        <v>0</v>
      </c>
      <c r="R641" s="71">
        <v>0</v>
      </c>
      <c r="S641" s="71" t="s">
        <v>1000</v>
      </c>
      <c r="T641" s="71" t="s">
        <v>319</v>
      </c>
      <c r="U641" s="71" t="s">
        <v>329</v>
      </c>
      <c r="V641" s="71">
        <v>0</v>
      </c>
      <c r="W641" s="71" t="s">
        <v>969</v>
      </c>
      <c r="X641" s="71" t="s">
        <v>669</v>
      </c>
      <c r="Y641" s="71">
        <v>0</v>
      </c>
      <c r="Z641" s="71">
        <v>0</v>
      </c>
      <c r="AA641" s="70" t="s">
        <v>934</v>
      </c>
      <c r="AB641" s="71" t="s">
        <v>654</v>
      </c>
      <c r="AC641" s="71">
        <v>0</v>
      </c>
      <c r="AD641" s="71">
        <v>0</v>
      </c>
      <c r="AE641" s="71">
        <v>201298</v>
      </c>
      <c r="AF641" s="71">
        <v>201299</v>
      </c>
      <c r="AG641" s="71">
        <v>201300</v>
      </c>
      <c r="AH641" s="71">
        <v>201301</v>
      </c>
      <c r="AI641" s="71">
        <v>201302</v>
      </c>
      <c r="AJ641" s="71">
        <v>201303</v>
      </c>
      <c r="AK641" s="71">
        <v>202127</v>
      </c>
      <c r="AL641" s="71">
        <v>230004</v>
      </c>
      <c r="AM641" s="71">
        <v>230441</v>
      </c>
      <c r="AN641" s="71" t="s">
        <v>918</v>
      </c>
      <c r="AU641" s="71">
        <v>2</v>
      </c>
      <c r="AV641" s="71">
        <v>2</v>
      </c>
      <c r="AW641" s="71">
        <v>2</v>
      </c>
      <c r="AX641" s="71">
        <v>2</v>
      </c>
      <c r="AY641" s="71">
        <v>2</v>
      </c>
      <c r="AZ641" s="71">
        <v>2</v>
      </c>
      <c r="BA641" s="71">
        <v>2</v>
      </c>
      <c r="BB641" s="71">
        <v>2</v>
      </c>
      <c r="BC641" s="71">
        <v>2</v>
      </c>
      <c r="BD641" s="71">
        <v>2</v>
      </c>
      <c r="BK641" s="71">
        <v>100</v>
      </c>
      <c r="BL641" s="71">
        <v>100</v>
      </c>
      <c r="BM641" s="71">
        <v>100</v>
      </c>
      <c r="BN641" s="71">
        <v>100</v>
      </c>
      <c r="BO641" s="71">
        <v>100</v>
      </c>
      <c r="BP641" s="71">
        <v>100</v>
      </c>
      <c r="BQ641" s="71">
        <v>100</v>
      </c>
      <c r="BR641" s="71">
        <v>100</v>
      </c>
      <c r="BS641" s="71">
        <v>100</v>
      </c>
      <c r="BT641" s="71" t="s">
        <v>320</v>
      </c>
      <c r="CA641" s="71" t="s">
        <v>466</v>
      </c>
      <c r="CB641" s="71" t="s">
        <v>1001</v>
      </c>
      <c r="CC641" s="71">
        <v>0</v>
      </c>
      <c r="CD641" s="71">
        <v>0</v>
      </c>
      <c r="CE641" s="71">
        <v>0</v>
      </c>
      <c r="CF641" s="71">
        <v>201044</v>
      </c>
      <c r="CG641" s="71">
        <v>1</v>
      </c>
      <c r="CH641" s="71">
        <v>1</v>
      </c>
      <c r="CI641" s="71">
        <v>1</v>
      </c>
      <c r="CJ641" s="71">
        <v>0</v>
      </c>
      <c r="CK641" s="71">
        <v>0</v>
      </c>
      <c r="CL641" s="71">
        <v>0</v>
      </c>
      <c r="CM641" s="71">
        <v>0</v>
      </c>
      <c r="CN641" s="71">
        <v>0</v>
      </c>
      <c r="CO641" s="71">
        <v>0</v>
      </c>
      <c r="CP641" s="71">
        <v>0</v>
      </c>
      <c r="CQ641" s="71">
        <v>0</v>
      </c>
      <c r="CR641" s="71">
        <v>0</v>
      </c>
      <c r="CV641" s="71">
        <v>0</v>
      </c>
      <c r="CW641" s="71">
        <v>0</v>
      </c>
    </row>
    <row r="642" s="71" customFormat="1" customHeight="1" spans="1:101">
      <c r="A642" s="71" t="s">
        <v>1002</v>
      </c>
      <c r="B642" s="71" t="s">
        <v>1003</v>
      </c>
      <c r="H642" s="71" t="s">
        <v>999</v>
      </c>
      <c r="I642" s="71" t="s">
        <v>924</v>
      </c>
      <c r="J642" s="71">
        <v>300000</v>
      </c>
      <c r="K642" s="71">
        <v>10000</v>
      </c>
      <c r="N642" s="71">
        <v>10</v>
      </c>
      <c r="O642" s="71">
        <v>230010</v>
      </c>
      <c r="P642" s="71" t="s">
        <v>990</v>
      </c>
      <c r="Q642" s="71">
        <v>0</v>
      </c>
      <c r="R642" s="71">
        <v>0</v>
      </c>
      <c r="S642" s="71" t="s">
        <v>1000</v>
      </c>
      <c r="T642" s="71" t="s">
        <v>319</v>
      </c>
      <c r="U642" s="71" t="s">
        <v>329</v>
      </c>
      <c r="V642" s="71">
        <v>0</v>
      </c>
      <c r="W642" s="71" t="s">
        <v>969</v>
      </c>
      <c r="X642" s="71" t="s">
        <v>673</v>
      </c>
      <c r="Y642" s="71">
        <v>0</v>
      </c>
      <c r="Z642" s="71">
        <v>0</v>
      </c>
      <c r="AA642" s="70" t="s">
        <v>934</v>
      </c>
      <c r="AB642" s="71" t="s">
        <v>669</v>
      </c>
      <c r="AC642" s="71">
        <v>0</v>
      </c>
      <c r="AD642" s="71">
        <v>0</v>
      </c>
      <c r="AE642" s="71">
        <v>201298</v>
      </c>
      <c r="AF642" s="71">
        <v>201299</v>
      </c>
      <c r="AG642" s="71">
        <v>201300</v>
      </c>
      <c r="AH642" s="71">
        <v>201301</v>
      </c>
      <c r="AI642" s="71">
        <v>201302</v>
      </c>
      <c r="AJ642" s="71">
        <v>201303</v>
      </c>
      <c r="AK642" s="71">
        <v>202127</v>
      </c>
      <c r="AL642" s="71">
        <v>230004</v>
      </c>
      <c r="AM642" s="71">
        <v>230441</v>
      </c>
      <c r="AN642" s="71" t="s">
        <v>918</v>
      </c>
      <c r="AU642" s="71">
        <v>2</v>
      </c>
      <c r="AV642" s="71">
        <v>2</v>
      </c>
      <c r="AW642" s="71">
        <v>2</v>
      </c>
      <c r="AX642" s="71">
        <v>2</v>
      </c>
      <c r="AY642" s="71">
        <v>2</v>
      </c>
      <c r="AZ642" s="71">
        <v>2</v>
      </c>
      <c r="BA642" s="71">
        <v>2</v>
      </c>
      <c r="BB642" s="71">
        <v>2</v>
      </c>
      <c r="BC642" s="71">
        <v>2</v>
      </c>
      <c r="BD642" s="71">
        <v>2</v>
      </c>
      <c r="BK642" s="71">
        <v>100</v>
      </c>
      <c r="BL642" s="71">
        <v>100</v>
      </c>
      <c r="BM642" s="71">
        <v>100</v>
      </c>
      <c r="BN642" s="71">
        <v>100</v>
      </c>
      <c r="BO642" s="71">
        <v>100</v>
      </c>
      <c r="BP642" s="71">
        <v>100</v>
      </c>
      <c r="BQ642" s="71">
        <v>100</v>
      </c>
      <c r="BR642" s="71">
        <v>100</v>
      </c>
      <c r="BS642" s="71">
        <v>100</v>
      </c>
      <c r="BT642" s="71" t="s">
        <v>320</v>
      </c>
      <c r="CA642" s="71" t="s">
        <v>466</v>
      </c>
      <c r="CB642" s="71" t="s">
        <v>1001</v>
      </c>
      <c r="CC642" s="71">
        <v>0</v>
      </c>
      <c r="CD642" s="71">
        <v>0</v>
      </c>
      <c r="CE642" s="71">
        <v>0</v>
      </c>
      <c r="CF642" s="71">
        <v>201044</v>
      </c>
      <c r="CG642" s="71">
        <v>1</v>
      </c>
      <c r="CH642" s="71">
        <v>1</v>
      </c>
      <c r="CI642" s="71">
        <v>1</v>
      </c>
      <c r="CJ642" s="71">
        <v>0</v>
      </c>
      <c r="CK642" s="71">
        <v>0</v>
      </c>
      <c r="CL642" s="71">
        <v>0</v>
      </c>
      <c r="CM642" s="71">
        <v>0</v>
      </c>
      <c r="CN642" s="71">
        <v>0</v>
      </c>
      <c r="CO642" s="71">
        <v>0</v>
      </c>
      <c r="CP642" s="71">
        <v>0</v>
      </c>
      <c r="CQ642" s="71">
        <v>0</v>
      </c>
      <c r="CR642" s="71">
        <v>0</v>
      </c>
      <c r="CV642" s="71">
        <v>0</v>
      </c>
      <c r="CW642" s="71">
        <v>0</v>
      </c>
    </row>
    <row r="643" s="71" customFormat="1" customHeight="1" spans="1:101">
      <c r="A643" s="71" t="s">
        <v>1004</v>
      </c>
      <c r="B643" s="71" t="s">
        <v>1005</v>
      </c>
      <c r="H643" s="71" t="s">
        <v>999</v>
      </c>
      <c r="I643" s="71" t="s">
        <v>924</v>
      </c>
      <c r="J643" s="71">
        <v>300000</v>
      </c>
      <c r="K643" s="71">
        <v>10000</v>
      </c>
      <c r="N643" s="71">
        <v>10</v>
      </c>
      <c r="O643" s="71">
        <v>230010</v>
      </c>
      <c r="P643" s="71" t="s">
        <v>824</v>
      </c>
      <c r="Q643" s="71">
        <v>0</v>
      </c>
      <c r="R643" s="71">
        <v>0</v>
      </c>
      <c r="S643" s="71" t="s">
        <v>1000</v>
      </c>
      <c r="T643" s="71" t="s">
        <v>319</v>
      </c>
      <c r="U643" s="71" t="s">
        <v>329</v>
      </c>
      <c r="V643" s="71">
        <v>0</v>
      </c>
      <c r="W643" s="71" t="s">
        <v>969</v>
      </c>
      <c r="X643" s="71" t="s">
        <v>677</v>
      </c>
      <c r="Y643" s="71">
        <v>0</v>
      </c>
      <c r="Z643" s="71">
        <v>0</v>
      </c>
      <c r="AA643" s="70" t="s">
        <v>934</v>
      </c>
      <c r="AB643" s="71" t="s">
        <v>673</v>
      </c>
      <c r="AC643" s="71">
        <v>0</v>
      </c>
      <c r="AD643" s="71">
        <v>0</v>
      </c>
      <c r="AE643" s="71">
        <v>201298</v>
      </c>
      <c r="AF643" s="71">
        <v>201299</v>
      </c>
      <c r="AG643" s="71">
        <v>201300</v>
      </c>
      <c r="AH643" s="71">
        <v>201301</v>
      </c>
      <c r="AI643" s="71">
        <v>201302</v>
      </c>
      <c r="AJ643" s="71">
        <v>201303</v>
      </c>
      <c r="AK643" s="71">
        <v>202127</v>
      </c>
      <c r="AL643" s="71">
        <v>230004</v>
      </c>
      <c r="AM643" s="71">
        <v>230441</v>
      </c>
      <c r="AN643" s="71" t="s">
        <v>918</v>
      </c>
      <c r="AU643" s="71">
        <v>3</v>
      </c>
      <c r="AV643" s="71">
        <v>3</v>
      </c>
      <c r="AW643" s="71">
        <v>3</v>
      </c>
      <c r="AX643" s="71">
        <v>3</v>
      </c>
      <c r="AY643" s="71">
        <v>3</v>
      </c>
      <c r="AZ643" s="71">
        <v>3</v>
      </c>
      <c r="BA643" s="71">
        <v>3</v>
      </c>
      <c r="BB643" s="71">
        <v>3</v>
      </c>
      <c r="BC643" s="71">
        <v>3</v>
      </c>
      <c r="BD643" s="71">
        <v>3</v>
      </c>
      <c r="BK643" s="71">
        <v>100</v>
      </c>
      <c r="BL643" s="71">
        <v>100</v>
      </c>
      <c r="BM643" s="71">
        <v>100</v>
      </c>
      <c r="BN643" s="71">
        <v>100</v>
      </c>
      <c r="BO643" s="71">
        <v>100</v>
      </c>
      <c r="BP643" s="71">
        <v>100</v>
      </c>
      <c r="BQ643" s="71">
        <v>100</v>
      </c>
      <c r="BR643" s="71">
        <v>100</v>
      </c>
      <c r="BS643" s="71">
        <v>100</v>
      </c>
      <c r="BT643" s="71" t="s">
        <v>320</v>
      </c>
      <c r="CA643" s="71" t="s">
        <v>466</v>
      </c>
      <c r="CB643" s="71" t="s">
        <v>1001</v>
      </c>
      <c r="CC643" s="71">
        <v>0</v>
      </c>
      <c r="CD643" s="71">
        <v>0</v>
      </c>
      <c r="CE643" s="71">
        <v>0</v>
      </c>
      <c r="CF643" s="71">
        <v>201044</v>
      </c>
      <c r="CG643" s="71">
        <v>1</v>
      </c>
      <c r="CH643" s="71">
        <v>1</v>
      </c>
      <c r="CI643" s="71">
        <v>1</v>
      </c>
      <c r="CJ643" s="71">
        <v>0</v>
      </c>
      <c r="CK643" s="71">
        <v>0</v>
      </c>
      <c r="CL643" s="71">
        <v>0</v>
      </c>
      <c r="CM643" s="71">
        <v>0</v>
      </c>
      <c r="CN643" s="71">
        <v>0</v>
      </c>
      <c r="CO643" s="71">
        <v>0</v>
      </c>
      <c r="CP643" s="71">
        <v>0</v>
      </c>
      <c r="CQ643" s="71">
        <v>0</v>
      </c>
      <c r="CR643" s="71">
        <v>0</v>
      </c>
      <c r="CV643" s="71">
        <v>0</v>
      </c>
      <c r="CW643" s="71">
        <v>0</v>
      </c>
    </row>
    <row r="644" s="71" customFormat="1" customHeight="1" spans="1:101">
      <c r="A644" s="71" t="s">
        <v>1006</v>
      </c>
      <c r="B644" s="71" t="s">
        <v>1007</v>
      </c>
      <c r="H644" s="71" t="s">
        <v>999</v>
      </c>
      <c r="I644" s="71" t="s">
        <v>924</v>
      </c>
      <c r="J644" s="71">
        <v>300000</v>
      </c>
      <c r="K644" s="71">
        <v>10000</v>
      </c>
      <c r="N644" s="71">
        <v>10</v>
      </c>
      <c r="O644" s="71">
        <v>230010</v>
      </c>
      <c r="P644" s="71" t="s">
        <v>674</v>
      </c>
      <c r="Q644" s="71">
        <v>0</v>
      </c>
      <c r="R644" s="71">
        <v>0</v>
      </c>
      <c r="S644" s="71" t="s">
        <v>1000</v>
      </c>
      <c r="T644" s="71" t="s">
        <v>319</v>
      </c>
      <c r="U644" s="71" t="s">
        <v>329</v>
      </c>
      <c r="V644" s="71">
        <v>0</v>
      </c>
      <c r="W644" s="71" t="s">
        <v>969</v>
      </c>
      <c r="X644" s="71" t="s">
        <v>810</v>
      </c>
      <c r="Y644" s="71">
        <v>0</v>
      </c>
      <c r="Z644" s="71">
        <v>0</v>
      </c>
      <c r="AA644" s="70" t="s">
        <v>934</v>
      </c>
      <c r="AB644" s="71" t="s">
        <v>677</v>
      </c>
      <c r="AC644" s="71">
        <v>0</v>
      </c>
      <c r="AD644" s="71">
        <v>0</v>
      </c>
      <c r="AE644" s="71">
        <v>201298</v>
      </c>
      <c r="AF644" s="71">
        <v>201299</v>
      </c>
      <c r="AG644" s="71">
        <v>201300</v>
      </c>
      <c r="AH644" s="71">
        <v>201301</v>
      </c>
      <c r="AI644" s="71">
        <v>201302</v>
      </c>
      <c r="AJ644" s="71">
        <v>201303</v>
      </c>
      <c r="AK644" s="71">
        <v>202127</v>
      </c>
      <c r="AL644" s="71">
        <v>230004</v>
      </c>
      <c r="AM644" s="71">
        <v>230441</v>
      </c>
      <c r="AN644" s="71" t="s">
        <v>918</v>
      </c>
      <c r="AU644" s="71">
        <v>3</v>
      </c>
      <c r="AV644" s="71">
        <v>3</v>
      </c>
      <c r="AW644" s="71">
        <v>3</v>
      </c>
      <c r="AX644" s="71">
        <v>3</v>
      </c>
      <c r="AY644" s="71">
        <v>3</v>
      </c>
      <c r="AZ644" s="71">
        <v>3</v>
      </c>
      <c r="BA644" s="71">
        <v>3</v>
      </c>
      <c r="BB644" s="71">
        <v>3</v>
      </c>
      <c r="BC644" s="71">
        <v>3</v>
      </c>
      <c r="BD644" s="71">
        <v>3</v>
      </c>
      <c r="BK644" s="71">
        <v>100</v>
      </c>
      <c r="BL644" s="71">
        <v>100</v>
      </c>
      <c r="BM644" s="71">
        <v>100</v>
      </c>
      <c r="BN644" s="71">
        <v>100</v>
      </c>
      <c r="BO644" s="71">
        <v>100</v>
      </c>
      <c r="BP644" s="71">
        <v>100</v>
      </c>
      <c r="BQ644" s="71">
        <v>100</v>
      </c>
      <c r="BR644" s="71">
        <v>100</v>
      </c>
      <c r="BS644" s="71">
        <v>100</v>
      </c>
      <c r="BT644" s="71" t="s">
        <v>320</v>
      </c>
      <c r="CA644" s="71" t="s">
        <v>466</v>
      </c>
      <c r="CB644" s="71" t="s">
        <v>1001</v>
      </c>
      <c r="CC644" s="71">
        <v>0</v>
      </c>
      <c r="CD644" s="71">
        <v>0</v>
      </c>
      <c r="CE644" s="71">
        <v>0</v>
      </c>
      <c r="CF644" s="71">
        <v>201044</v>
      </c>
      <c r="CG644" s="71">
        <v>1</v>
      </c>
      <c r="CH644" s="71">
        <v>1</v>
      </c>
      <c r="CI644" s="71">
        <v>1</v>
      </c>
      <c r="CJ644" s="71">
        <v>0</v>
      </c>
      <c r="CK644" s="71">
        <v>0</v>
      </c>
      <c r="CL644" s="71">
        <v>0</v>
      </c>
      <c r="CM644" s="71">
        <v>0</v>
      </c>
      <c r="CN644" s="71">
        <v>0</v>
      </c>
      <c r="CO644" s="71">
        <v>0</v>
      </c>
      <c r="CP644" s="71">
        <v>0</v>
      </c>
      <c r="CQ644" s="71">
        <v>0</v>
      </c>
      <c r="CR644" s="71">
        <v>0</v>
      </c>
      <c r="CV644" s="71">
        <v>0</v>
      </c>
      <c r="CW644" s="71">
        <v>0</v>
      </c>
    </row>
    <row r="645" s="71" customFormat="1" customHeight="1" spans="1:101">
      <c r="A645" s="71" t="s">
        <v>1008</v>
      </c>
      <c r="B645" s="71" t="s">
        <v>1009</v>
      </c>
      <c r="H645" s="71" t="s">
        <v>999</v>
      </c>
      <c r="I645" s="71" t="s">
        <v>924</v>
      </c>
      <c r="J645" s="71">
        <v>300000</v>
      </c>
      <c r="K645" s="71">
        <v>10000</v>
      </c>
      <c r="N645" s="71">
        <v>10</v>
      </c>
      <c r="O645" s="71">
        <v>230010</v>
      </c>
      <c r="P645" s="71" t="s">
        <v>974</v>
      </c>
      <c r="Q645" s="71">
        <v>0</v>
      </c>
      <c r="R645" s="71">
        <v>0</v>
      </c>
      <c r="S645" s="71" t="s">
        <v>1000</v>
      </c>
      <c r="T645" s="71" t="s">
        <v>319</v>
      </c>
      <c r="U645" s="71" t="s">
        <v>329</v>
      </c>
      <c r="V645" s="71">
        <v>0</v>
      </c>
      <c r="W645" s="71" t="s">
        <v>969</v>
      </c>
      <c r="X645" s="71" t="s">
        <v>983</v>
      </c>
      <c r="Y645" s="71">
        <v>0</v>
      </c>
      <c r="Z645" s="71">
        <v>0</v>
      </c>
      <c r="AA645" s="70" t="s">
        <v>934</v>
      </c>
      <c r="AB645" s="71" t="s">
        <v>810</v>
      </c>
      <c r="AC645" s="71">
        <v>0</v>
      </c>
      <c r="AD645" s="71">
        <v>0</v>
      </c>
      <c r="AE645" s="71">
        <v>201298</v>
      </c>
      <c r="AF645" s="71">
        <v>201299</v>
      </c>
      <c r="AG645" s="71">
        <v>201300</v>
      </c>
      <c r="AH645" s="71">
        <v>201301</v>
      </c>
      <c r="AI645" s="71">
        <v>201302</v>
      </c>
      <c r="AJ645" s="71">
        <v>201303</v>
      </c>
      <c r="AK645" s="71">
        <v>202127</v>
      </c>
      <c r="AL645" s="71">
        <v>230004</v>
      </c>
      <c r="AM645" s="71">
        <v>230441</v>
      </c>
      <c r="AN645" s="71" t="s">
        <v>918</v>
      </c>
      <c r="AU645" s="71">
        <v>4</v>
      </c>
      <c r="AV645" s="71">
        <v>4</v>
      </c>
      <c r="AW645" s="71">
        <v>4</v>
      </c>
      <c r="AX645" s="71">
        <v>4</v>
      </c>
      <c r="AY645" s="71">
        <v>4</v>
      </c>
      <c r="AZ645" s="71">
        <v>4</v>
      </c>
      <c r="BA645" s="71">
        <v>4</v>
      </c>
      <c r="BB645" s="71">
        <v>4</v>
      </c>
      <c r="BC645" s="71">
        <v>4</v>
      </c>
      <c r="BD645" s="71">
        <v>4</v>
      </c>
      <c r="BK645" s="71">
        <v>100</v>
      </c>
      <c r="BL645" s="71">
        <v>100</v>
      </c>
      <c r="BM645" s="71">
        <v>100</v>
      </c>
      <c r="BN645" s="71">
        <v>100</v>
      </c>
      <c r="BO645" s="71">
        <v>100</v>
      </c>
      <c r="BP645" s="71">
        <v>100</v>
      </c>
      <c r="BQ645" s="71">
        <v>100</v>
      </c>
      <c r="BR645" s="71">
        <v>100</v>
      </c>
      <c r="BS645" s="71">
        <v>100</v>
      </c>
      <c r="BT645" s="71" t="s">
        <v>320</v>
      </c>
      <c r="CA645" s="71" t="s">
        <v>466</v>
      </c>
      <c r="CB645" s="71" t="s">
        <v>1001</v>
      </c>
      <c r="CC645" s="71">
        <v>0</v>
      </c>
      <c r="CD645" s="71">
        <v>0</v>
      </c>
      <c r="CE645" s="71">
        <v>0</v>
      </c>
      <c r="CF645" s="71">
        <v>201044</v>
      </c>
      <c r="CG645" s="71">
        <v>1</v>
      </c>
      <c r="CH645" s="71">
        <v>1</v>
      </c>
      <c r="CI645" s="71">
        <v>1</v>
      </c>
      <c r="CJ645" s="71">
        <v>0</v>
      </c>
      <c r="CK645" s="71">
        <v>0</v>
      </c>
      <c r="CL645" s="71">
        <v>0</v>
      </c>
      <c r="CM645" s="71">
        <v>0</v>
      </c>
      <c r="CN645" s="71">
        <v>0</v>
      </c>
      <c r="CO645" s="71">
        <v>0</v>
      </c>
      <c r="CP645" s="71">
        <v>0</v>
      </c>
      <c r="CQ645" s="71">
        <v>0</v>
      </c>
      <c r="CR645" s="71">
        <v>0</v>
      </c>
      <c r="CV645" s="71">
        <v>0</v>
      </c>
      <c r="CW645" s="71">
        <v>0</v>
      </c>
    </row>
    <row r="646" s="71" customFormat="1" customHeight="1" spans="1:101">
      <c r="A646" s="71" t="s">
        <v>1010</v>
      </c>
      <c r="B646" s="71" t="s">
        <v>1011</v>
      </c>
      <c r="H646" s="71" t="s">
        <v>999</v>
      </c>
      <c r="I646" s="71" t="s">
        <v>924</v>
      </c>
      <c r="J646" s="71">
        <v>300000</v>
      </c>
      <c r="K646" s="71">
        <v>10000</v>
      </c>
      <c r="N646" s="71">
        <v>10</v>
      </c>
      <c r="O646" s="71">
        <v>230010</v>
      </c>
      <c r="P646" s="71" t="s">
        <v>1012</v>
      </c>
      <c r="Q646" s="71">
        <v>0</v>
      </c>
      <c r="R646" s="71">
        <v>0</v>
      </c>
      <c r="S646" s="71" t="s">
        <v>1000</v>
      </c>
      <c r="T646" s="71" t="s">
        <v>319</v>
      </c>
      <c r="U646" s="71" t="s">
        <v>329</v>
      </c>
      <c r="V646" s="71">
        <v>0</v>
      </c>
      <c r="W646" s="71" t="s">
        <v>969</v>
      </c>
      <c r="X646" s="71" t="s">
        <v>815</v>
      </c>
      <c r="Y646" s="71">
        <v>0</v>
      </c>
      <c r="Z646" s="71">
        <v>0</v>
      </c>
      <c r="AA646" s="70" t="s">
        <v>934</v>
      </c>
      <c r="AB646" s="71" t="s">
        <v>983</v>
      </c>
      <c r="AC646" s="71">
        <v>0</v>
      </c>
      <c r="AD646" s="71">
        <v>0</v>
      </c>
      <c r="AE646" s="71">
        <v>201298</v>
      </c>
      <c r="AF646" s="71">
        <v>201299</v>
      </c>
      <c r="AG646" s="71">
        <v>201300</v>
      </c>
      <c r="AH646" s="71">
        <v>201301</v>
      </c>
      <c r="AI646" s="71">
        <v>201302</v>
      </c>
      <c r="AJ646" s="71">
        <v>201303</v>
      </c>
      <c r="AK646" s="71">
        <v>202127</v>
      </c>
      <c r="AL646" s="71">
        <v>230004</v>
      </c>
      <c r="AM646" s="71">
        <v>230441</v>
      </c>
      <c r="AN646" s="71" t="s">
        <v>918</v>
      </c>
      <c r="AU646" s="71">
        <v>4</v>
      </c>
      <c r="AV646" s="71">
        <v>4</v>
      </c>
      <c r="AW646" s="71">
        <v>4</v>
      </c>
      <c r="AX646" s="71">
        <v>4</v>
      </c>
      <c r="AY646" s="71">
        <v>4</v>
      </c>
      <c r="AZ646" s="71">
        <v>4</v>
      </c>
      <c r="BA646" s="71">
        <v>4</v>
      </c>
      <c r="BB646" s="71">
        <v>4</v>
      </c>
      <c r="BC646" s="71">
        <v>4</v>
      </c>
      <c r="BD646" s="71">
        <v>4</v>
      </c>
      <c r="BK646" s="71">
        <v>100</v>
      </c>
      <c r="BL646" s="71">
        <v>100</v>
      </c>
      <c r="BM646" s="71">
        <v>100</v>
      </c>
      <c r="BN646" s="71">
        <v>100</v>
      </c>
      <c r="BO646" s="71">
        <v>100</v>
      </c>
      <c r="BP646" s="71">
        <v>100</v>
      </c>
      <c r="BQ646" s="71">
        <v>100</v>
      </c>
      <c r="BR646" s="71">
        <v>100</v>
      </c>
      <c r="BS646" s="71">
        <v>100</v>
      </c>
      <c r="BT646" s="71" t="s">
        <v>320</v>
      </c>
      <c r="CA646" s="71" t="s">
        <v>466</v>
      </c>
      <c r="CB646" s="71" t="s">
        <v>1001</v>
      </c>
      <c r="CC646" s="71">
        <v>0</v>
      </c>
      <c r="CD646" s="71">
        <v>0</v>
      </c>
      <c r="CE646" s="71">
        <v>0</v>
      </c>
      <c r="CF646" s="71">
        <v>201044</v>
      </c>
      <c r="CG646" s="71">
        <v>1</v>
      </c>
      <c r="CH646" s="71">
        <v>1</v>
      </c>
      <c r="CI646" s="71">
        <v>1</v>
      </c>
      <c r="CJ646" s="71">
        <v>0</v>
      </c>
      <c r="CK646" s="71">
        <v>0</v>
      </c>
      <c r="CL646" s="71">
        <v>0</v>
      </c>
      <c r="CM646" s="71">
        <v>0</v>
      </c>
      <c r="CN646" s="71">
        <v>0</v>
      </c>
      <c r="CO646" s="71">
        <v>0</v>
      </c>
      <c r="CP646" s="71">
        <v>0</v>
      </c>
      <c r="CQ646" s="71">
        <v>0</v>
      </c>
      <c r="CR646" s="71">
        <v>0</v>
      </c>
      <c r="CV646" s="71">
        <v>0</v>
      </c>
      <c r="CW646" s="71">
        <v>0</v>
      </c>
    </row>
    <row r="647" s="71" customFormat="1" customHeight="1" spans="1:101">
      <c r="A647" s="71" t="s">
        <v>1013</v>
      </c>
      <c r="B647" s="71" t="s">
        <v>1014</v>
      </c>
      <c r="H647" s="71" t="s">
        <v>999</v>
      </c>
      <c r="I647" s="71" t="s">
        <v>924</v>
      </c>
      <c r="J647" s="71">
        <v>300000</v>
      </c>
      <c r="K647" s="71">
        <v>10000</v>
      </c>
      <c r="N647" s="71">
        <v>10</v>
      </c>
      <c r="O647" s="71">
        <v>230010</v>
      </c>
      <c r="P647" s="71" t="s">
        <v>1015</v>
      </c>
      <c r="Q647" s="71">
        <v>0</v>
      </c>
      <c r="R647" s="71">
        <v>0</v>
      </c>
      <c r="S647" s="71" t="s">
        <v>1000</v>
      </c>
      <c r="T647" s="71" t="s">
        <v>319</v>
      </c>
      <c r="U647" s="71" t="s">
        <v>329</v>
      </c>
      <c r="V647" s="71">
        <v>0</v>
      </c>
      <c r="W647" s="71" t="s">
        <v>969</v>
      </c>
      <c r="X647" s="71" t="s">
        <v>990</v>
      </c>
      <c r="Y647" s="71">
        <v>0</v>
      </c>
      <c r="Z647" s="71">
        <v>0</v>
      </c>
      <c r="AA647" s="70" t="s">
        <v>934</v>
      </c>
      <c r="AB647" s="71" t="s">
        <v>815</v>
      </c>
      <c r="AC647" s="71">
        <v>0</v>
      </c>
      <c r="AD647" s="71">
        <v>0</v>
      </c>
      <c r="AE647" s="71">
        <v>201298</v>
      </c>
      <c r="AF647" s="71">
        <v>201299</v>
      </c>
      <c r="AG647" s="71">
        <v>201300</v>
      </c>
      <c r="AH647" s="71">
        <v>201301</v>
      </c>
      <c r="AI647" s="71">
        <v>201302</v>
      </c>
      <c r="AJ647" s="71">
        <v>201303</v>
      </c>
      <c r="AK647" s="71">
        <v>202127</v>
      </c>
      <c r="AL647" s="71">
        <v>230004</v>
      </c>
      <c r="AM647" s="71">
        <v>230441</v>
      </c>
      <c r="AN647" s="71" t="s">
        <v>918</v>
      </c>
      <c r="AU647" s="71">
        <v>5</v>
      </c>
      <c r="AV647" s="71">
        <v>5</v>
      </c>
      <c r="AW647" s="71">
        <v>5</v>
      </c>
      <c r="AX647" s="71">
        <v>5</v>
      </c>
      <c r="AY647" s="71">
        <v>5</v>
      </c>
      <c r="AZ647" s="71">
        <v>5</v>
      </c>
      <c r="BA647" s="71">
        <v>5</v>
      </c>
      <c r="BB647" s="71">
        <v>5</v>
      </c>
      <c r="BC647" s="71">
        <v>5</v>
      </c>
      <c r="BD647" s="71">
        <v>5</v>
      </c>
      <c r="BK647" s="71">
        <v>100</v>
      </c>
      <c r="BL647" s="71">
        <v>100</v>
      </c>
      <c r="BM647" s="71">
        <v>100</v>
      </c>
      <c r="BN647" s="71">
        <v>100</v>
      </c>
      <c r="BO647" s="71">
        <v>100</v>
      </c>
      <c r="BP647" s="71">
        <v>100</v>
      </c>
      <c r="BQ647" s="71">
        <v>100</v>
      </c>
      <c r="BR647" s="71">
        <v>100</v>
      </c>
      <c r="BS647" s="71">
        <v>100</v>
      </c>
      <c r="BT647" s="71" t="s">
        <v>320</v>
      </c>
      <c r="CA647" s="71" t="s">
        <v>466</v>
      </c>
      <c r="CB647" s="71" t="s">
        <v>1001</v>
      </c>
      <c r="CC647" s="71">
        <v>0</v>
      </c>
      <c r="CD647" s="71">
        <v>0</v>
      </c>
      <c r="CE647" s="71">
        <v>0</v>
      </c>
      <c r="CF647" s="71">
        <v>201044</v>
      </c>
      <c r="CG647" s="71">
        <v>1</v>
      </c>
      <c r="CH647" s="71">
        <v>1</v>
      </c>
      <c r="CI647" s="71">
        <v>1</v>
      </c>
      <c r="CJ647" s="71">
        <v>0</v>
      </c>
      <c r="CK647" s="71">
        <v>0</v>
      </c>
      <c r="CL647" s="71">
        <v>0</v>
      </c>
      <c r="CM647" s="71">
        <v>0</v>
      </c>
      <c r="CN647" s="71">
        <v>0</v>
      </c>
      <c r="CO647" s="71">
        <v>0</v>
      </c>
      <c r="CP647" s="71">
        <v>0</v>
      </c>
      <c r="CQ647" s="71">
        <v>0</v>
      </c>
      <c r="CR647" s="71">
        <v>0</v>
      </c>
      <c r="CV647" s="71">
        <v>0</v>
      </c>
      <c r="CW647" s="71">
        <v>0</v>
      </c>
    </row>
    <row r="648" s="71" customFormat="1" customHeight="1" spans="1:101">
      <c r="A648" s="71" t="s">
        <v>1016</v>
      </c>
      <c r="B648" s="71" t="s">
        <v>1017</v>
      </c>
      <c r="H648" s="71" t="s">
        <v>999</v>
      </c>
      <c r="I648" s="71" t="s">
        <v>924</v>
      </c>
      <c r="J648" s="71">
        <v>300000</v>
      </c>
      <c r="K648" s="71">
        <v>10000</v>
      </c>
      <c r="N648" s="71">
        <v>10</v>
      </c>
      <c r="O648" s="71">
        <v>230010</v>
      </c>
      <c r="P648" s="71" t="s">
        <v>1018</v>
      </c>
      <c r="Q648" s="71">
        <v>0</v>
      </c>
      <c r="R648" s="71">
        <v>0</v>
      </c>
      <c r="S648" s="71" t="s">
        <v>1000</v>
      </c>
      <c r="T648" s="71" t="s">
        <v>319</v>
      </c>
      <c r="U648" s="71" t="s">
        <v>329</v>
      </c>
      <c r="V648" s="71">
        <v>0</v>
      </c>
      <c r="W648" s="71" t="s">
        <v>969</v>
      </c>
      <c r="X648" s="71" t="s">
        <v>670</v>
      </c>
      <c r="Y648" s="71">
        <v>0</v>
      </c>
      <c r="Z648" s="71">
        <v>0</v>
      </c>
      <c r="AA648" s="70" t="s">
        <v>934</v>
      </c>
      <c r="AB648" s="71" t="s">
        <v>990</v>
      </c>
      <c r="AC648" s="71">
        <v>0</v>
      </c>
      <c r="AD648" s="71">
        <v>0</v>
      </c>
      <c r="AE648" s="71">
        <v>201298</v>
      </c>
      <c r="AF648" s="71">
        <v>201299</v>
      </c>
      <c r="AG648" s="71">
        <v>201300</v>
      </c>
      <c r="AH648" s="71">
        <v>201301</v>
      </c>
      <c r="AI648" s="71">
        <v>201302</v>
      </c>
      <c r="AJ648" s="71">
        <v>201303</v>
      </c>
      <c r="AK648" s="71">
        <v>202127</v>
      </c>
      <c r="AL648" s="71">
        <v>230004</v>
      </c>
      <c r="AM648" s="71">
        <v>230441</v>
      </c>
      <c r="AN648" s="71" t="s">
        <v>918</v>
      </c>
      <c r="AU648" s="71">
        <v>5</v>
      </c>
      <c r="AV648" s="71">
        <v>5</v>
      </c>
      <c r="AW648" s="71">
        <v>5</v>
      </c>
      <c r="AX648" s="71">
        <v>5</v>
      </c>
      <c r="AY648" s="71">
        <v>5</v>
      </c>
      <c r="AZ648" s="71">
        <v>5</v>
      </c>
      <c r="BA648" s="71">
        <v>5</v>
      </c>
      <c r="BB648" s="71">
        <v>5</v>
      </c>
      <c r="BC648" s="71">
        <v>5</v>
      </c>
      <c r="BD648" s="71">
        <v>5</v>
      </c>
      <c r="BK648" s="71">
        <v>100</v>
      </c>
      <c r="BL648" s="71">
        <v>100</v>
      </c>
      <c r="BM648" s="71">
        <v>100</v>
      </c>
      <c r="BN648" s="71">
        <v>100</v>
      </c>
      <c r="BO648" s="71">
        <v>100</v>
      </c>
      <c r="BP648" s="71">
        <v>100</v>
      </c>
      <c r="BQ648" s="71">
        <v>100</v>
      </c>
      <c r="BR648" s="71">
        <v>100</v>
      </c>
      <c r="BS648" s="71">
        <v>100</v>
      </c>
      <c r="BT648" s="71" t="s">
        <v>320</v>
      </c>
      <c r="CA648" s="71" t="s">
        <v>466</v>
      </c>
      <c r="CB648" s="71" t="s">
        <v>1001</v>
      </c>
      <c r="CC648" s="71">
        <v>0</v>
      </c>
      <c r="CD648" s="71">
        <v>0</v>
      </c>
      <c r="CE648" s="71">
        <v>0</v>
      </c>
      <c r="CF648" s="71">
        <v>201044</v>
      </c>
      <c r="CG648" s="71">
        <v>1</v>
      </c>
      <c r="CH648" s="71">
        <v>1</v>
      </c>
      <c r="CI648" s="71">
        <v>1</v>
      </c>
      <c r="CJ648" s="71">
        <v>0</v>
      </c>
      <c r="CK648" s="71">
        <v>0</v>
      </c>
      <c r="CL648" s="71">
        <v>0</v>
      </c>
      <c r="CM648" s="71">
        <v>0</v>
      </c>
      <c r="CN648" s="71">
        <v>0</v>
      </c>
      <c r="CO648" s="71">
        <v>0</v>
      </c>
      <c r="CP648" s="71">
        <v>0</v>
      </c>
      <c r="CQ648" s="71">
        <v>0</v>
      </c>
      <c r="CR648" s="71">
        <v>0</v>
      </c>
      <c r="CV648" s="71">
        <v>0</v>
      </c>
      <c r="CW648" s="71">
        <v>0</v>
      </c>
    </row>
    <row r="649" s="71" customFormat="1" customHeight="1" spans="1:101">
      <c r="A649" s="71" t="s">
        <v>1019</v>
      </c>
      <c r="B649" s="71" t="s">
        <v>1020</v>
      </c>
      <c r="H649" s="71" t="s">
        <v>999</v>
      </c>
      <c r="I649" s="71" t="s">
        <v>924</v>
      </c>
      <c r="J649" s="71">
        <v>300000</v>
      </c>
      <c r="K649" s="71">
        <v>10000</v>
      </c>
      <c r="N649" s="71">
        <v>10</v>
      </c>
      <c r="O649" s="71">
        <v>230010</v>
      </c>
      <c r="P649" s="71" t="s">
        <v>1021</v>
      </c>
      <c r="Q649" s="71">
        <v>0</v>
      </c>
      <c r="R649" s="71">
        <v>0</v>
      </c>
      <c r="S649" s="71" t="s">
        <v>1000</v>
      </c>
      <c r="T649" s="71" t="s">
        <v>319</v>
      </c>
      <c r="U649" s="71" t="s">
        <v>329</v>
      </c>
      <c r="V649" s="71">
        <v>0</v>
      </c>
      <c r="W649" s="71" t="s">
        <v>969</v>
      </c>
      <c r="X649" s="71" t="s">
        <v>996</v>
      </c>
      <c r="Y649" s="71">
        <v>0</v>
      </c>
      <c r="Z649" s="71">
        <v>0</v>
      </c>
      <c r="AA649" s="70" t="s">
        <v>934</v>
      </c>
      <c r="AB649" s="71" t="s">
        <v>670</v>
      </c>
      <c r="AC649" s="71">
        <v>0</v>
      </c>
      <c r="AD649" s="71">
        <v>0</v>
      </c>
      <c r="AE649" s="71">
        <v>201298</v>
      </c>
      <c r="AF649" s="71">
        <v>201299</v>
      </c>
      <c r="AG649" s="71">
        <v>201300</v>
      </c>
      <c r="AH649" s="71">
        <v>201301</v>
      </c>
      <c r="AI649" s="71">
        <v>201302</v>
      </c>
      <c r="AJ649" s="71">
        <v>201303</v>
      </c>
      <c r="AK649" s="71">
        <v>202127</v>
      </c>
      <c r="AL649" s="71">
        <v>230004</v>
      </c>
      <c r="AM649" s="71">
        <v>230441</v>
      </c>
      <c r="AN649" s="71" t="s">
        <v>918</v>
      </c>
      <c r="AU649" s="71">
        <v>6</v>
      </c>
      <c r="AV649" s="71">
        <v>6</v>
      </c>
      <c r="AW649" s="71">
        <v>6</v>
      </c>
      <c r="AX649" s="71">
        <v>6</v>
      </c>
      <c r="AY649" s="71">
        <v>6</v>
      </c>
      <c r="AZ649" s="71">
        <v>6</v>
      </c>
      <c r="BA649" s="71">
        <v>6</v>
      </c>
      <c r="BB649" s="71">
        <v>6</v>
      </c>
      <c r="BC649" s="71">
        <v>6</v>
      </c>
      <c r="BD649" s="71">
        <v>6</v>
      </c>
      <c r="BK649" s="71">
        <v>100</v>
      </c>
      <c r="BL649" s="71">
        <v>100</v>
      </c>
      <c r="BM649" s="71">
        <v>100</v>
      </c>
      <c r="BN649" s="71">
        <v>100</v>
      </c>
      <c r="BO649" s="71">
        <v>100</v>
      </c>
      <c r="BP649" s="71">
        <v>100</v>
      </c>
      <c r="BQ649" s="71">
        <v>100</v>
      </c>
      <c r="BR649" s="71">
        <v>100</v>
      </c>
      <c r="BS649" s="71">
        <v>100</v>
      </c>
      <c r="BT649" s="71" t="s">
        <v>320</v>
      </c>
      <c r="CA649" s="71" t="s">
        <v>466</v>
      </c>
      <c r="CB649" s="71" t="s">
        <v>1001</v>
      </c>
      <c r="CC649" s="71">
        <v>0</v>
      </c>
      <c r="CD649" s="71">
        <v>0</v>
      </c>
      <c r="CE649" s="71">
        <v>0</v>
      </c>
      <c r="CF649" s="71">
        <v>201044</v>
      </c>
      <c r="CG649" s="71">
        <v>1</v>
      </c>
      <c r="CH649" s="71">
        <v>1</v>
      </c>
      <c r="CI649" s="71">
        <v>1</v>
      </c>
      <c r="CJ649" s="71">
        <v>0</v>
      </c>
      <c r="CK649" s="71">
        <v>0</v>
      </c>
      <c r="CL649" s="71">
        <v>0</v>
      </c>
      <c r="CM649" s="71">
        <v>0</v>
      </c>
      <c r="CN649" s="71">
        <v>0</v>
      </c>
      <c r="CO649" s="71">
        <v>0</v>
      </c>
      <c r="CP649" s="71">
        <v>0</v>
      </c>
      <c r="CQ649" s="71">
        <v>0</v>
      </c>
      <c r="CR649" s="71">
        <v>0</v>
      </c>
      <c r="CV649" s="71">
        <v>0</v>
      </c>
      <c r="CW649" s="71">
        <v>0</v>
      </c>
    </row>
    <row r="650" s="73" customFormat="1" customHeight="1" spans="1:101">
      <c r="A650" s="171" t="s">
        <v>1022</v>
      </c>
      <c r="B650" s="73" t="s">
        <v>1023</v>
      </c>
      <c r="O650" s="171" t="s">
        <v>875</v>
      </c>
      <c r="P650" s="73">
        <v>1</v>
      </c>
      <c r="Q650" s="73">
        <v>0</v>
      </c>
      <c r="R650" s="73">
        <v>0</v>
      </c>
      <c r="S650" s="173">
        <v>0</v>
      </c>
      <c r="T650" s="173">
        <v>0</v>
      </c>
      <c r="U650" s="173">
        <v>0</v>
      </c>
      <c r="V650" s="173">
        <v>0</v>
      </c>
      <c r="W650" s="173">
        <v>0</v>
      </c>
      <c r="X650" s="173" t="s">
        <v>329</v>
      </c>
      <c r="Y650" s="173">
        <v>0</v>
      </c>
      <c r="Z650" s="173">
        <v>0</v>
      </c>
      <c r="AA650" s="73">
        <v>0</v>
      </c>
      <c r="AB650" s="73">
        <v>0</v>
      </c>
      <c r="AC650" s="73">
        <v>0</v>
      </c>
      <c r="AD650" s="73">
        <v>0</v>
      </c>
      <c r="CA650" s="73">
        <v>100</v>
      </c>
      <c r="CB650" s="73">
        <v>100</v>
      </c>
      <c r="CC650" s="73">
        <v>0</v>
      </c>
      <c r="CD650" s="73">
        <v>0</v>
      </c>
      <c r="CE650" s="73">
        <v>0</v>
      </c>
      <c r="CF650" s="73">
        <v>0</v>
      </c>
      <c r="CG650" s="73">
        <v>1</v>
      </c>
      <c r="CH650" s="73">
        <v>0</v>
      </c>
      <c r="CI650" s="73">
        <v>1</v>
      </c>
      <c r="CJ650" s="73">
        <v>0</v>
      </c>
      <c r="CK650" s="73">
        <v>0</v>
      </c>
      <c r="CL650" s="73">
        <v>0</v>
      </c>
      <c r="CM650" s="73">
        <v>0</v>
      </c>
      <c r="CN650" s="73">
        <v>0</v>
      </c>
      <c r="CO650" s="73">
        <v>0</v>
      </c>
      <c r="CP650" s="73">
        <v>0</v>
      </c>
      <c r="CQ650" s="73">
        <v>1</v>
      </c>
      <c r="CR650" s="73">
        <v>0</v>
      </c>
      <c r="CV650" s="73">
        <v>0</v>
      </c>
      <c r="CW650" s="73">
        <v>0</v>
      </c>
    </row>
    <row r="651" s="73" customFormat="1" customHeight="1" spans="1:101">
      <c r="A651" s="171" t="s">
        <v>1024</v>
      </c>
      <c r="B651" s="73" t="s">
        <v>1025</v>
      </c>
      <c r="O651" s="171" t="s">
        <v>876</v>
      </c>
      <c r="P651" s="73">
        <v>1</v>
      </c>
      <c r="Q651" s="73">
        <v>0</v>
      </c>
      <c r="R651" s="73">
        <v>0</v>
      </c>
      <c r="S651" s="173">
        <v>0</v>
      </c>
      <c r="T651" s="173">
        <v>0</v>
      </c>
      <c r="U651" s="173">
        <v>0</v>
      </c>
      <c r="V651" s="173">
        <v>0</v>
      </c>
      <c r="W651" s="173">
        <v>0</v>
      </c>
      <c r="X651" s="173" t="s">
        <v>329</v>
      </c>
      <c r="Y651" s="173">
        <v>0</v>
      </c>
      <c r="Z651" s="173">
        <v>0</v>
      </c>
      <c r="AA651" s="73">
        <v>0</v>
      </c>
      <c r="AB651" s="73">
        <v>0</v>
      </c>
      <c r="AC651" s="73">
        <v>0</v>
      </c>
      <c r="AD651" s="73">
        <v>0</v>
      </c>
      <c r="CA651" s="73">
        <v>100</v>
      </c>
      <c r="CB651" s="73">
        <v>100</v>
      </c>
      <c r="CC651" s="73">
        <v>0</v>
      </c>
      <c r="CD651" s="73">
        <v>0</v>
      </c>
      <c r="CE651" s="73">
        <v>0</v>
      </c>
      <c r="CF651" s="73">
        <v>0</v>
      </c>
      <c r="CG651" s="73">
        <v>1</v>
      </c>
      <c r="CH651" s="73">
        <v>0</v>
      </c>
      <c r="CI651" s="73">
        <v>1</v>
      </c>
      <c r="CJ651" s="73">
        <v>0</v>
      </c>
      <c r="CK651" s="73">
        <v>0</v>
      </c>
      <c r="CL651" s="73">
        <v>0</v>
      </c>
      <c r="CM651" s="73">
        <v>0</v>
      </c>
      <c r="CN651" s="73">
        <v>0</v>
      </c>
      <c r="CO651" s="73">
        <v>0</v>
      </c>
      <c r="CP651" s="73">
        <v>0</v>
      </c>
      <c r="CQ651" s="73">
        <v>1</v>
      </c>
      <c r="CR651" s="73">
        <v>0</v>
      </c>
      <c r="CV651" s="73">
        <v>0</v>
      </c>
      <c r="CW651" s="73">
        <v>0</v>
      </c>
    </row>
    <row r="652" s="73" customFormat="1" customHeight="1" spans="1:101">
      <c r="A652" s="171" t="s">
        <v>1026</v>
      </c>
      <c r="B652" s="73" t="s">
        <v>1027</v>
      </c>
      <c r="O652" s="171" t="s">
        <v>877</v>
      </c>
      <c r="P652" s="73">
        <v>1</v>
      </c>
      <c r="Q652" s="73">
        <v>0</v>
      </c>
      <c r="R652" s="73">
        <v>0</v>
      </c>
      <c r="S652" s="173">
        <v>0</v>
      </c>
      <c r="T652" s="173">
        <v>0</v>
      </c>
      <c r="U652" s="173">
        <v>0</v>
      </c>
      <c r="V652" s="173">
        <v>0</v>
      </c>
      <c r="W652" s="173">
        <v>0</v>
      </c>
      <c r="X652" s="173" t="s">
        <v>329</v>
      </c>
      <c r="Y652" s="173">
        <v>0</v>
      </c>
      <c r="Z652" s="173">
        <v>0</v>
      </c>
      <c r="AA652" s="73">
        <v>0</v>
      </c>
      <c r="AB652" s="73">
        <v>0</v>
      </c>
      <c r="AC652" s="73">
        <v>0</v>
      </c>
      <c r="AD652" s="73">
        <v>0</v>
      </c>
      <c r="CA652" s="73">
        <v>100</v>
      </c>
      <c r="CB652" s="73">
        <v>100</v>
      </c>
      <c r="CC652" s="73">
        <v>0</v>
      </c>
      <c r="CD652" s="73">
        <v>0</v>
      </c>
      <c r="CE652" s="73">
        <v>0</v>
      </c>
      <c r="CF652" s="73">
        <v>0</v>
      </c>
      <c r="CG652" s="73">
        <v>1</v>
      </c>
      <c r="CH652" s="73">
        <v>0</v>
      </c>
      <c r="CI652" s="73">
        <v>1</v>
      </c>
      <c r="CJ652" s="73">
        <v>0</v>
      </c>
      <c r="CK652" s="73">
        <v>0</v>
      </c>
      <c r="CL652" s="73">
        <v>0</v>
      </c>
      <c r="CM652" s="73">
        <v>0</v>
      </c>
      <c r="CN652" s="73">
        <v>0</v>
      </c>
      <c r="CO652" s="73">
        <v>0</v>
      </c>
      <c r="CP652" s="73">
        <v>0</v>
      </c>
      <c r="CQ652" s="73">
        <v>1</v>
      </c>
      <c r="CR652" s="73">
        <v>0</v>
      </c>
      <c r="CV652" s="73">
        <v>0</v>
      </c>
      <c r="CW652" s="73">
        <v>0</v>
      </c>
    </row>
    <row r="653" s="73" customFormat="1" customHeight="1" spans="1:101">
      <c r="A653" s="171" t="s">
        <v>1028</v>
      </c>
      <c r="B653" s="73" t="s">
        <v>1029</v>
      </c>
      <c r="O653" s="171" t="s">
        <v>1030</v>
      </c>
      <c r="P653" s="73">
        <v>1</v>
      </c>
      <c r="Q653" s="73">
        <v>0</v>
      </c>
      <c r="R653" s="73">
        <v>0</v>
      </c>
      <c r="S653" s="173">
        <v>0</v>
      </c>
      <c r="T653" s="173">
        <v>0</v>
      </c>
      <c r="U653" s="173">
        <v>0</v>
      </c>
      <c r="V653" s="173">
        <v>0</v>
      </c>
      <c r="W653" s="173">
        <v>0</v>
      </c>
      <c r="X653" s="173" t="s">
        <v>329</v>
      </c>
      <c r="Y653" s="173">
        <v>0</v>
      </c>
      <c r="Z653" s="173">
        <v>0</v>
      </c>
      <c r="AA653" s="73">
        <v>0</v>
      </c>
      <c r="AB653" s="73">
        <v>0</v>
      </c>
      <c r="AC653" s="73">
        <v>0</v>
      </c>
      <c r="AD653" s="73">
        <v>0</v>
      </c>
      <c r="CA653" s="73">
        <v>100</v>
      </c>
      <c r="CB653" s="73">
        <v>100</v>
      </c>
      <c r="CC653" s="73">
        <v>0</v>
      </c>
      <c r="CD653" s="73">
        <v>0</v>
      </c>
      <c r="CE653" s="73">
        <v>0</v>
      </c>
      <c r="CF653" s="73">
        <v>0</v>
      </c>
      <c r="CG653" s="73">
        <v>1</v>
      </c>
      <c r="CH653" s="73">
        <v>0</v>
      </c>
      <c r="CI653" s="73">
        <v>1</v>
      </c>
      <c r="CJ653" s="73">
        <v>0</v>
      </c>
      <c r="CK653" s="73">
        <v>0</v>
      </c>
      <c r="CL653" s="73">
        <v>0</v>
      </c>
      <c r="CM653" s="73">
        <v>0</v>
      </c>
      <c r="CN653" s="73">
        <v>0</v>
      </c>
      <c r="CO653" s="73">
        <v>0</v>
      </c>
      <c r="CP653" s="73">
        <v>0</v>
      </c>
      <c r="CQ653" s="73">
        <v>1</v>
      </c>
      <c r="CR653" s="73">
        <v>0</v>
      </c>
      <c r="CV653" s="73">
        <v>0</v>
      </c>
      <c r="CW653" s="73">
        <v>0</v>
      </c>
    </row>
    <row r="654" s="73" customFormat="1" customHeight="1" spans="1:101">
      <c r="A654" s="171" t="s">
        <v>1031</v>
      </c>
      <c r="B654" s="73" t="s">
        <v>1032</v>
      </c>
      <c r="O654" s="171" t="s">
        <v>1033</v>
      </c>
      <c r="P654" s="73">
        <v>1</v>
      </c>
      <c r="Q654" s="73">
        <v>0</v>
      </c>
      <c r="R654" s="73">
        <v>0</v>
      </c>
      <c r="S654" s="173">
        <v>0</v>
      </c>
      <c r="T654" s="173">
        <v>0</v>
      </c>
      <c r="U654" s="173">
        <v>0</v>
      </c>
      <c r="V654" s="173">
        <v>0</v>
      </c>
      <c r="W654" s="173">
        <v>0</v>
      </c>
      <c r="X654" s="173" t="s">
        <v>329</v>
      </c>
      <c r="Y654" s="173">
        <v>0</v>
      </c>
      <c r="Z654" s="173">
        <v>0</v>
      </c>
      <c r="AA654" s="73">
        <v>0</v>
      </c>
      <c r="AB654" s="73">
        <v>0</v>
      </c>
      <c r="AC654" s="73">
        <v>0</v>
      </c>
      <c r="AD654" s="73">
        <v>0</v>
      </c>
      <c r="CA654" s="73">
        <v>100</v>
      </c>
      <c r="CB654" s="73">
        <v>100</v>
      </c>
      <c r="CC654" s="73">
        <v>0</v>
      </c>
      <c r="CD654" s="73">
        <v>0</v>
      </c>
      <c r="CE654" s="73">
        <v>0</v>
      </c>
      <c r="CF654" s="73">
        <v>0</v>
      </c>
      <c r="CG654" s="73">
        <v>1</v>
      </c>
      <c r="CH654" s="73">
        <v>0</v>
      </c>
      <c r="CI654" s="73">
        <v>1</v>
      </c>
      <c r="CJ654" s="73">
        <v>0</v>
      </c>
      <c r="CK654" s="73">
        <v>0</v>
      </c>
      <c r="CL654" s="73">
        <v>0</v>
      </c>
      <c r="CM654" s="73">
        <v>0</v>
      </c>
      <c r="CN654" s="73">
        <v>0</v>
      </c>
      <c r="CO654" s="73">
        <v>0</v>
      </c>
      <c r="CP654" s="73">
        <v>0</v>
      </c>
      <c r="CQ654" s="73">
        <v>1</v>
      </c>
      <c r="CR654" s="73">
        <v>0</v>
      </c>
      <c r="CV654" s="73">
        <v>0</v>
      </c>
      <c r="CW654" s="73">
        <v>0</v>
      </c>
    </row>
    <row r="655" s="73" customFormat="1" customHeight="1" spans="1:101">
      <c r="A655" s="171" t="s">
        <v>1034</v>
      </c>
      <c r="B655" s="73" t="s">
        <v>1035</v>
      </c>
      <c r="O655" s="171" t="s">
        <v>1036</v>
      </c>
      <c r="P655" s="73">
        <v>1</v>
      </c>
      <c r="Q655" s="73">
        <v>0</v>
      </c>
      <c r="R655" s="73">
        <v>0</v>
      </c>
      <c r="S655" s="173">
        <v>0</v>
      </c>
      <c r="T655" s="173">
        <v>0</v>
      </c>
      <c r="U655" s="173">
        <v>0</v>
      </c>
      <c r="V655" s="173">
        <v>0</v>
      </c>
      <c r="W655" s="173">
        <v>0</v>
      </c>
      <c r="X655" s="173" t="s">
        <v>329</v>
      </c>
      <c r="Y655" s="173">
        <v>0</v>
      </c>
      <c r="Z655" s="173">
        <v>0</v>
      </c>
      <c r="AA655" s="73">
        <v>0</v>
      </c>
      <c r="AB655" s="73">
        <v>0</v>
      </c>
      <c r="AC655" s="73">
        <v>0</v>
      </c>
      <c r="AD655" s="73">
        <v>0</v>
      </c>
      <c r="CA655" s="73">
        <v>100</v>
      </c>
      <c r="CB655" s="73">
        <v>100</v>
      </c>
      <c r="CC655" s="73">
        <v>0</v>
      </c>
      <c r="CD655" s="73">
        <v>0</v>
      </c>
      <c r="CE655" s="73">
        <v>0</v>
      </c>
      <c r="CF655" s="73">
        <v>0</v>
      </c>
      <c r="CG655" s="73">
        <v>1</v>
      </c>
      <c r="CH655" s="73">
        <v>0</v>
      </c>
      <c r="CI655" s="73">
        <v>1</v>
      </c>
      <c r="CJ655" s="73">
        <v>0</v>
      </c>
      <c r="CK655" s="73">
        <v>0</v>
      </c>
      <c r="CL655" s="73">
        <v>0</v>
      </c>
      <c r="CM655" s="73">
        <v>0</v>
      </c>
      <c r="CN655" s="73">
        <v>0</v>
      </c>
      <c r="CO655" s="73">
        <v>0</v>
      </c>
      <c r="CP655" s="73">
        <v>0</v>
      </c>
      <c r="CQ655" s="73">
        <v>1</v>
      </c>
      <c r="CR655" s="73">
        <v>0</v>
      </c>
      <c r="CV655" s="73">
        <v>0</v>
      </c>
      <c r="CW655" s="73">
        <v>0</v>
      </c>
    </row>
    <row r="656" s="74" customFormat="1" ht="16.5" spans="1:101">
      <c r="A656" s="74">
        <v>7983</v>
      </c>
      <c r="B656" s="74" t="s">
        <v>1037</v>
      </c>
      <c r="H656" s="74">
        <v>1000000</v>
      </c>
      <c r="I656" s="74" t="s">
        <v>924</v>
      </c>
      <c r="J656" s="74">
        <v>100000</v>
      </c>
      <c r="K656" s="74">
        <v>45000</v>
      </c>
      <c r="O656" s="74">
        <v>230040</v>
      </c>
      <c r="P656" s="74">
        <v>1</v>
      </c>
      <c r="Q656" s="74">
        <v>0</v>
      </c>
      <c r="R656" s="74">
        <v>0</v>
      </c>
      <c r="S656" s="74">
        <v>0</v>
      </c>
      <c r="T656" s="74">
        <v>0</v>
      </c>
      <c r="U656" s="74">
        <v>0</v>
      </c>
      <c r="V656" s="74">
        <v>0</v>
      </c>
      <c r="W656" s="74">
        <v>0</v>
      </c>
      <c r="X656" s="74">
        <v>0</v>
      </c>
      <c r="Y656" s="74">
        <v>0</v>
      </c>
      <c r="Z656" s="74">
        <v>0</v>
      </c>
      <c r="AA656" s="74">
        <v>0</v>
      </c>
      <c r="AB656" s="74">
        <v>0</v>
      </c>
      <c r="AC656" s="74">
        <v>0</v>
      </c>
      <c r="AD656" s="74">
        <v>0</v>
      </c>
      <c r="AE656" s="74">
        <v>201305</v>
      </c>
      <c r="AF656" s="74">
        <v>201306</v>
      </c>
      <c r="AG656" s="74">
        <v>201307</v>
      </c>
      <c r="AH656" s="74">
        <v>201308</v>
      </c>
      <c r="AI656" s="74">
        <v>201309</v>
      </c>
      <c r="AJ656" s="74">
        <v>201310</v>
      </c>
      <c r="AK656" s="74">
        <v>230451</v>
      </c>
      <c r="AU656" s="74">
        <v>20</v>
      </c>
      <c r="AV656" s="74">
        <v>20</v>
      </c>
      <c r="AW656" s="74">
        <v>20</v>
      </c>
      <c r="AX656" s="74">
        <v>20</v>
      </c>
      <c r="AY656" s="74">
        <v>10</v>
      </c>
      <c r="AZ656" s="74">
        <v>10</v>
      </c>
      <c r="BA656" s="74">
        <v>10</v>
      </c>
      <c r="BK656" s="74">
        <v>100</v>
      </c>
      <c r="BL656" s="74">
        <v>90</v>
      </c>
      <c r="BM656" s="74">
        <v>80</v>
      </c>
      <c r="BN656" s="74">
        <v>70</v>
      </c>
      <c r="BO656" s="74">
        <v>60</v>
      </c>
      <c r="BP656" s="74">
        <v>50</v>
      </c>
      <c r="BQ656" s="74">
        <v>100</v>
      </c>
      <c r="CA656" s="74">
        <v>550</v>
      </c>
      <c r="CB656" s="74">
        <v>550</v>
      </c>
      <c r="CC656" s="74">
        <v>0</v>
      </c>
      <c r="CD656" s="74">
        <v>0</v>
      </c>
      <c r="CE656" s="74">
        <v>0</v>
      </c>
      <c r="CF656" s="74">
        <v>204028</v>
      </c>
      <c r="CG656" s="74">
        <v>0</v>
      </c>
      <c r="CH656" s="74">
        <v>0</v>
      </c>
      <c r="CI656" s="74">
        <v>1</v>
      </c>
      <c r="CJ656" s="74">
        <v>0</v>
      </c>
      <c r="CK656" s="74">
        <v>0</v>
      </c>
      <c r="CL656" s="74">
        <v>0</v>
      </c>
      <c r="CM656" s="74">
        <v>0</v>
      </c>
      <c r="CN656" s="74">
        <v>0</v>
      </c>
      <c r="CO656" s="74">
        <v>0</v>
      </c>
      <c r="CP656" s="74">
        <v>0</v>
      </c>
      <c r="CQ656" s="74">
        <v>0</v>
      </c>
      <c r="CR656" s="74">
        <v>0</v>
      </c>
      <c r="CV656" s="74">
        <v>0</v>
      </c>
      <c r="CW656" s="74">
        <v>0</v>
      </c>
    </row>
    <row r="657" s="74" customFormat="1" ht="16.5" spans="1:101">
      <c r="A657" s="74">
        <v>7984</v>
      </c>
      <c r="B657" s="74" t="s">
        <v>1038</v>
      </c>
      <c r="H657" s="74">
        <v>1000000</v>
      </c>
      <c r="I657" s="74" t="s">
        <v>924</v>
      </c>
      <c r="J657" s="74">
        <v>100000</v>
      </c>
      <c r="K657" s="74">
        <v>45000</v>
      </c>
      <c r="O657" s="74">
        <v>230041</v>
      </c>
      <c r="P657" s="74">
        <v>1</v>
      </c>
      <c r="Q657" s="74">
        <v>0</v>
      </c>
      <c r="R657" s="74">
        <v>0</v>
      </c>
      <c r="S657" s="74">
        <v>0</v>
      </c>
      <c r="T657" s="74">
        <v>0</v>
      </c>
      <c r="U657" s="74">
        <v>0</v>
      </c>
      <c r="V657" s="74">
        <v>0</v>
      </c>
      <c r="W657" s="74">
        <v>0</v>
      </c>
      <c r="X657" s="74">
        <v>0</v>
      </c>
      <c r="Y657" s="74">
        <v>0</v>
      </c>
      <c r="Z657" s="74">
        <v>0</v>
      </c>
      <c r="AA657" s="74">
        <v>0</v>
      </c>
      <c r="AB657" s="74">
        <v>0</v>
      </c>
      <c r="AC657" s="74">
        <v>0</v>
      </c>
      <c r="AD657" s="74">
        <v>0</v>
      </c>
      <c r="AE657" s="74">
        <v>201305</v>
      </c>
      <c r="AF657" s="74">
        <v>201306</v>
      </c>
      <c r="AG657" s="74">
        <v>201307</v>
      </c>
      <c r="AH657" s="74">
        <v>201308</v>
      </c>
      <c r="AI657" s="74">
        <v>201309</v>
      </c>
      <c r="AJ657" s="74">
        <v>201310</v>
      </c>
      <c r="AK657" s="74">
        <v>230451</v>
      </c>
      <c r="AU657" s="74">
        <v>20</v>
      </c>
      <c r="AV657" s="74">
        <v>20</v>
      </c>
      <c r="AW657" s="74">
        <v>20</v>
      </c>
      <c r="AX657" s="74">
        <v>20</v>
      </c>
      <c r="AY657" s="74">
        <v>10</v>
      </c>
      <c r="AZ657" s="74">
        <v>10</v>
      </c>
      <c r="BA657" s="74">
        <v>10</v>
      </c>
      <c r="BK657" s="74">
        <v>100</v>
      </c>
      <c r="BL657" s="74">
        <v>90</v>
      </c>
      <c r="BM657" s="74">
        <v>80</v>
      </c>
      <c r="BN657" s="74">
        <v>70</v>
      </c>
      <c r="BO657" s="74">
        <v>60</v>
      </c>
      <c r="BP657" s="74">
        <v>50</v>
      </c>
      <c r="BQ657" s="74">
        <v>100</v>
      </c>
      <c r="CA657" s="74">
        <v>550</v>
      </c>
      <c r="CB657" s="74">
        <v>550</v>
      </c>
      <c r="CC657" s="74">
        <v>0</v>
      </c>
      <c r="CD657" s="74">
        <v>0</v>
      </c>
      <c r="CE657" s="74">
        <v>0</v>
      </c>
      <c r="CF657" s="74">
        <v>204029</v>
      </c>
      <c r="CG657" s="74">
        <v>0</v>
      </c>
      <c r="CH657" s="74">
        <v>0</v>
      </c>
      <c r="CI657" s="74">
        <v>1</v>
      </c>
      <c r="CJ657" s="74">
        <v>0</v>
      </c>
      <c r="CK657" s="74">
        <v>0</v>
      </c>
      <c r="CL657" s="74">
        <v>0</v>
      </c>
      <c r="CM657" s="74">
        <v>0</v>
      </c>
      <c r="CN657" s="74">
        <v>0</v>
      </c>
      <c r="CO657" s="74">
        <v>0</v>
      </c>
      <c r="CP657" s="74">
        <v>0</v>
      </c>
      <c r="CQ657" s="74">
        <v>0</v>
      </c>
      <c r="CR657" s="74">
        <v>0</v>
      </c>
      <c r="CV657" s="74">
        <v>0</v>
      </c>
      <c r="CW657" s="74">
        <v>0</v>
      </c>
    </row>
    <row r="658" s="74" customFormat="1" ht="16.5" spans="1:101">
      <c r="A658" s="74">
        <v>7985</v>
      </c>
      <c r="B658" s="74" t="s">
        <v>1039</v>
      </c>
      <c r="H658" s="74">
        <v>1000000</v>
      </c>
      <c r="I658" s="74" t="s">
        <v>924</v>
      </c>
      <c r="J658" s="74">
        <v>100000</v>
      </c>
      <c r="K658" s="74">
        <v>45000</v>
      </c>
      <c r="O658" s="74">
        <v>230042</v>
      </c>
      <c r="P658" s="74">
        <v>1</v>
      </c>
      <c r="Q658" s="74">
        <v>0</v>
      </c>
      <c r="R658" s="74">
        <v>0</v>
      </c>
      <c r="S658" s="74">
        <v>0</v>
      </c>
      <c r="T658" s="74">
        <v>0</v>
      </c>
      <c r="U658" s="74">
        <v>0</v>
      </c>
      <c r="V658" s="74">
        <v>0</v>
      </c>
      <c r="W658" s="74">
        <v>0</v>
      </c>
      <c r="X658" s="74">
        <v>0</v>
      </c>
      <c r="Y658" s="74">
        <v>0</v>
      </c>
      <c r="Z658" s="74">
        <v>0</v>
      </c>
      <c r="AA658" s="74">
        <v>0</v>
      </c>
      <c r="AB658" s="74">
        <v>0</v>
      </c>
      <c r="AC658" s="74">
        <v>0</v>
      </c>
      <c r="AD658" s="74">
        <v>0</v>
      </c>
      <c r="AE658" s="74">
        <v>201305</v>
      </c>
      <c r="AF658" s="74">
        <v>201306</v>
      </c>
      <c r="AG658" s="74">
        <v>201307</v>
      </c>
      <c r="AH658" s="74">
        <v>201308</v>
      </c>
      <c r="AI658" s="74">
        <v>201309</v>
      </c>
      <c r="AJ658" s="74">
        <v>201310</v>
      </c>
      <c r="AK658" s="74">
        <v>230451</v>
      </c>
      <c r="AU658" s="74">
        <v>20</v>
      </c>
      <c r="AV658" s="74">
        <v>20</v>
      </c>
      <c r="AW658" s="74">
        <v>20</v>
      </c>
      <c r="AX658" s="74">
        <v>20</v>
      </c>
      <c r="AY658" s="74">
        <v>10</v>
      </c>
      <c r="AZ658" s="74">
        <v>10</v>
      </c>
      <c r="BA658" s="74">
        <v>10</v>
      </c>
      <c r="BK658" s="74">
        <v>100</v>
      </c>
      <c r="BL658" s="74">
        <v>90</v>
      </c>
      <c r="BM658" s="74">
        <v>80</v>
      </c>
      <c r="BN658" s="74">
        <v>70</v>
      </c>
      <c r="BO658" s="74">
        <v>60</v>
      </c>
      <c r="BP658" s="74">
        <v>50</v>
      </c>
      <c r="BQ658" s="74">
        <v>100</v>
      </c>
      <c r="CA658" s="74">
        <v>550</v>
      </c>
      <c r="CB658" s="74">
        <v>550</v>
      </c>
      <c r="CC658" s="74">
        <v>0</v>
      </c>
      <c r="CD658" s="74">
        <v>0</v>
      </c>
      <c r="CE658" s="74">
        <v>0</v>
      </c>
      <c r="CF658" s="74">
        <v>204030</v>
      </c>
      <c r="CG658" s="74">
        <v>0</v>
      </c>
      <c r="CH658" s="74">
        <v>0</v>
      </c>
      <c r="CI658" s="74">
        <v>1</v>
      </c>
      <c r="CJ658" s="74">
        <v>0</v>
      </c>
      <c r="CK658" s="74">
        <v>0</v>
      </c>
      <c r="CL658" s="74">
        <v>0</v>
      </c>
      <c r="CM658" s="74">
        <v>0</v>
      </c>
      <c r="CN658" s="74">
        <v>0</v>
      </c>
      <c r="CO658" s="74">
        <v>0</v>
      </c>
      <c r="CP658" s="74">
        <v>0</v>
      </c>
      <c r="CQ658" s="74">
        <v>0</v>
      </c>
      <c r="CR658" s="74">
        <v>0</v>
      </c>
      <c r="CV658" s="74">
        <v>0</v>
      </c>
      <c r="CW658" s="74">
        <v>0</v>
      </c>
    </row>
    <row r="659" s="74" customFormat="1" ht="16.5" spans="1:101">
      <c r="A659" s="74">
        <v>7986</v>
      </c>
      <c r="B659" s="74" t="s">
        <v>1040</v>
      </c>
      <c r="H659" s="74">
        <v>1000000</v>
      </c>
      <c r="I659" s="74" t="s">
        <v>924</v>
      </c>
      <c r="J659" s="74">
        <v>100000</v>
      </c>
      <c r="K659" s="74">
        <v>45000</v>
      </c>
      <c r="O659" s="74">
        <v>230043</v>
      </c>
      <c r="P659" s="74">
        <v>10</v>
      </c>
      <c r="Q659" s="74">
        <v>0</v>
      </c>
      <c r="R659" s="74">
        <v>0</v>
      </c>
      <c r="S659" s="74">
        <v>230044</v>
      </c>
      <c r="T659" s="74">
        <v>10</v>
      </c>
      <c r="U659" s="74">
        <v>0</v>
      </c>
      <c r="V659" s="74">
        <v>0</v>
      </c>
      <c r="W659" s="74">
        <v>0</v>
      </c>
      <c r="X659" s="74">
        <v>0</v>
      </c>
      <c r="Y659" s="74">
        <v>0</v>
      </c>
      <c r="Z659" s="74">
        <v>0</v>
      </c>
      <c r="AA659" s="74">
        <v>0</v>
      </c>
      <c r="AB659" s="74">
        <v>0</v>
      </c>
      <c r="AC659" s="74">
        <v>0</v>
      </c>
      <c r="AD659" s="74">
        <v>0</v>
      </c>
      <c r="AE659" s="74">
        <v>201305</v>
      </c>
      <c r="AF659" s="74">
        <v>201306</v>
      </c>
      <c r="AG659" s="74">
        <v>201307</v>
      </c>
      <c r="AH659" s="74">
        <v>201308</v>
      </c>
      <c r="AI659" s="74">
        <v>201309</v>
      </c>
      <c r="AJ659" s="74">
        <v>201310</v>
      </c>
      <c r="AK659" s="74">
        <v>230600</v>
      </c>
      <c r="AL659" s="74">
        <v>200110</v>
      </c>
      <c r="AM659" s="74">
        <v>201210</v>
      </c>
      <c r="AU659" s="74">
        <v>20</v>
      </c>
      <c r="AV659" s="74">
        <v>20</v>
      </c>
      <c r="AW659" s="74">
        <v>20</v>
      </c>
      <c r="AX659" s="74">
        <v>20</v>
      </c>
      <c r="AY659" s="74">
        <v>10</v>
      </c>
      <c r="AZ659" s="74">
        <v>10</v>
      </c>
      <c r="BA659" s="74">
        <v>1</v>
      </c>
      <c r="BB659" s="74">
        <v>10</v>
      </c>
      <c r="BC659" s="74">
        <v>1</v>
      </c>
      <c r="BK659" s="74">
        <v>100</v>
      </c>
      <c r="BL659" s="74">
        <v>90</v>
      </c>
      <c r="BM659" s="74">
        <v>80</v>
      </c>
      <c r="BN659" s="74">
        <v>70</v>
      </c>
      <c r="BO659" s="74">
        <v>60</v>
      </c>
      <c r="BP659" s="74">
        <v>50</v>
      </c>
      <c r="BQ659" s="74">
        <v>50</v>
      </c>
      <c r="BR659" s="74">
        <v>100</v>
      </c>
      <c r="BS659" s="74">
        <v>50</v>
      </c>
      <c r="CA659" s="74">
        <v>650</v>
      </c>
      <c r="CB659" s="74">
        <v>650</v>
      </c>
      <c r="CC659" s="74">
        <v>0</v>
      </c>
      <c r="CD659" s="74">
        <v>0</v>
      </c>
      <c r="CE659" s="74">
        <v>0</v>
      </c>
      <c r="CF659" s="74">
        <v>204031</v>
      </c>
      <c r="CG659" s="74">
        <v>0</v>
      </c>
      <c r="CH659" s="74">
        <v>0</v>
      </c>
      <c r="CI659" s="74">
        <v>1</v>
      </c>
      <c r="CJ659" s="74">
        <v>0</v>
      </c>
      <c r="CK659" s="74">
        <v>0</v>
      </c>
      <c r="CL659" s="74">
        <v>0</v>
      </c>
      <c r="CM659" s="74">
        <v>0</v>
      </c>
      <c r="CN659" s="74">
        <v>0</v>
      </c>
      <c r="CO659" s="74">
        <v>0</v>
      </c>
      <c r="CP659" s="74">
        <v>0</v>
      </c>
      <c r="CQ659" s="74">
        <v>0</v>
      </c>
      <c r="CR659" s="74">
        <v>0</v>
      </c>
      <c r="CV659" s="74">
        <v>0</v>
      </c>
      <c r="CW659" s="74">
        <v>0</v>
      </c>
    </row>
    <row r="660" s="74" customFormat="1" ht="16.5" spans="1:101">
      <c r="A660" s="74">
        <v>7987</v>
      </c>
      <c r="B660" s="74" t="s">
        <v>1041</v>
      </c>
      <c r="H660" s="74">
        <v>1000000</v>
      </c>
      <c r="I660" s="74" t="s">
        <v>924</v>
      </c>
      <c r="J660" s="74">
        <v>100000</v>
      </c>
      <c r="K660" s="74">
        <v>45000</v>
      </c>
      <c r="O660" s="74">
        <v>230461</v>
      </c>
      <c r="P660" s="74">
        <v>5</v>
      </c>
      <c r="Q660" s="74">
        <v>0</v>
      </c>
      <c r="R660" s="74">
        <v>0</v>
      </c>
      <c r="S660" s="74">
        <v>230460</v>
      </c>
      <c r="T660" s="74">
        <v>5</v>
      </c>
      <c r="U660" s="74">
        <v>0</v>
      </c>
      <c r="V660" s="74">
        <v>0</v>
      </c>
      <c r="W660" s="74">
        <v>230459</v>
      </c>
      <c r="X660" s="74">
        <v>5</v>
      </c>
      <c r="Y660" s="74">
        <v>0</v>
      </c>
      <c r="Z660" s="74">
        <v>0</v>
      </c>
      <c r="AA660" s="74">
        <v>0</v>
      </c>
      <c r="AB660" s="74">
        <v>0</v>
      </c>
      <c r="AC660" s="74">
        <v>0</v>
      </c>
      <c r="AD660" s="74">
        <v>0</v>
      </c>
      <c r="AE660" s="74">
        <v>201305</v>
      </c>
      <c r="AF660" s="74">
        <v>201306</v>
      </c>
      <c r="AG660" s="74">
        <v>201307</v>
      </c>
      <c r="AH660" s="74">
        <v>201308</v>
      </c>
      <c r="AI660" s="74">
        <v>201309</v>
      </c>
      <c r="AJ660" s="74">
        <v>201310</v>
      </c>
      <c r="AK660" s="74">
        <v>230461</v>
      </c>
      <c r="AL660" s="74">
        <v>230460</v>
      </c>
      <c r="AM660" s="74">
        <v>230459</v>
      </c>
      <c r="AN660" s="74">
        <v>200110</v>
      </c>
      <c r="AO660" s="74">
        <v>201210</v>
      </c>
      <c r="AU660" s="74">
        <v>20</v>
      </c>
      <c r="AV660" s="74">
        <v>20</v>
      </c>
      <c r="AW660" s="74">
        <v>20</v>
      </c>
      <c r="AX660" s="74">
        <v>20</v>
      </c>
      <c r="AY660" s="74">
        <v>10</v>
      </c>
      <c r="AZ660" s="74">
        <v>10</v>
      </c>
      <c r="BA660" s="74">
        <v>20</v>
      </c>
      <c r="BB660" s="74">
        <v>20</v>
      </c>
      <c r="BC660" s="74">
        <v>20</v>
      </c>
      <c r="BD660" s="74">
        <v>10</v>
      </c>
      <c r="BE660" s="74">
        <v>1</v>
      </c>
      <c r="BK660" s="74">
        <v>100</v>
      </c>
      <c r="BL660" s="74">
        <v>90</v>
      </c>
      <c r="BM660" s="74">
        <v>80</v>
      </c>
      <c r="BN660" s="74">
        <v>70</v>
      </c>
      <c r="BO660" s="74">
        <v>60</v>
      </c>
      <c r="BP660" s="74">
        <v>50</v>
      </c>
      <c r="BQ660" s="74">
        <v>100</v>
      </c>
      <c r="BR660" s="74">
        <v>100</v>
      </c>
      <c r="BS660" s="74">
        <v>100</v>
      </c>
      <c r="BT660" s="74">
        <v>100</v>
      </c>
      <c r="BU660" s="74">
        <v>50</v>
      </c>
      <c r="CA660" s="74">
        <v>900</v>
      </c>
      <c r="CB660" s="74">
        <v>900</v>
      </c>
      <c r="CC660" s="74">
        <v>0</v>
      </c>
      <c r="CD660" s="74">
        <v>0</v>
      </c>
      <c r="CE660" s="74">
        <v>0</v>
      </c>
      <c r="CF660" s="74">
        <v>204032</v>
      </c>
      <c r="CG660" s="74">
        <v>0</v>
      </c>
      <c r="CH660" s="74">
        <v>0</v>
      </c>
      <c r="CI660" s="74">
        <v>1</v>
      </c>
      <c r="CJ660" s="74">
        <v>0</v>
      </c>
      <c r="CK660" s="74">
        <v>0</v>
      </c>
      <c r="CL660" s="74">
        <v>0</v>
      </c>
      <c r="CM660" s="74">
        <v>0</v>
      </c>
      <c r="CN660" s="74">
        <v>0</v>
      </c>
      <c r="CO660" s="74">
        <v>0</v>
      </c>
      <c r="CP660" s="74">
        <v>0</v>
      </c>
      <c r="CQ660" s="74">
        <v>0</v>
      </c>
      <c r="CR660" s="74">
        <v>0</v>
      </c>
      <c r="CV660" s="74">
        <v>0</v>
      </c>
      <c r="CW660" s="74">
        <v>0</v>
      </c>
    </row>
    <row r="661" s="74" customFormat="1" ht="16.5" spans="1:101">
      <c r="A661" s="74">
        <v>7988</v>
      </c>
      <c r="B661" s="74" t="s">
        <v>1042</v>
      </c>
      <c r="H661" s="74">
        <v>1000000</v>
      </c>
      <c r="I661" s="74" t="s">
        <v>924</v>
      </c>
      <c r="J661" s="74">
        <v>100000</v>
      </c>
      <c r="K661" s="74">
        <v>45000</v>
      </c>
      <c r="O661" s="74">
        <v>230451</v>
      </c>
      <c r="P661" s="74">
        <v>5</v>
      </c>
      <c r="Q661" s="74">
        <v>0</v>
      </c>
      <c r="R661" s="74">
        <v>0</v>
      </c>
      <c r="S661" s="74">
        <v>0</v>
      </c>
      <c r="T661" s="74">
        <v>0</v>
      </c>
      <c r="U661" s="74">
        <v>0</v>
      </c>
      <c r="V661" s="74">
        <v>0</v>
      </c>
      <c r="W661" s="74">
        <v>0</v>
      </c>
      <c r="X661" s="74">
        <v>0</v>
      </c>
      <c r="Y661" s="74">
        <v>0</v>
      </c>
      <c r="Z661" s="74">
        <v>0</v>
      </c>
      <c r="AA661" s="74">
        <v>0</v>
      </c>
      <c r="AB661" s="74">
        <v>0</v>
      </c>
      <c r="AC661" s="74">
        <v>0</v>
      </c>
      <c r="AD661" s="74">
        <v>0</v>
      </c>
      <c r="AE661" s="74">
        <v>201305</v>
      </c>
      <c r="AF661" s="74">
        <v>201306</v>
      </c>
      <c r="AG661" s="74">
        <v>201307</v>
      </c>
      <c r="AH661" s="74">
        <v>201308</v>
      </c>
      <c r="AI661" s="74">
        <v>201309</v>
      </c>
      <c r="AJ661" s="74">
        <v>201310</v>
      </c>
      <c r="AK661" s="74">
        <v>230451</v>
      </c>
      <c r="AL661" s="74">
        <v>230452</v>
      </c>
      <c r="AM661" s="74">
        <v>230453</v>
      </c>
      <c r="AU661" s="74">
        <v>20</v>
      </c>
      <c r="AV661" s="74">
        <v>20</v>
      </c>
      <c r="AW661" s="74">
        <v>20</v>
      </c>
      <c r="AX661" s="74">
        <v>20</v>
      </c>
      <c r="AY661" s="74">
        <v>10</v>
      </c>
      <c r="AZ661" s="74">
        <v>10</v>
      </c>
      <c r="BA661" s="74">
        <v>20</v>
      </c>
      <c r="BB661" s="74">
        <v>1</v>
      </c>
      <c r="BC661" s="74">
        <v>1</v>
      </c>
      <c r="BK661" s="74">
        <v>100</v>
      </c>
      <c r="BL661" s="74">
        <v>90</v>
      </c>
      <c r="BM661" s="74">
        <v>80</v>
      </c>
      <c r="BN661" s="74">
        <v>70</v>
      </c>
      <c r="BO661" s="74">
        <v>60</v>
      </c>
      <c r="BP661" s="74">
        <v>50</v>
      </c>
      <c r="BQ661" s="74">
        <v>100</v>
      </c>
      <c r="BR661" s="74">
        <v>10</v>
      </c>
      <c r="BS661" s="74">
        <v>10</v>
      </c>
      <c r="CA661" s="74">
        <v>570</v>
      </c>
      <c r="CB661" s="74">
        <v>570</v>
      </c>
      <c r="CC661" s="74">
        <v>0</v>
      </c>
      <c r="CD661" s="74">
        <v>0</v>
      </c>
      <c r="CE661" s="74">
        <v>0</v>
      </c>
      <c r="CF661" s="74">
        <v>204033</v>
      </c>
      <c r="CG661" s="74">
        <v>0</v>
      </c>
      <c r="CH661" s="74">
        <v>0</v>
      </c>
      <c r="CI661" s="74">
        <v>1</v>
      </c>
      <c r="CJ661" s="74">
        <v>0</v>
      </c>
      <c r="CK661" s="74">
        <v>0</v>
      </c>
      <c r="CL661" s="74">
        <v>0</v>
      </c>
      <c r="CM661" s="74">
        <v>0</v>
      </c>
      <c r="CN661" s="74">
        <v>0</v>
      </c>
      <c r="CO661" s="74">
        <v>0</v>
      </c>
      <c r="CP661" s="74">
        <v>0</v>
      </c>
      <c r="CQ661" s="74">
        <v>0</v>
      </c>
      <c r="CR661" s="74">
        <v>0</v>
      </c>
      <c r="CV661" s="74">
        <v>0</v>
      </c>
      <c r="CW661" s="74">
        <v>0</v>
      </c>
    </row>
    <row r="662" s="74" customFormat="1" ht="16.5" spans="1:101">
      <c r="A662" s="74">
        <v>7989</v>
      </c>
      <c r="B662" s="74" t="s">
        <v>1043</v>
      </c>
      <c r="H662" s="74">
        <v>1000000</v>
      </c>
      <c r="I662" s="74" t="s">
        <v>924</v>
      </c>
      <c r="J662" s="74">
        <v>100000</v>
      </c>
      <c r="K662" s="74">
        <v>45000</v>
      </c>
      <c r="O662" s="74">
        <v>200824</v>
      </c>
      <c r="P662" s="74">
        <v>1</v>
      </c>
      <c r="Q662" s="74">
        <v>0</v>
      </c>
      <c r="R662" s="74">
        <v>0</v>
      </c>
      <c r="S662" s="74">
        <v>0</v>
      </c>
      <c r="T662" s="74">
        <v>0</v>
      </c>
      <c r="U662" s="74">
        <v>0</v>
      </c>
      <c r="V662" s="74">
        <v>0</v>
      </c>
      <c r="W662" s="74">
        <v>0</v>
      </c>
      <c r="X662" s="74">
        <v>0</v>
      </c>
      <c r="Y662" s="74">
        <v>0</v>
      </c>
      <c r="Z662" s="74">
        <v>0</v>
      </c>
      <c r="AA662" s="74">
        <v>0</v>
      </c>
      <c r="AB662" s="74">
        <v>0</v>
      </c>
      <c r="AC662" s="74">
        <v>0</v>
      </c>
      <c r="AD662" s="74">
        <v>0</v>
      </c>
      <c r="AE662" s="74">
        <v>201305</v>
      </c>
      <c r="AF662" s="74">
        <v>201306</v>
      </c>
      <c r="AG662" s="74">
        <v>201307</v>
      </c>
      <c r="AH662" s="74">
        <v>201308</v>
      </c>
      <c r="AI662" s="74">
        <v>201309</v>
      </c>
      <c r="AJ662" s="74">
        <v>201310</v>
      </c>
      <c r="AK662" s="74">
        <v>230000</v>
      </c>
      <c r="AL662" s="74">
        <v>230001</v>
      </c>
      <c r="AM662" s="74">
        <v>230002</v>
      </c>
      <c r="AN662" s="74">
        <v>230003</v>
      </c>
      <c r="AU662" s="74">
        <v>20</v>
      </c>
      <c r="AV662" s="74">
        <v>20</v>
      </c>
      <c r="AW662" s="74">
        <v>20</v>
      </c>
      <c r="AX662" s="74">
        <v>20</v>
      </c>
      <c r="AY662" s="74">
        <v>10</v>
      </c>
      <c r="AZ662" s="74">
        <v>10</v>
      </c>
      <c r="BA662" s="74">
        <v>1</v>
      </c>
      <c r="BB662" s="74">
        <v>1</v>
      </c>
      <c r="BC662" s="74">
        <v>1</v>
      </c>
      <c r="BD662" s="74">
        <v>1</v>
      </c>
      <c r="BK662" s="74">
        <v>100</v>
      </c>
      <c r="BL662" s="74">
        <v>90</v>
      </c>
      <c r="BM662" s="74">
        <v>80</v>
      </c>
      <c r="BN662" s="74">
        <v>70</v>
      </c>
      <c r="BO662" s="74">
        <v>60</v>
      </c>
      <c r="BP662" s="74">
        <v>50</v>
      </c>
      <c r="BQ662" s="74">
        <v>50</v>
      </c>
      <c r="BR662" s="74">
        <v>30</v>
      </c>
      <c r="BS662" s="74">
        <v>20</v>
      </c>
      <c r="BT662" s="74">
        <v>10</v>
      </c>
      <c r="CA662" s="74">
        <v>560</v>
      </c>
      <c r="CB662" s="74">
        <v>560</v>
      </c>
      <c r="CC662" s="74">
        <v>0</v>
      </c>
      <c r="CD662" s="74">
        <v>0</v>
      </c>
      <c r="CE662" s="74">
        <v>0</v>
      </c>
      <c r="CF662" s="74">
        <v>204034</v>
      </c>
      <c r="CG662" s="74">
        <v>0</v>
      </c>
      <c r="CH662" s="74">
        <v>0</v>
      </c>
      <c r="CI662" s="74">
        <v>1</v>
      </c>
      <c r="CJ662" s="74">
        <v>0</v>
      </c>
      <c r="CK662" s="74">
        <v>0</v>
      </c>
      <c r="CL662" s="74">
        <v>0</v>
      </c>
      <c r="CM662" s="74">
        <v>0</v>
      </c>
      <c r="CN662" s="74">
        <v>0</v>
      </c>
      <c r="CO662" s="74">
        <v>0</v>
      </c>
      <c r="CP662" s="74">
        <v>0</v>
      </c>
      <c r="CQ662" s="74">
        <v>0</v>
      </c>
      <c r="CR662" s="74">
        <v>0</v>
      </c>
      <c r="CV662" s="74">
        <v>0</v>
      </c>
      <c r="CW662" s="74">
        <v>0</v>
      </c>
    </row>
    <row r="663" s="74" customFormat="1" ht="16.5" spans="1:101">
      <c r="A663" s="74">
        <v>7990</v>
      </c>
      <c r="B663" s="74" t="s">
        <v>1044</v>
      </c>
      <c r="H663" s="74">
        <v>1000000</v>
      </c>
      <c r="I663" s="74" t="s">
        <v>924</v>
      </c>
      <c r="J663" s="74">
        <v>100000</v>
      </c>
      <c r="K663" s="74">
        <v>45000</v>
      </c>
      <c r="O663" s="146">
        <v>230510</v>
      </c>
      <c r="P663" s="74">
        <v>1</v>
      </c>
      <c r="Q663" s="74">
        <v>0</v>
      </c>
      <c r="R663" s="74">
        <v>0</v>
      </c>
      <c r="S663" s="74">
        <v>0</v>
      </c>
      <c r="T663" s="74">
        <v>0</v>
      </c>
      <c r="U663" s="74">
        <v>0</v>
      </c>
      <c r="V663" s="74">
        <v>0</v>
      </c>
      <c r="W663" s="74">
        <v>0</v>
      </c>
      <c r="X663" s="74">
        <v>0</v>
      </c>
      <c r="Y663" s="74">
        <v>0</v>
      </c>
      <c r="Z663" s="74">
        <v>0</v>
      </c>
      <c r="AA663" s="74">
        <v>0</v>
      </c>
      <c r="AB663" s="74">
        <v>0</v>
      </c>
      <c r="AC663" s="74">
        <v>0</v>
      </c>
      <c r="AD663" s="74">
        <v>0</v>
      </c>
      <c r="AE663" s="74">
        <v>201305</v>
      </c>
      <c r="AF663" s="74">
        <v>201306</v>
      </c>
      <c r="AG663" s="74">
        <v>201307</v>
      </c>
      <c r="AH663" s="74">
        <v>201308</v>
      </c>
      <c r="AI663" s="74">
        <v>201309</v>
      </c>
      <c r="AJ663" s="74">
        <v>201310</v>
      </c>
      <c r="AK663" s="146">
        <v>230517</v>
      </c>
      <c r="AL663" s="146">
        <v>230518</v>
      </c>
      <c r="AM663" s="74"/>
      <c r="AN663" s="74"/>
      <c r="AO663" s="74"/>
      <c r="AU663" s="74">
        <v>20</v>
      </c>
      <c r="AV663" s="74">
        <v>20</v>
      </c>
      <c r="AW663" s="74">
        <v>20</v>
      </c>
      <c r="AX663" s="74">
        <v>20</v>
      </c>
      <c r="AY663" s="74">
        <v>10</v>
      </c>
      <c r="AZ663" s="74">
        <v>10</v>
      </c>
      <c r="BA663" s="74">
        <v>1</v>
      </c>
      <c r="BB663" s="74">
        <v>1</v>
      </c>
      <c r="BC663" s="74"/>
      <c r="BK663" s="74">
        <v>100</v>
      </c>
      <c r="BL663" s="74">
        <v>90</v>
      </c>
      <c r="BM663" s="74">
        <v>80</v>
      </c>
      <c r="BN663" s="74">
        <v>70</v>
      </c>
      <c r="BO663" s="74">
        <v>60</v>
      </c>
      <c r="BP663" s="74">
        <v>50</v>
      </c>
      <c r="BQ663" s="74">
        <v>100</v>
      </c>
      <c r="BR663" s="74">
        <v>100</v>
      </c>
      <c r="BS663" s="74"/>
      <c r="CA663" s="74">
        <v>650</v>
      </c>
      <c r="CB663" s="74">
        <v>650</v>
      </c>
      <c r="CC663" s="74">
        <v>0</v>
      </c>
      <c r="CD663" s="74">
        <v>0</v>
      </c>
      <c r="CE663" s="74">
        <v>0</v>
      </c>
      <c r="CF663" s="74">
        <v>204035</v>
      </c>
      <c r="CG663" s="74">
        <v>0</v>
      </c>
      <c r="CH663" s="74">
        <v>0</v>
      </c>
      <c r="CI663" s="74">
        <v>1</v>
      </c>
      <c r="CJ663" s="74">
        <v>0</v>
      </c>
      <c r="CK663" s="74">
        <v>0</v>
      </c>
      <c r="CL663" s="74">
        <v>0</v>
      </c>
      <c r="CM663" s="74">
        <v>0</v>
      </c>
      <c r="CN663" s="74">
        <v>0</v>
      </c>
      <c r="CO663" s="74">
        <v>0</v>
      </c>
      <c r="CP663" s="74">
        <v>0</v>
      </c>
      <c r="CQ663" s="74">
        <v>0</v>
      </c>
      <c r="CR663" s="74">
        <v>0</v>
      </c>
      <c r="CV663" s="74">
        <v>0</v>
      </c>
      <c r="CW663" s="74">
        <v>0</v>
      </c>
    </row>
    <row r="664" s="74" customFormat="1" ht="16.5" spans="1:101">
      <c r="A664" s="74">
        <v>7991</v>
      </c>
      <c r="B664" s="74" t="s">
        <v>1045</v>
      </c>
      <c r="H664" s="74">
        <v>1000000</v>
      </c>
      <c r="I664" s="74" t="s">
        <v>924</v>
      </c>
      <c r="J664" s="74">
        <v>100000</v>
      </c>
      <c r="K664" s="74">
        <v>45000</v>
      </c>
      <c r="O664" s="74">
        <v>230511</v>
      </c>
      <c r="P664" s="74">
        <v>1</v>
      </c>
      <c r="Q664" s="74">
        <v>0</v>
      </c>
      <c r="R664" s="74">
        <v>0</v>
      </c>
      <c r="S664" s="74">
        <v>0</v>
      </c>
      <c r="T664" s="74">
        <v>0</v>
      </c>
      <c r="U664" s="74">
        <v>0</v>
      </c>
      <c r="V664" s="74">
        <v>0</v>
      </c>
      <c r="W664" s="74">
        <v>0</v>
      </c>
      <c r="X664" s="74">
        <v>0</v>
      </c>
      <c r="Y664" s="74">
        <v>0</v>
      </c>
      <c r="Z664" s="74">
        <v>0</v>
      </c>
      <c r="AA664" s="74">
        <v>0</v>
      </c>
      <c r="AB664" s="74">
        <v>0</v>
      </c>
      <c r="AC664" s="74">
        <v>0</v>
      </c>
      <c r="AD664" s="74">
        <v>0</v>
      </c>
      <c r="AE664" s="74">
        <v>201305</v>
      </c>
      <c r="AF664" s="74">
        <v>201306</v>
      </c>
      <c r="AG664" s="74">
        <v>201307</v>
      </c>
      <c r="AH664" s="74">
        <v>201308</v>
      </c>
      <c r="AI664" s="74">
        <v>201309</v>
      </c>
      <c r="AJ664" s="74">
        <v>201310</v>
      </c>
      <c r="AK664" s="146">
        <v>230514</v>
      </c>
      <c r="AL664" s="74">
        <v>230513</v>
      </c>
      <c r="AU664" s="74">
        <v>20</v>
      </c>
      <c r="AV664" s="74">
        <v>20</v>
      </c>
      <c r="AW664" s="74">
        <v>20</v>
      </c>
      <c r="AX664" s="74">
        <v>20</v>
      </c>
      <c r="AY664" s="74">
        <v>10</v>
      </c>
      <c r="AZ664" s="74">
        <v>10</v>
      </c>
      <c r="BA664" s="74">
        <v>1</v>
      </c>
      <c r="BB664" s="74">
        <v>1</v>
      </c>
      <c r="BC664" s="74"/>
      <c r="BD664" s="74"/>
      <c r="BK664" s="74">
        <v>100</v>
      </c>
      <c r="BL664" s="74">
        <v>90</v>
      </c>
      <c r="BM664" s="74">
        <v>80</v>
      </c>
      <c r="BN664" s="74">
        <v>70</v>
      </c>
      <c r="BO664" s="74">
        <v>60</v>
      </c>
      <c r="BP664" s="74">
        <v>50</v>
      </c>
      <c r="BQ664" s="74">
        <v>100</v>
      </c>
      <c r="BR664" s="74">
        <v>100</v>
      </c>
      <c r="CA664" s="74">
        <v>650</v>
      </c>
      <c r="CB664" s="74">
        <v>650</v>
      </c>
      <c r="CC664" s="74">
        <v>0</v>
      </c>
      <c r="CD664" s="74">
        <v>0</v>
      </c>
      <c r="CE664" s="74">
        <v>0</v>
      </c>
      <c r="CF664" s="74">
        <v>204036</v>
      </c>
      <c r="CG664" s="74">
        <v>0</v>
      </c>
      <c r="CH664" s="74">
        <v>0</v>
      </c>
      <c r="CI664" s="74">
        <v>1</v>
      </c>
      <c r="CJ664" s="74">
        <v>0</v>
      </c>
      <c r="CK664" s="74">
        <v>0</v>
      </c>
      <c r="CL664" s="74">
        <v>0</v>
      </c>
      <c r="CM664" s="74">
        <v>0</v>
      </c>
      <c r="CN664" s="74">
        <v>0</v>
      </c>
      <c r="CO664" s="74">
        <v>0</v>
      </c>
      <c r="CP664" s="74">
        <v>0</v>
      </c>
      <c r="CQ664" s="74">
        <v>0</v>
      </c>
      <c r="CR664" s="74">
        <v>0</v>
      </c>
      <c r="CV664" s="74">
        <v>0</v>
      </c>
      <c r="CW664" s="74">
        <v>0</v>
      </c>
    </row>
    <row r="665" s="74" customFormat="1" ht="16.5" spans="1:101">
      <c r="A665" s="74">
        <v>7992</v>
      </c>
      <c r="B665" s="74" t="s">
        <v>1046</v>
      </c>
      <c r="H665" s="74">
        <v>1000000</v>
      </c>
      <c r="I665" s="74" t="s">
        <v>924</v>
      </c>
      <c r="J665" s="74">
        <v>100000</v>
      </c>
      <c r="K665" s="74">
        <v>45000</v>
      </c>
      <c r="O665" s="74">
        <v>201301</v>
      </c>
      <c r="P665" s="74">
        <v>1</v>
      </c>
      <c r="Q665" s="74">
        <v>0</v>
      </c>
      <c r="R665" s="74">
        <v>0</v>
      </c>
      <c r="S665" s="74">
        <v>0</v>
      </c>
      <c r="T665" s="74">
        <v>0</v>
      </c>
      <c r="U665" s="74">
        <v>0</v>
      </c>
      <c r="V665" s="74">
        <v>0</v>
      </c>
      <c r="W665" s="74">
        <v>0</v>
      </c>
      <c r="X665" s="74">
        <v>0</v>
      </c>
      <c r="Y665" s="74">
        <v>0</v>
      </c>
      <c r="Z665" s="74">
        <v>0</v>
      </c>
      <c r="AA665" s="74">
        <v>0</v>
      </c>
      <c r="AB665" s="74">
        <v>0</v>
      </c>
      <c r="AC665" s="74">
        <v>0</v>
      </c>
      <c r="AD665" s="74">
        <v>0</v>
      </c>
      <c r="AE665" s="74">
        <v>201305</v>
      </c>
      <c r="AF665" s="74">
        <v>201306</v>
      </c>
      <c r="AG665" s="74">
        <v>201307</v>
      </c>
      <c r="AH665" s="74">
        <v>201308</v>
      </c>
      <c r="AI665" s="74">
        <v>201309</v>
      </c>
      <c r="AJ665" s="74">
        <v>201310</v>
      </c>
      <c r="AK665" s="74">
        <v>201299</v>
      </c>
      <c r="AL665" s="74">
        <v>201300</v>
      </c>
      <c r="AM665" s="74">
        <v>201301</v>
      </c>
      <c r="AN665" s="74">
        <v>201302</v>
      </c>
      <c r="AO665" s="74">
        <v>201303</v>
      </c>
      <c r="AP665" s="74">
        <v>230497</v>
      </c>
      <c r="AQ665" s="74">
        <v>230498</v>
      </c>
      <c r="AU665" s="74">
        <v>20</v>
      </c>
      <c r="AV665" s="74">
        <v>20</v>
      </c>
      <c r="AW665" s="74">
        <v>20</v>
      </c>
      <c r="AX665" s="74">
        <v>20</v>
      </c>
      <c r="AY665" s="74">
        <v>20</v>
      </c>
      <c r="AZ665" s="74">
        <v>20</v>
      </c>
      <c r="BA665" s="74">
        <v>2</v>
      </c>
      <c r="BB665" s="74">
        <v>2</v>
      </c>
      <c r="BC665" s="74">
        <v>2</v>
      </c>
      <c r="BD665" s="74">
        <v>2</v>
      </c>
      <c r="BE665" s="74">
        <v>2</v>
      </c>
      <c r="BF665" s="74">
        <v>1</v>
      </c>
      <c r="BG665" s="74">
        <v>1</v>
      </c>
      <c r="BK665" s="74">
        <v>100</v>
      </c>
      <c r="BL665" s="74">
        <v>90</v>
      </c>
      <c r="BM665" s="74">
        <v>80</v>
      </c>
      <c r="BN665" s="74">
        <v>70</v>
      </c>
      <c r="BO665" s="74">
        <v>60</v>
      </c>
      <c r="BP665" s="74">
        <v>50</v>
      </c>
      <c r="BQ665" s="74">
        <v>100</v>
      </c>
      <c r="BR665" s="74">
        <v>90</v>
      </c>
      <c r="BS665" s="74">
        <v>80</v>
      </c>
      <c r="BT665" s="74">
        <v>70</v>
      </c>
      <c r="BU665" s="74">
        <v>60</v>
      </c>
      <c r="BV665" s="74">
        <v>100</v>
      </c>
      <c r="BW665" s="74">
        <v>50</v>
      </c>
      <c r="CA665" s="74">
        <v>1000</v>
      </c>
      <c r="CB665" s="74">
        <v>1000</v>
      </c>
      <c r="CC665" s="74">
        <v>0</v>
      </c>
      <c r="CD665" s="74">
        <v>0</v>
      </c>
      <c r="CE665" s="74">
        <v>0</v>
      </c>
      <c r="CF665" s="74">
        <v>204037</v>
      </c>
      <c r="CG665" s="74">
        <v>0</v>
      </c>
      <c r="CH665" s="74">
        <v>0</v>
      </c>
      <c r="CI665" s="74">
        <v>1</v>
      </c>
      <c r="CJ665" s="74">
        <v>0</v>
      </c>
      <c r="CK665" s="74">
        <v>0</v>
      </c>
      <c r="CL665" s="74">
        <v>0</v>
      </c>
      <c r="CM665" s="74">
        <v>0</v>
      </c>
      <c r="CN665" s="74">
        <v>0</v>
      </c>
      <c r="CO665" s="74">
        <v>0</v>
      </c>
      <c r="CP665" s="74">
        <v>0</v>
      </c>
      <c r="CQ665" s="74">
        <v>0</v>
      </c>
      <c r="CR665" s="74">
        <v>0</v>
      </c>
      <c r="CV665" s="74">
        <v>0</v>
      </c>
      <c r="CW665" s="74">
        <v>0</v>
      </c>
    </row>
    <row r="666" s="74" customFormat="1" ht="16.5" spans="1:101">
      <c r="A666" s="74">
        <v>7993</v>
      </c>
      <c r="B666" s="74" t="s">
        <v>1047</v>
      </c>
      <c r="H666" s="74">
        <v>300000</v>
      </c>
      <c r="I666" s="74" t="s">
        <v>924</v>
      </c>
      <c r="J666" s="74">
        <v>100000</v>
      </c>
      <c r="K666" s="74">
        <v>20000</v>
      </c>
      <c r="O666" s="54" t="s">
        <v>795</v>
      </c>
      <c r="P666" s="74">
        <v>2</v>
      </c>
      <c r="Q666" s="74">
        <v>0</v>
      </c>
      <c r="R666" s="74">
        <v>0</v>
      </c>
      <c r="S666" s="74">
        <v>201302</v>
      </c>
      <c r="T666" s="74">
        <v>1</v>
      </c>
      <c r="U666" s="74">
        <v>0</v>
      </c>
      <c r="V666" s="74">
        <v>0</v>
      </c>
      <c r="W666" s="74">
        <v>0</v>
      </c>
      <c r="X666" s="74">
        <v>0</v>
      </c>
      <c r="Y666" s="74">
        <v>0</v>
      </c>
      <c r="Z666" s="74">
        <v>0</v>
      </c>
      <c r="AA666" s="74">
        <v>0</v>
      </c>
      <c r="AB666" s="74">
        <v>0</v>
      </c>
      <c r="AC666" s="74">
        <v>0</v>
      </c>
      <c r="AD666" s="74">
        <v>0</v>
      </c>
      <c r="AE666" s="54" t="s">
        <v>1048</v>
      </c>
      <c r="AF666" s="54" t="s">
        <v>795</v>
      </c>
      <c r="AG666" s="74">
        <v>230451</v>
      </c>
      <c r="AH666" s="74">
        <v>230452</v>
      </c>
      <c r="AI666" s="74">
        <v>230453</v>
      </c>
      <c r="AU666" s="74">
        <v>10</v>
      </c>
      <c r="AV666" s="74">
        <v>5</v>
      </c>
      <c r="AW666" s="74">
        <v>10</v>
      </c>
      <c r="AX666" s="74">
        <v>1</v>
      </c>
      <c r="AY666" s="74">
        <v>1</v>
      </c>
      <c r="BK666" s="74">
        <v>100</v>
      </c>
      <c r="BL666" s="74">
        <v>100</v>
      </c>
      <c r="BM666" s="74">
        <v>50</v>
      </c>
      <c r="BN666" s="74">
        <v>10</v>
      </c>
      <c r="BO666" s="74">
        <v>10</v>
      </c>
      <c r="CA666" s="74">
        <v>270</v>
      </c>
      <c r="CB666" s="74">
        <v>270</v>
      </c>
      <c r="CC666" s="74">
        <v>0</v>
      </c>
      <c r="CD666" s="74">
        <v>0</v>
      </c>
      <c r="CE666" s="74">
        <v>0</v>
      </c>
      <c r="CF666" s="74">
        <v>204038</v>
      </c>
      <c r="CG666" s="74">
        <v>0</v>
      </c>
      <c r="CH666" s="74">
        <v>0</v>
      </c>
      <c r="CI666" s="74">
        <v>1</v>
      </c>
      <c r="CJ666" s="74">
        <v>0</v>
      </c>
      <c r="CK666" s="74">
        <v>0</v>
      </c>
      <c r="CL666" s="74">
        <v>0</v>
      </c>
      <c r="CM666" s="74">
        <v>0</v>
      </c>
      <c r="CN666" s="74">
        <v>0</v>
      </c>
      <c r="CO666" s="74">
        <v>0</v>
      </c>
      <c r="CP666" s="74">
        <v>0</v>
      </c>
      <c r="CQ666" s="74">
        <v>0</v>
      </c>
      <c r="CR666" s="74">
        <v>0</v>
      </c>
      <c r="CV666" s="74">
        <v>0</v>
      </c>
      <c r="CW666" s="74">
        <v>0</v>
      </c>
    </row>
    <row r="667" s="74" customFormat="1" ht="16.5" spans="1:101">
      <c r="A667" s="74">
        <v>7994</v>
      </c>
      <c r="B667" s="74" t="s">
        <v>1049</v>
      </c>
      <c r="H667" s="74">
        <v>300000</v>
      </c>
      <c r="I667" s="74" t="s">
        <v>924</v>
      </c>
      <c r="J667" s="74">
        <v>100000</v>
      </c>
      <c r="K667" s="74">
        <v>20000</v>
      </c>
      <c r="O667" s="74">
        <v>201344</v>
      </c>
      <c r="P667" s="74">
        <v>1</v>
      </c>
      <c r="Q667" s="74">
        <v>0</v>
      </c>
      <c r="R667" s="74">
        <v>0</v>
      </c>
      <c r="S667" s="74">
        <v>201302</v>
      </c>
      <c r="T667" s="74">
        <v>1</v>
      </c>
      <c r="U667" s="74">
        <v>0</v>
      </c>
      <c r="V667" s="74">
        <v>0</v>
      </c>
      <c r="W667" s="74">
        <v>0</v>
      </c>
      <c r="X667" s="74">
        <v>0</v>
      </c>
      <c r="Y667" s="74">
        <v>0</v>
      </c>
      <c r="Z667" s="74">
        <v>0</v>
      </c>
      <c r="AA667" s="74">
        <v>0</v>
      </c>
      <c r="AB667" s="74">
        <v>0</v>
      </c>
      <c r="AC667" s="74">
        <v>0</v>
      </c>
      <c r="AD667" s="74">
        <v>0</v>
      </c>
      <c r="AE667" s="74">
        <v>201344</v>
      </c>
      <c r="AF667" s="74">
        <v>201343</v>
      </c>
      <c r="AG667" s="74">
        <v>230451</v>
      </c>
      <c r="AH667" s="74">
        <v>230452</v>
      </c>
      <c r="AI667" s="74">
        <v>230453</v>
      </c>
      <c r="AU667" s="74">
        <v>1</v>
      </c>
      <c r="AV667" s="74">
        <v>3</v>
      </c>
      <c r="AW667" s="74">
        <v>10</v>
      </c>
      <c r="AX667" s="74">
        <v>1</v>
      </c>
      <c r="AY667" s="74">
        <v>1</v>
      </c>
      <c r="BK667" s="74">
        <v>100</v>
      </c>
      <c r="BL667" s="74">
        <v>100</v>
      </c>
      <c r="BM667" s="74">
        <v>50</v>
      </c>
      <c r="BN667" s="74">
        <v>10</v>
      </c>
      <c r="BO667" s="74">
        <v>10</v>
      </c>
      <c r="CA667" s="74">
        <v>270</v>
      </c>
      <c r="CB667" s="74">
        <v>270</v>
      </c>
      <c r="CC667" s="74">
        <v>0</v>
      </c>
      <c r="CD667" s="74">
        <v>0</v>
      </c>
      <c r="CE667" s="74">
        <v>0</v>
      </c>
      <c r="CF667" s="74">
        <v>204039</v>
      </c>
      <c r="CG667" s="74">
        <v>0</v>
      </c>
      <c r="CH667" s="74">
        <v>0</v>
      </c>
      <c r="CI667" s="74">
        <v>1</v>
      </c>
      <c r="CJ667" s="74">
        <v>0</v>
      </c>
      <c r="CK667" s="74">
        <v>0</v>
      </c>
      <c r="CL667" s="74">
        <v>0</v>
      </c>
      <c r="CM667" s="74">
        <v>0</v>
      </c>
      <c r="CN667" s="74">
        <v>0</v>
      </c>
      <c r="CO667" s="74">
        <v>0</v>
      </c>
      <c r="CP667" s="74">
        <v>0</v>
      </c>
      <c r="CQ667" s="74">
        <v>0</v>
      </c>
      <c r="CR667" s="74">
        <v>0</v>
      </c>
      <c r="CV667" s="74">
        <v>0</v>
      </c>
      <c r="CW667" s="74">
        <v>0</v>
      </c>
    </row>
    <row r="668" s="74" customFormat="1" ht="16.5" spans="1:101">
      <c r="A668" s="74">
        <v>7995</v>
      </c>
      <c r="B668" s="74" t="s">
        <v>1050</v>
      </c>
      <c r="H668" s="74">
        <v>300000</v>
      </c>
      <c r="I668" s="74" t="s">
        <v>924</v>
      </c>
      <c r="J668" s="74">
        <v>100000</v>
      </c>
      <c r="K668" s="74">
        <v>20000</v>
      </c>
      <c r="O668" s="74">
        <v>200112</v>
      </c>
      <c r="P668" s="74">
        <v>1</v>
      </c>
      <c r="Q668" s="74">
        <v>0</v>
      </c>
      <c r="R668" s="74">
        <v>0</v>
      </c>
      <c r="S668" s="74">
        <v>201302</v>
      </c>
      <c r="T668" s="74">
        <v>1</v>
      </c>
      <c r="U668" s="74">
        <v>0</v>
      </c>
      <c r="V668" s="74">
        <v>0</v>
      </c>
      <c r="W668" s="74">
        <v>0</v>
      </c>
      <c r="X668" s="74">
        <v>0</v>
      </c>
      <c r="Y668" s="74">
        <v>0</v>
      </c>
      <c r="Z668" s="74">
        <v>0</v>
      </c>
      <c r="AA668" s="74">
        <v>0</v>
      </c>
      <c r="AB668" s="74">
        <v>0</v>
      </c>
      <c r="AC668" s="74">
        <v>0</v>
      </c>
      <c r="AD668" s="74">
        <v>0</v>
      </c>
      <c r="AE668" s="74">
        <v>200111</v>
      </c>
      <c r="AF668" s="74">
        <v>200112</v>
      </c>
      <c r="AG668" s="74">
        <v>230451</v>
      </c>
      <c r="AH668" s="74">
        <v>230452</v>
      </c>
      <c r="AI668" s="74">
        <v>230453</v>
      </c>
      <c r="AU668" s="74">
        <v>10</v>
      </c>
      <c r="AV668" s="74">
        <v>5</v>
      </c>
      <c r="AW668" s="74">
        <v>10</v>
      </c>
      <c r="AX668" s="74">
        <v>1</v>
      </c>
      <c r="AY668" s="74">
        <v>1</v>
      </c>
      <c r="BK668" s="74">
        <v>100</v>
      </c>
      <c r="BL668" s="74">
        <v>100</v>
      </c>
      <c r="BM668" s="74">
        <v>50</v>
      </c>
      <c r="BN668" s="74">
        <v>10</v>
      </c>
      <c r="BO668" s="74">
        <v>10</v>
      </c>
      <c r="CA668" s="74">
        <v>270</v>
      </c>
      <c r="CB668" s="74">
        <v>270</v>
      </c>
      <c r="CC668" s="74">
        <v>0</v>
      </c>
      <c r="CD668" s="74">
        <v>0</v>
      </c>
      <c r="CE668" s="74">
        <v>0</v>
      </c>
      <c r="CF668" s="74">
        <v>204040</v>
      </c>
      <c r="CG668" s="74">
        <v>0</v>
      </c>
      <c r="CH668" s="74">
        <v>0</v>
      </c>
      <c r="CI668" s="74">
        <v>1</v>
      </c>
      <c r="CJ668" s="74">
        <v>0</v>
      </c>
      <c r="CK668" s="74">
        <v>0</v>
      </c>
      <c r="CL668" s="74">
        <v>0</v>
      </c>
      <c r="CM668" s="74">
        <v>0</v>
      </c>
      <c r="CN668" s="74">
        <v>0</v>
      </c>
      <c r="CO668" s="74">
        <v>0</v>
      </c>
      <c r="CP668" s="74">
        <v>0</v>
      </c>
      <c r="CQ668" s="74">
        <v>0</v>
      </c>
      <c r="CR668" s="74">
        <v>0</v>
      </c>
      <c r="CV668" s="74">
        <v>0</v>
      </c>
      <c r="CW668" s="74">
        <v>0</v>
      </c>
    </row>
    <row r="669" s="74" customFormat="1" ht="16.5" spans="1:101">
      <c r="A669" s="74">
        <v>7996</v>
      </c>
      <c r="B669" s="74" t="s">
        <v>1051</v>
      </c>
      <c r="H669" s="74">
        <v>300000</v>
      </c>
      <c r="I669" s="74" t="s">
        <v>924</v>
      </c>
      <c r="J669" s="74">
        <v>100000</v>
      </c>
      <c r="K669" s="74">
        <v>20000</v>
      </c>
      <c r="O669" s="75">
        <v>230165</v>
      </c>
      <c r="P669" s="74">
        <v>10</v>
      </c>
      <c r="Q669" s="74">
        <v>0</v>
      </c>
      <c r="R669" s="74">
        <v>0</v>
      </c>
      <c r="S669" s="74">
        <v>201302</v>
      </c>
      <c r="T669" s="74">
        <v>1</v>
      </c>
      <c r="U669" s="74">
        <v>0</v>
      </c>
      <c r="V669" s="74">
        <v>0</v>
      </c>
      <c r="W669" s="74">
        <v>0</v>
      </c>
      <c r="X669" s="74">
        <v>0</v>
      </c>
      <c r="Y669" s="74">
        <v>0</v>
      </c>
      <c r="Z669" s="74">
        <v>0</v>
      </c>
      <c r="AA669" s="74">
        <v>0</v>
      </c>
      <c r="AB669" s="74">
        <v>0</v>
      </c>
      <c r="AC669" s="74">
        <v>0</v>
      </c>
      <c r="AD669" s="74">
        <v>0</v>
      </c>
      <c r="AE669" s="74">
        <v>230497</v>
      </c>
      <c r="AF669" s="74">
        <v>230498</v>
      </c>
      <c r="AG669" s="74">
        <v>230451</v>
      </c>
      <c r="AH669" s="74">
        <v>230452</v>
      </c>
      <c r="AI669" s="74">
        <v>230453</v>
      </c>
      <c r="AU669" s="74">
        <v>1</v>
      </c>
      <c r="AV669" s="74">
        <v>1</v>
      </c>
      <c r="AW669" s="74">
        <v>10</v>
      </c>
      <c r="AX669" s="74">
        <v>1</v>
      </c>
      <c r="AY669" s="74">
        <v>1</v>
      </c>
      <c r="BK669" s="74">
        <v>100</v>
      </c>
      <c r="BL669" s="74">
        <v>100</v>
      </c>
      <c r="BM669" s="74">
        <v>50</v>
      </c>
      <c r="BN669" s="74">
        <v>10</v>
      </c>
      <c r="BO669" s="74">
        <v>10</v>
      </c>
      <c r="CA669" s="74">
        <v>270</v>
      </c>
      <c r="CB669" s="74">
        <v>270</v>
      </c>
      <c r="CC669" s="74">
        <v>0</v>
      </c>
      <c r="CD669" s="74">
        <v>0</v>
      </c>
      <c r="CE669" s="74">
        <v>0</v>
      </c>
      <c r="CF669" s="74">
        <v>204041</v>
      </c>
      <c r="CG669" s="74">
        <v>0</v>
      </c>
      <c r="CH669" s="74">
        <v>0</v>
      </c>
      <c r="CI669" s="74">
        <v>1</v>
      </c>
      <c r="CJ669" s="74">
        <v>0</v>
      </c>
      <c r="CK669" s="74">
        <v>0</v>
      </c>
      <c r="CL669" s="74">
        <v>0</v>
      </c>
      <c r="CM669" s="74">
        <v>0</v>
      </c>
      <c r="CN669" s="74">
        <v>0</v>
      </c>
      <c r="CO669" s="74">
        <v>0</v>
      </c>
      <c r="CP669" s="74">
        <v>0</v>
      </c>
      <c r="CQ669" s="74">
        <v>0</v>
      </c>
      <c r="CR669" s="74">
        <v>0</v>
      </c>
      <c r="CV669" s="74">
        <v>0</v>
      </c>
      <c r="CW669" s="74">
        <v>0</v>
      </c>
    </row>
    <row r="670" s="75" customFormat="1" ht="16.5" spans="1:101">
      <c r="A670" s="75">
        <v>7997</v>
      </c>
      <c r="B670" s="75" t="s">
        <v>1052</v>
      </c>
      <c r="H670" s="75">
        <v>150000</v>
      </c>
      <c r="I670" s="75" t="s">
        <v>924</v>
      </c>
      <c r="J670" s="75">
        <v>100000</v>
      </c>
      <c r="K670" s="75">
        <v>10000</v>
      </c>
      <c r="O670" s="75">
        <v>230165</v>
      </c>
      <c r="P670" s="75">
        <v>5</v>
      </c>
      <c r="Q670" s="75">
        <v>0</v>
      </c>
      <c r="R670" s="75">
        <v>0</v>
      </c>
      <c r="S670" s="75">
        <v>0</v>
      </c>
      <c r="T670" s="75">
        <v>0</v>
      </c>
      <c r="U670" s="75">
        <v>0</v>
      </c>
      <c r="V670" s="75">
        <v>0</v>
      </c>
      <c r="W670" s="75">
        <v>0</v>
      </c>
      <c r="X670" s="75">
        <v>0</v>
      </c>
      <c r="Y670" s="75">
        <v>0</v>
      </c>
      <c r="Z670" s="75">
        <v>0</v>
      </c>
      <c r="AA670" s="75">
        <v>0</v>
      </c>
      <c r="AB670" s="75">
        <v>0</v>
      </c>
      <c r="AC670" s="75">
        <v>0</v>
      </c>
      <c r="AD670" s="75">
        <v>0</v>
      </c>
      <c r="AE670" s="74">
        <v>200110</v>
      </c>
      <c r="AF670" s="74">
        <v>230461</v>
      </c>
      <c r="AG670" s="74">
        <v>230460</v>
      </c>
      <c r="AH670" s="74">
        <v>230459</v>
      </c>
      <c r="AI670" s="74">
        <v>230451</v>
      </c>
      <c r="AU670" s="75">
        <v>5</v>
      </c>
      <c r="AV670" s="75">
        <v>10</v>
      </c>
      <c r="AW670" s="75">
        <v>10</v>
      </c>
      <c r="AX670" s="75">
        <v>10</v>
      </c>
      <c r="AY670" s="75">
        <v>5</v>
      </c>
      <c r="BK670" s="75">
        <v>100</v>
      </c>
      <c r="BL670" s="75">
        <v>100</v>
      </c>
      <c r="BM670" s="75">
        <v>100</v>
      </c>
      <c r="BN670" s="75">
        <v>100</v>
      </c>
      <c r="BO670" s="75">
        <v>100</v>
      </c>
      <c r="BP670" s="75"/>
      <c r="CA670" s="75">
        <v>500</v>
      </c>
      <c r="CB670" s="75">
        <v>500</v>
      </c>
      <c r="CC670" s="75">
        <v>0</v>
      </c>
      <c r="CD670" s="75">
        <v>0</v>
      </c>
      <c r="CE670" s="75">
        <v>0</v>
      </c>
      <c r="CF670" s="75">
        <v>204042</v>
      </c>
      <c r="CG670" s="75">
        <v>0</v>
      </c>
      <c r="CH670" s="75">
        <v>0</v>
      </c>
      <c r="CI670" s="75">
        <v>1</v>
      </c>
      <c r="CJ670" s="75">
        <v>0</v>
      </c>
      <c r="CK670" s="75">
        <v>0</v>
      </c>
      <c r="CL670" s="75">
        <v>0</v>
      </c>
      <c r="CM670" s="75">
        <v>0</v>
      </c>
      <c r="CN670" s="75">
        <v>0</v>
      </c>
      <c r="CO670" s="75">
        <v>0</v>
      </c>
      <c r="CP670" s="75">
        <v>0</v>
      </c>
      <c r="CQ670" s="75">
        <v>0</v>
      </c>
      <c r="CR670" s="75">
        <v>0</v>
      </c>
      <c r="CV670" s="75">
        <v>0</v>
      </c>
      <c r="CW670" s="75">
        <v>0</v>
      </c>
    </row>
    <row r="671" s="75" customFormat="1" ht="16.5" spans="1:101">
      <c r="A671" s="75">
        <v>7998</v>
      </c>
      <c r="B671" s="75" t="s">
        <v>1053</v>
      </c>
      <c r="H671" s="75">
        <v>150000</v>
      </c>
      <c r="I671" s="75" t="s">
        <v>924</v>
      </c>
      <c r="J671" s="75">
        <v>100000</v>
      </c>
      <c r="K671" s="75">
        <v>10000</v>
      </c>
      <c r="O671" s="75">
        <v>230165</v>
      </c>
      <c r="P671" s="75">
        <v>5</v>
      </c>
      <c r="Q671" s="75">
        <v>0</v>
      </c>
      <c r="R671" s="75">
        <v>0</v>
      </c>
      <c r="S671" s="75">
        <v>0</v>
      </c>
      <c r="T671" s="75">
        <v>0</v>
      </c>
      <c r="U671" s="75">
        <v>0</v>
      </c>
      <c r="V671" s="75">
        <v>0</v>
      </c>
      <c r="W671" s="75">
        <v>0</v>
      </c>
      <c r="X671" s="75">
        <v>0</v>
      </c>
      <c r="Y671" s="75">
        <v>0</v>
      </c>
      <c r="Z671" s="75">
        <v>0</v>
      </c>
      <c r="AA671" s="75">
        <v>0</v>
      </c>
      <c r="AB671" s="75">
        <v>0</v>
      </c>
      <c r="AC671" s="75">
        <v>0</v>
      </c>
      <c r="AD671" s="75">
        <v>0</v>
      </c>
      <c r="AE671" s="74">
        <v>200110</v>
      </c>
      <c r="AF671" s="74">
        <v>230461</v>
      </c>
      <c r="AG671" s="74">
        <v>230460</v>
      </c>
      <c r="AH671" s="74">
        <v>230459</v>
      </c>
      <c r="AI671" s="74">
        <v>230451</v>
      </c>
      <c r="AU671" s="75">
        <v>5</v>
      </c>
      <c r="AV671" s="75">
        <v>10</v>
      </c>
      <c r="AW671" s="75">
        <v>10</v>
      </c>
      <c r="AX671" s="75">
        <v>10</v>
      </c>
      <c r="AY671" s="75">
        <v>5</v>
      </c>
      <c r="BK671" s="75">
        <v>100</v>
      </c>
      <c r="BL671" s="75">
        <v>100</v>
      </c>
      <c r="BM671" s="75">
        <v>100</v>
      </c>
      <c r="BN671" s="75">
        <v>100</v>
      </c>
      <c r="BO671" s="75">
        <v>100</v>
      </c>
      <c r="BP671" s="75"/>
      <c r="CA671" s="75">
        <v>500</v>
      </c>
      <c r="CB671" s="75">
        <v>500</v>
      </c>
      <c r="CC671" s="75">
        <v>0</v>
      </c>
      <c r="CD671" s="75">
        <v>0</v>
      </c>
      <c r="CE671" s="75">
        <v>0</v>
      </c>
      <c r="CF671" s="75">
        <v>204043</v>
      </c>
      <c r="CG671" s="75">
        <v>0</v>
      </c>
      <c r="CH671" s="75">
        <v>0</v>
      </c>
      <c r="CI671" s="75">
        <v>1</v>
      </c>
      <c r="CJ671" s="75">
        <v>0</v>
      </c>
      <c r="CK671" s="75">
        <v>0</v>
      </c>
      <c r="CL671" s="75">
        <v>0</v>
      </c>
      <c r="CM671" s="75">
        <v>0</v>
      </c>
      <c r="CN671" s="75">
        <v>0</v>
      </c>
      <c r="CO671" s="75">
        <v>0</v>
      </c>
      <c r="CP671" s="75">
        <v>0</v>
      </c>
      <c r="CQ671" s="75">
        <v>0</v>
      </c>
      <c r="CR671" s="75">
        <v>0</v>
      </c>
      <c r="CV671" s="75">
        <v>0</v>
      </c>
      <c r="CW671" s="75">
        <v>0</v>
      </c>
    </row>
    <row r="672" s="75" customFormat="1" ht="16.5" spans="1:101">
      <c r="A672" s="75">
        <v>7999</v>
      </c>
      <c r="B672" s="75" t="s">
        <v>1054</v>
      </c>
      <c r="H672" s="75">
        <v>150000</v>
      </c>
      <c r="I672" s="75" t="s">
        <v>924</v>
      </c>
      <c r="J672" s="75">
        <v>100000</v>
      </c>
      <c r="K672" s="75">
        <v>10000</v>
      </c>
      <c r="O672" s="75">
        <v>230165</v>
      </c>
      <c r="P672" s="75">
        <v>5</v>
      </c>
      <c r="Q672" s="75">
        <v>0</v>
      </c>
      <c r="R672" s="75">
        <v>0</v>
      </c>
      <c r="S672" s="75">
        <v>0</v>
      </c>
      <c r="T672" s="75">
        <v>0</v>
      </c>
      <c r="U672" s="75">
        <v>0</v>
      </c>
      <c r="V672" s="75">
        <v>0</v>
      </c>
      <c r="W672" s="75">
        <v>0</v>
      </c>
      <c r="X672" s="75">
        <v>0</v>
      </c>
      <c r="Y672" s="75">
        <v>0</v>
      </c>
      <c r="Z672" s="75">
        <v>0</v>
      </c>
      <c r="AA672" s="75">
        <v>0</v>
      </c>
      <c r="AB672" s="75">
        <v>0</v>
      </c>
      <c r="AC672" s="75">
        <v>0</v>
      </c>
      <c r="AD672" s="75">
        <v>0</v>
      </c>
      <c r="AE672" s="74">
        <v>200110</v>
      </c>
      <c r="AF672" s="74">
        <v>230461</v>
      </c>
      <c r="AG672" s="74">
        <v>230460</v>
      </c>
      <c r="AH672" s="74">
        <v>230459</v>
      </c>
      <c r="AI672" s="74">
        <v>230451</v>
      </c>
      <c r="AU672" s="75">
        <v>5</v>
      </c>
      <c r="AV672" s="75">
        <v>10</v>
      </c>
      <c r="AW672" s="75">
        <v>10</v>
      </c>
      <c r="AX672" s="75">
        <v>10</v>
      </c>
      <c r="AY672" s="75">
        <v>5</v>
      </c>
      <c r="BK672" s="75">
        <v>100</v>
      </c>
      <c r="BL672" s="75">
        <v>100</v>
      </c>
      <c r="BM672" s="75">
        <v>100</v>
      </c>
      <c r="BN672" s="75">
        <v>100</v>
      </c>
      <c r="BO672" s="75">
        <v>100</v>
      </c>
      <c r="BP672" s="75"/>
      <c r="CA672" s="75">
        <v>500</v>
      </c>
      <c r="CB672" s="75">
        <v>500</v>
      </c>
      <c r="CC672" s="75">
        <v>0</v>
      </c>
      <c r="CD672" s="75">
        <v>0</v>
      </c>
      <c r="CE672" s="75">
        <v>0</v>
      </c>
      <c r="CF672" s="75">
        <v>204044</v>
      </c>
      <c r="CG672" s="75">
        <v>0</v>
      </c>
      <c r="CH672" s="75">
        <v>0</v>
      </c>
      <c r="CI672" s="75">
        <v>1</v>
      </c>
      <c r="CJ672" s="75">
        <v>0</v>
      </c>
      <c r="CK672" s="75">
        <v>0</v>
      </c>
      <c r="CL672" s="75">
        <v>0</v>
      </c>
      <c r="CM672" s="75">
        <v>0</v>
      </c>
      <c r="CN672" s="75">
        <v>0</v>
      </c>
      <c r="CO672" s="75">
        <v>0</v>
      </c>
      <c r="CP672" s="75">
        <v>0</v>
      </c>
      <c r="CQ672" s="75">
        <v>0</v>
      </c>
      <c r="CR672" s="75">
        <v>0</v>
      </c>
      <c r="CV672" s="75">
        <v>0</v>
      </c>
      <c r="CW672" s="75">
        <v>0</v>
      </c>
    </row>
    <row r="673" s="75" customFormat="1" ht="16.5" spans="1:101">
      <c r="A673" s="75">
        <v>8000</v>
      </c>
      <c r="B673" s="75" t="s">
        <v>1055</v>
      </c>
      <c r="H673" s="75">
        <v>150000</v>
      </c>
      <c r="I673" s="75" t="s">
        <v>924</v>
      </c>
      <c r="J673" s="75">
        <v>100000</v>
      </c>
      <c r="K673" s="75">
        <v>10000</v>
      </c>
      <c r="O673" s="75">
        <v>230165</v>
      </c>
      <c r="P673" s="75">
        <v>5</v>
      </c>
      <c r="Q673" s="75">
        <v>0</v>
      </c>
      <c r="R673" s="75">
        <v>0</v>
      </c>
      <c r="S673" s="75">
        <v>0</v>
      </c>
      <c r="T673" s="75">
        <v>0</v>
      </c>
      <c r="U673" s="75">
        <v>0</v>
      </c>
      <c r="V673" s="75">
        <v>0</v>
      </c>
      <c r="W673" s="75">
        <v>0</v>
      </c>
      <c r="X673" s="75">
        <v>0</v>
      </c>
      <c r="Y673" s="75">
        <v>0</v>
      </c>
      <c r="Z673" s="75">
        <v>0</v>
      </c>
      <c r="AA673" s="75">
        <v>0</v>
      </c>
      <c r="AB673" s="75">
        <v>0</v>
      </c>
      <c r="AC673" s="75">
        <v>0</v>
      </c>
      <c r="AD673" s="75">
        <v>0</v>
      </c>
      <c r="AE673" s="74">
        <v>200110</v>
      </c>
      <c r="AF673" s="74">
        <v>230461</v>
      </c>
      <c r="AG673" s="74">
        <v>230460</v>
      </c>
      <c r="AH673" s="74">
        <v>230459</v>
      </c>
      <c r="AI673" s="74">
        <v>230451</v>
      </c>
      <c r="AU673" s="75">
        <v>5</v>
      </c>
      <c r="AV673" s="75">
        <v>10</v>
      </c>
      <c r="AW673" s="75">
        <v>10</v>
      </c>
      <c r="AX673" s="75">
        <v>10</v>
      </c>
      <c r="AY673" s="75">
        <v>5</v>
      </c>
      <c r="BK673" s="75">
        <v>100</v>
      </c>
      <c r="BL673" s="75">
        <v>100</v>
      </c>
      <c r="BM673" s="75">
        <v>100</v>
      </c>
      <c r="BN673" s="75">
        <v>100</v>
      </c>
      <c r="BO673" s="75">
        <v>100</v>
      </c>
      <c r="BP673" s="75"/>
      <c r="CA673" s="75">
        <v>500</v>
      </c>
      <c r="CB673" s="75">
        <v>500</v>
      </c>
      <c r="CC673" s="75">
        <v>0</v>
      </c>
      <c r="CD673" s="75">
        <v>0</v>
      </c>
      <c r="CE673" s="75">
        <v>0</v>
      </c>
      <c r="CF673" s="75">
        <v>204045</v>
      </c>
      <c r="CG673" s="75">
        <v>0</v>
      </c>
      <c r="CH673" s="75">
        <v>0</v>
      </c>
      <c r="CI673" s="75">
        <v>1</v>
      </c>
      <c r="CJ673" s="75">
        <v>0</v>
      </c>
      <c r="CK673" s="75">
        <v>0</v>
      </c>
      <c r="CL673" s="75">
        <v>0</v>
      </c>
      <c r="CM673" s="75">
        <v>0</v>
      </c>
      <c r="CN673" s="75">
        <v>0</v>
      </c>
      <c r="CO673" s="75">
        <v>0</v>
      </c>
      <c r="CP673" s="75">
        <v>0</v>
      </c>
      <c r="CQ673" s="75">
        <v>0</v>
      </c>
      <c r="CR673" s="75">
        <v>0</v>
      </c>
      <c r="CV673" s="75">
        <v>0</v>
      </c>
      <c r="CW673" s="75">
        <v>0</v>
      </c>
    </row>
    <row r="674" s="75" customFormat="1" ht="16.5" spans="1:101">
      <c r="A674" s="75">
        <v>8001</v>
      </c>
      <c r="B674" s="75" t="s">
        <v>1056</v>
      </c>
      <c r="H674" s="75">
        <v>150000</v>
      </c>
      <c r="I674" s="75" t="s">
        <v>924</v>
      </c>
      <c r="J674" s="75">
        <v>100000</v>
      </c>
      <c r="K674" s="75">
        <v>10000</v>
      </c>
      <c r="O674" s="75">
        <v>230165</v>
      </c>
      <c r="P674" s="75">
        <v>5</v>
      </c>
      <c r="Q674" s="75">
        <v>0</v>
      </c>
      <c r="R674" s="75">
        <v>0</v>
      </c>
      <c r="S674" s="75">
        <v>0</v>
      </c>
      <c r="T674" s="75">
        <v>0</v>
      </c>
      <c r="U674" s="75">
        <v>0</v>
      </c>
      <c r="V674" s="75">
        <v>0</v>
      </c>
      <c r="W674" s="75">
        <v>0</v>
      </c>
      <c r="X674" s="75">
        <v>0</v>
      </c>
      <c r="Y674" s="75">
        <v>0</v>
      </c>
      <c r="Z674" s="75">
        <v>0</v>
      </c>
      <c r="AA674" s="75">
        <v>0</v>
      </c>
      <c r="AB674" s="75">
        <v>0</v>
      </c>
      <c r="AC674" s="75">
        <v>0</v>
      </c>
      <c r="AD674" s="75">
        <v>0</v>
      </c>
      <c r="AE674" s="74">
        <v>200110</v>
      </c>
      <c r="AF674" s="74">
        <v>230461</v>
      </c>
      <c r="AG674" s="74">
        <v>230460</v>
      </c>
      <c r="AH674" s="74">
        <v>230459</v>
      </c>
      <c r="AI674" s="74">
        <v>230451</v>
      </c>
      <c r="AU674" s="75">
        <v>5</v>
      </c>
      <c r="AV674" s="75">
        <v>10</v>
      </c>
      <c r="AW674" s="75">
        <v>10</v>
      </c>
      <c r="AX674" s="75">
        <v>10</v>
      </c>
      <c r="AY674" s="75">
        <v>5</v>
      </c>
      <c r="BK674" s="75">
        <v>100</v>
      </c>
      <c r="BL674" s="75">
        <v>100</v>
      </c>
      <c r="BM674" s="75">
        <v>100</v>
      </c>
      <c r="BN674" s="75">
        <v>100</v>
      </c>
      <c r="BO674" s="75">
        <v>100</v>
      </c>
      <c r="BP674" s="75"/>
      <c r="CA674" s="75">
        <v>500</v>
      </c>
      <c r="CB674" s="75">
        <v>500</v>
      </c>
      <c r="CC674" s="75">
        <v>0</v>
      </c>
      <c r="CD674" s="75">
        <v>0</v>
      </c>
      <c r="CE674" s="75">
        <v>0</v>
      </c>
      <c r="CF674" s="75">
        <v>204046</v>
      </c>
      <c r="CG674" s="75">
        <v>0</v>
      </c>
      <c r="CH674" s="75">
        <v>0</v>
      </c>
      <c r="CI674" s="75">
        <v>1</v>
      </c>
      <c r="CJ674" s="75">
        <v>0</v>
      </c>
      <c r="CK674" s="75">
        <v>0</v>
      </c>
      <c r="CL674" s="75">
        <v>0</v>
      </c>
      <c r="CM674" s="75">
        <v>0</v>
      </c>
      <c r="CN674" s="75">
        <v>0</v>
      </c>
      <c r="CO674" s="75">
        <v>0</v>
      </c>
      <c r="CP674" s="75">
        <v>0</v>
      </c>
      <c r="CQ674" s="75">
        <v>0</v>
      </c>
      <c r="CR674" s="75">
        <v>0</v>
      </c>
      <c r="CV674" s="75">
        <v>0</v>
      </c>
      <c r="CW674" s="75">
        <v>0</v>
      </c>
    </row>
    <row r="675" s="74" customFormat="1" ht="16.5" spans="1:101">
      <c r="A675" s="74">
        <v>8002</v>
      </c>
      <c r="B675" s="74" t="s">
        <v>1057</v>
      </c>
      <c r="H675" s="74">
        <v>200000</v>
      </c>
      <c r="I675" s="74" t="s">
        <v>924</v>
      </c>
      <c r="J675" s="74">
        <v>100000</v>
      </c>
      <c r="K675" s="74">
        <v>12000</v>
      </c>
      <c r="O675" s="75">
        <v>230165</v>
      </c>
      <c r="P675" s="74">
        <v>10</v>
      </c>
      <c r="Q675" s="74">
        <v>0</v>
      </c>
      <c r="R675" s="74">
        <v>0</v>
      </c>
      <c r="S675" s="74">
        <v>0</v>
      </c>
      <c r="T675" s="74">
        <v>0</v>
      </c>
      <c r="U675" s="74">
        <v>0</v>
      </c>
      <c r="V675" s="74">
        <v>0</v>
      </c>
      <c r="W675" s="74">
        <v>0</v>
      </c>
      <c r="X675" s="74">
        <v>0</v>
      </c>
      <c r="Y675" s="74">
        <v>0</v>
      </c>
      <c r="Z675" s="74">
        <v>0</v>
      </c>
      <c r="AA675" s="74">
        <v>0</v>
      </c>
      <c r="AB675" s="74">
        <v>0</v>
      </c>
      <c r="AC675" s="74">
        <v>0</v>
      </c>
      <c r="AD675" s="74">
        <v>0</v>
      </c>
      <c r="AE675" s="74">
        <v>200110</v>
      </c>
      <c r="AF675" s="74">
        <v>230461</v>
      </c>
      <c r="AG675" s="74">
        <v>230460</v>
      </c>
      <c r="AH675" s="74">
        <v>230459</v>
      </c>
      <c r="AI675" s="74">
        <v>230451</v>
      </c>
      <c r="AU675" s="74">
        <v>8</v>
      </c>
      <c r="AV675" s="74">
        <v>15</v>
      </c>
      <c r="AW675" s="74">
        <v>15</v>
      </c>
      <c r="AX675" s="74">
        <v>15</v>
      </c>
      <c r="AY675" s="74">
        <v>10</v>
      </c>
      <c r="BK675" s="74">
        <v>100</v>
      </c>
      <c r="BL675" s="74">
        <v>100</v>
      </c>
      <c r="BM675" s="74">
        <v>100</v>
      </c>
      <c r="BN675" s="74">
        <v>100</v>
      </c>
      <c r="BO675" s="74">
        <v>100</v>
      </c>
      <c r="BP675" s="74"/>
      <c r="CA675" s="75">
        <v>500</v>
      </c>
      <c r="CB675" s="75">
        <v>500</v>
      </c>
      <c r="CC675" s="74">
        <v>0</v>
      </c>
      <c r="CD675" s="74">
        <v>0</v>
      </c>
      <c r="CE675" s="74">
        <v>0</v>
      </c>
      <c r="CF675" s="74">
        <v>204042</v>
      </c>
      <c r="CG675" s="74">
        <v>0</v>
      </c>
      <c r="CH675" s="74">
        <v>0</v>
      </c>
      <c r="CI675" s="74">
        <v>1</v>
      </c>
      <c r="CJ675" s="74">
        <v>0</v>
      </c>
      <c r="CK675" s="74">
        <v>0</v>
      </c>
      <c r="CL675" s="74">
        <v>0</v>
      </c>
      <c r="CM675" s="74">
        <v>0</v>
      </c>
      <c r="CN675" s="74">
        <v>0</v>
      </c>
      <c r="CO675" s="74">
        <v>0</v>
      </c>
      <c r="CP675" s="74">
        <v>0</v>
      </c>
      <c r="CQ675" s="74">
        <v>0</v>
      </c>
      <c r="CR675" s="74">
        <v>0</v>
      </c>
      <c r="CV675" s="74">
        <v>0</v>
      </c>
      <c r="CW675" s="74">
        <v>0</v>
      </c>
    </row>
    <row r="676" s="74" customFormat="1" ht="16.5" spans="1:101">
      <c r="A676" s="74">
        <v>8003</v>
      </c>
      <c r="B676" s="74" t="s">
        <v>1058</v>
      </c>
      <c r="H676" s="74">
        <v>200000</v>
      </c>
      <c r="I676" s="74" t="s">
        <v>924</v>
      </c>
      <c r="J676" s="74">
        <v>100000</v>
      </c>
      <c r="K676" s="74">
        <v>12000</v>
      </c>
      <c r="O676" s="75">
        <v>230165</v>
      </c>
      <c r="P676" s="74">
        <v>10</v>
      </c>
      <c r="Q676" s="74">
        <v>0</v>
      </c>
      <c r="R676" s="74">
        <v>0</v>
      </c>
      <c r="S676" s="74">
        <v>0</v>
      </c>
      <c r="T676" s="74">
        <v>0</v>
      </c>
      <c r="U676" s="74">
        <v>0</v>
      </c>
      <c r="V676" s="74">
        <v>0</v>
      </c>
      <c r="W676" s="74">
        <v>0</v>
      </c>
      <c r="X676" s="74">
        <v>0</v>
      </c>
      <c r="Y676" s="74">
        <v>0</v>
      </c>
      <c r="Z676" s="74">
        <v>0</v>
      </c>
      <c r="AA676" s="74">
        <v>0</v>
      </c>
      <c r="AB676" s="74">
        <v>0</v>
      </c>
      <c r="AC676" s="74">
        <v>0</v>
      </c>
      <c r="AD676" s="74">
        <v>0</v>
      </c>
      <c r="AE676" s="74">
        <v>200110</v>
      </c>
      <c r="AF676" s="74">
        <v>230461</v>
      </c>
      <c r="AG676" s="74">
        <v>230460</v>
      </c>
      <c r="AH676" s="74">
        <v>230459</v>
      </c>
      <c r="AI676" s="74">
        <v>230451</v>
      </c>
      <c r="AU676" s="74">
        <v>8</v>
      </c>
      <c r="AV676" s="74">
        <v>15</v>
      </c>
      <c r="AW676" s="74">
        <v>15</v>
      </c>
      <c r="AX676" s="74">
        <v>15</v>
      </c>
      <c r="AY676" s="74">
        <v>10</v>
      </c>
      <c r="BK676" s="74">
        <v>100</v>
      </c>
      <c r="BL676" s="74">
        <v>100</v>
      </c>
      <c r="BM676" s="74">
        <v>100</v>
      </c>
      <c r="BN676" s="74">
        <v>100</v>
      </c>
      <c r="BO676" s="74">
        <v>100</v>
      </c>
      <c r="BP676" s="74"/>
      <c r="CA676" s="75">
        <v>500</v>
      </c>
      <c r="CB676" s="75">
        <v>500</v>
      </c>
      <c r="CC676" s="74">
        <v>0</v>
      </c>
      <c r="CD676" s="74">
        <v>0</v>
      </c>
      <c r="CE676" s="74">
        <v>0</v>
      </c>
      <c r="CF676" s="74">
        <v>204043</v>
      </c>
      <c r="CG676" s="74">
        <v>0</v>
      </c>
      <c r="CH676" s="74">
        <v>0</v>
      </c>
      <c r="CI676" s="74">
        <v>1</v>
      </c>
      <c r="CJ676" s="74">
        <v>0</v>
      </c>
      <c r="CK676" s="74">
        <v>0</v>
      </c>
      <c r="CL676" s="74">
        <v>0</v>
      </c>
      <c r="CM676" s="74">
        <v>0</v>
      </c>
      <c r="CN676" s="74">
        <v>0</v>
      </c>
      <c r="CO676" s="74">
        <v>0</v>
      </c>
      <c r="CP676" s="74">
        <v>0</v>
      </c>
      <c r="CQ676" s="74">
        <v>0</v>
      </c>
      <c r="CR676" s="74">
        <v>0</v>
      </c>
      <c r="CV676" s="74">
        <v>0</v>
      </c>
      <c r="CW676" s="74">
        <v>0</v>
      </c>
    </row>
    <row r="677" s="74" customFormat="1" ht="16.5" spans="1:101">
      <c r="A677" s="74">
        <v>8004</v>
      </c>
      <c r="B677" s="74" t="s">
        <v>1059</v>
      </c>
      <c r="H677" s="74">
        <v>200000</v>
      </c>
      <c r="I677" s="74" t="s">
        <v>924</v>
      </c>
      <c r="J677" s="74">
        <v>100000</v>
      </c>
      <c r="K677" s="74">
        <v>12000</v>
      </c>
      <c r="O677" s="75">
        <v>230165</v>
      </c>
      <c r="P677" s="74">
        <v>10</v>
      </c>
      <c r="Q677" s="74">
        <v>0</v>
      </c>
      <c r="R677" s="74">
        <v>0</v>
      </c>
      <c r="S677" s="74">
        <v>0</v>
      </c>
      <c r="T677" s="74">
        <v>0</v>
      </c>
      <c r="U677" s="74">
        <v>0</v>
      </c>
      <c r="V677" s="74">
        <v>0</v>
      </c>
      <c r="W677" s="74">
        <v>0</v>
      </c>
      <c r="X677" s="74">
        <v>0</v>
      </c>
      <c r="Y677" s="74">
        <v>0</v>
      </c>
      <c r="Z677" s="74">
        <v>0</v>
      </c>
      <c r="AA677" s="74">
        <v>0</v>
      </c>
      <c r="AB677" s="74">
        <v>0</v>
      </c>
      <c r="AC677" s="74">
        <v>0</v>
      </c>
      <c r="AD677" s="74">
        <v>0</v>
      </c>
      <c r="AE677" s="74">
        <v>200110</v>
      </c>
      <c r="AF677" s="74">
        <v>230461</v>
      </c>
      <c r="AG677" s="74">
        <v>230460</v>
      </c>
      <c r="AH677" s="74">
        <v>230459</v>
      </c>
      <c r="AI677" s="74">
        <v>230451</v>
      </c>
      <c r="AU677" s="74">
        <v>8</v>
      </c>
      <c r="AV677" s="74">
        <v>15</v>
      </c>
      <c r="AW677" s="74">
        <v>15</v>
      </c>
      <c r="AX677" s="74">
        <v>15</v>
      </c>
      <c r="AY677" s="74">
        <v>10</v>
      </c>
      <c r="BK677" s="74">
        <v>100</v>
      </c>
      <c r="BL677" s="74">
        <v>100</v>
      </c>
      <c r="BM677" s="74">
        <v>100</v>
      </c>
      <c r="BN677" s="74">
        <v>100</v>
      </c>
      <c r="BO677" s="74">
        <v>100</v>
      </c>
      <c r="BP677" s="74"/>
      <c r="CA677" s="75">
        <v>500</v>
      </c>
      <c r="CB677" s="75">
        <v>500</v>
      </c>
      <c r="CC677" s="74">
        <v>0</v>
      </c>
      <c r="CD677" s="74">
        <v>0</v>
      </c>
      <c r="CE677" s="74">
        <v>0</v>
      </c>
      <c r="CF677" s="74">
        <v>204044</v>
      </c>
      <c r="CG677" s="74">
        <v>0</v>
      </c>
      <c r="CH677" s="74">
        <v>0</v>
      </c>
      <c r="CI677" s="74">
        <v>1</v>
      </c>
      <c r="CJ677" s="74">
        <v>0</v>
      </c>
      <c r="CK677" s="74">
        <v>0</v>
      </c>
      <c r="CL677" s="74">
        <v>0</v>
      </c>
      <c r="CM677" s="74">
        <v>0</v>
      </c>
      <c r="CN677" s="74">
        <v>0</v>
      </c>
      <c r="CO677" s="74">
        <v>0</v>
      </c>
      <c r="CP677" s="74">
        <v>0</v>
      </c>
      <c r="CQ677" s="74">
        <v>0</v>
      </c>
      <c r="CR677" s="74">
        <v>0</v>
      </c>
      <c r="CV677" s="74">
        <v>0</v>
      </c>
      <c r="CW677" s="74">
        <v>0</v>
      </c>
    </row>
    <row r="678" s="74" customFormat="1" ht="16.5" spans="1:101">
      <c r="A678" s="74">
        <v>8005</v>
      </c>
      <c r="B678" s="74" t="s">
        <v>1060</v>
      </c>
      <c r="H678" s="74">
        <v>200000</v>
      </c>
      <c r="I678" s="74" t="s">
        <v>924</v>
      </c>
      <c r="J678" s="74">
        <v>100000</v>
      </c>
      <c r="K678" s="74">
        <v>12000</v>
      </c>
      <c r="O678" s="75">
        <v>230165</v>
      </c>
      <c r="P678" s="74">
        <v>10</v>
      </c>
      <c r="Q678" s="74">
        <v>0</v>
      </c>
      <c r="R678" s="74">
        <v>0</v>
      </c>
      <c r="S678" s="74">
        <v>0</v>
      </c>
      <c r="T678" s="74">
        <v>0</v>
      </c>
      <c r="U678" s="74">
        <v>0</v>
      </c>
      <c r="V678" s="74">
        <v>0</v>
      </c>
      <c r="W678" s="74">
        <v>0</v>
      </c>
      <c r="X678" s="74">
        <v>0</v>
      </c>
      <c r="Y678" s="74">
        <v>0</v>
      </c>
      <c r="Z678" s="74">
        <v>0</v>
      </c>
      <c r="AA678" s="74">
        <v>0</v>
      </c>
      <c r="AB678" s="74">
        <v>0</v>
      </c>
      <c r="AC678" s="74">
        <v>0</v>
      </c>
      <c r="AD678" s="74">
        <v>0</v>
      </c>
      <c r="AE678" s="74">
        <v>200110</v>
      </c>
      <c r="AF678" s="74">
        <v>230461</v>
      </c>
      <c r="AG678" s="74">
        <v>230460</v>
      </c>
      <c r="AH678" s="74">
        <v>230459</v>
      </c>
      <c r="AI678" s="74">
        <v>230451</v>
      </c>
      <c r="AU678" s="74">
        <v>8</v>
      </c>
      <c r="AV678" s="74">
        <v>15</v>
      </c>
      <c r="AW678" s="74">
        <v>15</v>
      </c>
      <c r="AX678" s="74">
        <v>15</v>
      </c>
      <c r="AY678" s="74">
        <v>10</v>
      </c>
      <c r="BK678" s="74">
        <v>100</v>
      </c>
      <c r="BL678" s="74">
        <v>100</v>
      </c>
      <c r="BM678" s="74">
        <v>100</v>
      </c>
      <c r="BN678" s="74">
        <v>100</v>
      </c>
      <c r="BO678" s="74">
        <v>100</v>
      </c>
      <c r="BP678" s="74"/>
      <c r="CA678" s="75">
        <v>500</v>
      </c>
      <c r="CB678" s="75">
        <v>500</v>
      </c>
      <c r="CC678" s="74">
        <v>0</v>
      </c>
      <c r="CD678" s="74">
        <v>0</v>
      </c>
      <c r="CE678" s="74">
        <v>0</v>
      </c>
      <c r="CF678" s="74">
        <v>204045</v>
      </c>
      <c r="CG678" s="74">
        <v>0</v>
      </c>
      <c r="CH678" s="74">
        <v>0</v>
      </c>
      <c r="CI678" s="74">
        <v>1</v>
      </c>
      <c r="CJ678" s="74">
        <v>0</v>
      </c>
      <c r="CK678" s="74">
        <v>0</v>
      </c>
      <c r="CL678" s="74">
        <v>0</v>
      </c>
      <c r="CM678" s="74">
        <v>0</v>
      </c>
      <c r="CN678" s="74">
        <v>0</v>
      </c>
      <c r="CO678" s="74">
        <v>0</v>
      </c>
      <c r="CP678" s="74">
        <v>0</v>
      </c>
      <c r="CQ678" s="74">
        <v>0</v>
      </c>
      <c r="CR678" s="74">
        <v>0</v>
      </c>
      <c r="CV678" s="74">
        <v>0</v>
      </c>
      <c r="CW678" s="74">
        <v>0</v>
      </c>
    </row>
    <row r="679" s="74" customFormat="1" ht="16.5" spans="1:101">
      <c r="A679" s="74">
        <v>8006</v>
      </c>
      <c r="B679" s="74" t="s">
        <v>1061</v>
      </c>
      <c r="H679" s="74">
        <v>200000</v>
      </c>
      <c r="I679" s="74" t="s">
        <v>924</v>
      </c>
      <c r="J679" s="74">
        <v>100000</v>
      </c>
      <c r="K679" s="74">
        <v>12000</v>
      </c>
      <c r="O679" s="75">
        <v>230165</v>
      </c>
      <c r="P679" s="74">
        <v>10</v>
      </c>
      <c r="Q679" s="74">
        <v>0</v>
      </c>
      <c r="R679" s="74">
        <v>0</v>
      </c>
      <c r="S679" s="74">
        <v>0</v>
      </c>
      <c r="T679" s="74">
        <v>0</v>
      </c>
      <c r="U679" s="74">
        <v>0</v>
      </c>
      <c r="V679" s="74">
        <v>0</v>
      </c>
      <c r="W679" s="74">
        <v>0</v>
      </c>
      <c r="X679" s="74">
        <v>0</v>
      </c>
      <c r="Y679" s="74">
        <v>0</v>
      </c>
      <c r="Z679" s="74">
        <v>0</v>
      </c>
      <c r="AA679" s="74">
        <v>0</v>
      </c>
      <c r="AB679" s="74">
        <v>0</v>
      </c>
      <c r="AC679" s="74">
        <v>0</v>
      </c>
      <c r="AD679" s="74">
        <v>0</v>
      </c>
      <c r="AE679" s="74">
        <v>200110</v>
      </c>
      <c r="AF679" s="74">
        <v>230461</v>
      </c>
      <c r="AG679" s="74">
        <v>230460</v>
      </c>
      <c r="AH679" s="74">
        <v>230459</v>
      </c>
      <c r="AI679" s="74">
        <v>230451</v>
      </c>
      <c r="AU679" s="74">
        <v>8</v>
      </c>
      <c r="AV679" s="74">
        <v>15</v>
      </c>
      <c r="AW679" s="74">
        <v>15</v>
      </c>
      <c r="AX679" s="74">
        <v>15</v>
      </c>
      <c r="AY679" s="74">
        <v>10</v>
      </c>
      <c r="BK679" s="74">
        <v>100</v>
      </c>
      <c r="BL679" s="74">
        <v>100</v>
      </c>
      <c r="BM679" s="74">
        <v>100</v>
      </c>
      <c r="BN679" s="74">
        <v>100</v>
      </c>
      <c r="BO679" s="74">
        <v>100</v>
      </c>
      <c r="BP679" s="74"/>
      <c r="CA679" s="75">
        <v>500</v>
      </c>
      <c r="CB679" s="75">
        <v>500</v>
      </c>
      <c r="CC679" s="74">
        <v>0</v>
      </c>
      <c r="CD679" s="74">
        <v>0</v>
      </c>
      <c r="CE679" s="74">
        <v>0</v>
      </c>
      <c r="CF679" s="74">
        <v>204046</v>
      </c>
      <c r="CG679" s="74">
        <v>0</v>
      </c>
      <c r="CH679" s="74">
        <v>0</v>
      </c>
      <c r="CI679" s="74">
        <v>1</v>
      </c>
      <c r="CJ679" s="74">
        <v>0</v>
      </c>
      <c r="CK679" s="74">
        <v>0</v>
      </c>
      <c r="CL679" s="74">
        <v>0</v>
      </c>
      <c r="CM679" s="74">
        <v>0</v>
      </c>
      <c r="CN679" s="74">
        <v>0</v>
      </c>
      <c r="CO679" s="74">
        <v>0</v>
      </c>
      <c r="CP679" s="74">
        <v>0</v>
      </c>
      <c r="CQ679" s="74">
        <v>0</v>
      </c>
      <c r="CR679" s="74">
        <v>0</v>
      </c>
      <c r="CV679" s="74">
        <v>0</v>
      </c>
      <c r="CW679" s="74">
        <v>0</v>
      </c>
    </row>
    <row r="680" s="76" customFormat="1" ht="16.5" spans="1:101">
      <c r="A680" s="76">
        <v>8007</v>
      </c>
      <c r="B680" s="76" t="s">
        <v>1062</v>
      </c>
      <c r="H680" s="76">
        <v>300000</v>
      </c>
      <c r="I680" s="76" t="s">
        <v>924</v>
      </c>
      <c r="J680" s="76">
        <v>100000</v>
      </c>
      <c r="K680" s="76">
        <v>15000</v>
      </c>
      <c r="O680" s="75">
        <v>230165</v>
      </c>
      <c r="P680" s="76">
        <v>15</v>
      </c>
      <c r="Q680" s="76">
        <v>0</v>
      </c>
      <c r="R680" s="76">
        <v>0</v>
      </c>
      <c r="S680" s="76">
        <v>0</v>
      </c>
      <c r="T680" s="76">
        <v>0</v>
      </c>
      <c r="U680" s="76">
        <v>0</v>
      </c>
      <c r="V680" s="76">
        <v>0</v>
      </c>
      <c r="W680" s="76">
        <v>0</v>
      </c>
      <c r="X680" s="76">
        <v>0</v>
      </c>
      <c r="Y680" s="76">
        <v>0</v>
      </c>
      <c r="Z680" s="76">
        <v>0</v>
      </c>
      <c r="AA680" s="76">
        <v>0</v>
      </c>
      <c r="AB680" s="76">
        <v>0</v>
      </c>
      <c r="AC680" s="76">
        <v>0</v>
      </c>
      <c r="AD680" s="76">
        <v>0</v>
      </c>
      <c r="AE680" s="74">
        <v>200110</v>
      </c>
      <c r="AF680" s="74">
        <v>230461</v>
      </c>
      <c r="AG680" s="74">
        <v>230460</v>
      </c>
      <c r="AH680" s="74">
        <v>230459</v>
      </c>
      <c r="AI680" s="74">
        <v>230451</v>
      </c>
      <c r="AU680" s="76">
        <v>10</v>
      </c>
      <c r="AV680" s="76">
        <v>20</v>
      </c>
      <c r="AW680" s="76">
        <v>20</v>
      </c>
      <c r="AX680" s="76">
        <v>20</v>
      </c>
      <c r="AY680" s="76">
        <v>15</v>
      </c>
      <c r="BK680" s="76">
        <v>100</v>
      </c>
      <c r="BL680" s="76">
        <v>100</v>
      </c>
      <c r="BM680" s="76">
        <v>100</v>
      </c>
      <c r="BN680" s="76">
        <v>100</v>
      </c>
      <c r="BO680" s="76">
        <v>100</v>
      </c>
      <c r="BP680" s="76"/>
      <c r="CA680" s="75">
        <v>500</v>
      </c>
      <c r="CB680" s="75">
        <v>500</v>
      </c>
      <c r="CC680" s="76">
        <v>0</v>
      </c>
      <c r="CD680" s="76">
        <v>0</v>
      </c>
      <c r="CE680" s="76">
        <v>0</v>
      </c>
      <c r="CF680" s="76">
        <v>204042</v>
      </c>
      <c r="CG680" s="76">
        <v>0</v>
      </c>
      <c r="CH680" s="76">
        <v>0</v>
      </c>
      <c r="CI680" s="76">
        <v>1</v>
      </c>
      <c r="CJ680" s="76">
        <v>0</v>
      </c>
      <c r="CK680" s="76">
        <v>0</v>
      </c>
      <c r="CL680" s="76">
        <v>0</v>
      </c>
      <c r="CM680" s="76">
        <v>0</v>
      </c>
      <c r="CN680" s="76">
        <v>0</v>
      </c>
      <c r="CO680" s="76">
        <v>0</v>
      </c>
      <c r="CP680" s="76">
        <v>0</v>
      </c>
      <c r="CQ680" s="76">
        <v>0</v>
      </c>
      <c r="CR680" s="76">
        <v>0</v>
      </c>
      <c r="CV680" s="76">
        <v>0</v>
      </c>
      <c r="CW680" s="76">
        <v>0</v>
      </c>
    </row>
    <row r="681" s="76" customFormat="1" ht="16.5" spans="1:101">
      <c r="A681" s="76">
        <v>8008</v>
      </c>
      <c r="B681" s="76" t="s">
        <v>1063</v>
      </c>
      <c r="H681" s="76">
        <v>300000</v>
      </c>
      <c r="I681" s="76" t="s">
        <v>924</v>
      </c>
      <c r="J681" s="76">
        <v>100000</v>
      </c>
      <c r="K681" s="76">
        <v>15000</v>
      </c>
      <c r="O681" s="75">
        <v>230165</v>
      </c>
      <c r="P681" s="76">
        <v>15</v>
      </c>
      <c r="Q681" s="76">
        <v>0</v>
      </c>
      <c r="R681" s="76">
        <v>0</v>
      </c>
      <c r="S681" s="76">
        <v>0</v>
      </c>
      <c r="T681" s="76">
        <v>0</v>
      </c>
      <c r="U681" s="76">
        <v>0</v>
      </c>
      <c r="V681" s="76">
        <v>0</v>
      </c>
      <c r="W681" s="76">
        <v>0</v>
      </c>
      <c r="X681" s="76">
        <v>0</v>
      </c>
      <c r="Y681" s="76">
        <v>0</v>
      </c>
      <c r="Z681" s="76">
        <v>0</v>
      </c>
      <c r="AA681" s="76">
        <v>0</v>
      </c>
      <c r="AB681" s="76">
        <v>0</v>
      </c>
      <c r="AC681" s="76">
        <v>0</v>
      </c>
      <c r="AD681" s="76">
        <v>0</v>
      </c>
      <c r="AE681" s="74">
        <v>200110</v>
      </c>
      <c r="AF681" s="74">
        <v>230461</v>
      </c>
      <c r="AG681" s="74">
        <v>230460</v>
      </c>
      <c r="AH681" s="74">
        <v>230459</v>
      </c>
      <c r="AI681" s="74">
        <v>230451</v>
      </c>
      <c r="AU681" s="76">
        <v>10</v>
      </c>
      <c r="AV681" s="76">
        <v>20</v>
      </c>
      <c r="AW681" s="76">
        <v>20</v>
      </c>
      <c r="AX681" s="76">
        <v>20</v>
      </c>
      <c r="AY681" s="76">
        <v>15</v>
      </c>
      <c r="BK681" s="76">
        <v>100</v>
      </c>
      <c r="BL681" s="76">
        <v>100</v>
      </c>
      <c r="BM681" s="76">
        <v>100</v>
      </c>
      <c r="BN681" s="76">
        <v>100</v>
      </c>
      <c r="BO681" s="76">
        <v>100</v>
      </c>
      <c r="BP681" s="76"/>
      <c r="CA681" s="75">
        <v>500</v>
      </c>
      <c r="CB681" s="75">
        <v>500</v>
      </c>
      <c r="CC681" s="76">
        <v>0</v>
      </c>
      <c r="CD681" s="76">
        <v>0</v>
      </c>
      <c r="CE681" s="76">
        <v>0</v>
      </c>
      <c r="CF681" s="76">
        <v>204043</v>
      </c>
      <c r="CG681" s="76">
        <v>0</v>
      </c>
      <c r="CH681" s="76">
        <v>0</v>
      </c>
      <c r="CI681" s="76">
        <v>1</v>
      </c>
      <c r="CJ681" s="76">
        <v>0</v>
      </c>
      <c r="CK681" s="76">
        <v>0</v>
      </c>
      <c r="CL681" s="76">
        <v>0</v>
      </c>
      <c r="CM681" s="76">
        <v>0</v>
      </c>
      <c r="CN681" s="76">
        <v>0</v>
      </c>
      <c r="CO681" s="76">
        <v>0</v>
      </c>
      <c r="CP681" s="76">
        <v>0</v>
      </c>
      <c r="CQ681" s="76">
        <v>0</v>
      </c>
      <c r="CR681" s="76">
        <v>0</v>
      </c>
      <c r="CV681" s="76">
        <v>0</v>
      </c>
      <c r="CW681" s="76">
        <v>0</v>
      </c>
    </row>
    <row r="682" s="76" customFormat="1" ht="16.5" spans="1:101">
      <c r="A682" s="76">
        <v>8009</v>
      </c>
      <c r="B682" s="76" t="s">
        <v>1064</v>
      </c>
      <c r="H682" s="76">
        <v>300000</v>
      </c>
      <c r="I682" s="76" t="s">
        <v>924</v>
      </c>
      <c r="J682" s="76">
        <v>100000</v>
      </c>
      <c r="K682" s="76">
        <v>15000</v>
      </c>
      <c r="O682" s="75">
        <v>230165</v>
      </c>
      <c r="P682" s="76">
        <v>15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0</v>
      </c>
      <c r="X682" s="76">
        <v>0</v>
      </c>
      <c r="Y682" s="76">
        <v>0</v>
      </c>
      <c r="Z682" s="76">
        <v>0</v>
      </c>
      <c r="AA682" s="76">
        <v>0</v>
      </c>
      <c r="AB682" s="76">
        <v>0</v>
      </c>
      <c r="AC682" s="76">
        <v>0</v>
      </c>
      <c r="AD682" s="76">
        <v>0</v>
      </c>
      <c r="AE682" s="74">
        <v>200110</v>
      </c>
      <c r="AF682" s="74">
        <v>230461</v>
      </c>
      <c r="AG682" s="74">
        <v>230460</v>
      </c>
      <c r="AH682" s="74">
        <v>230459</v>
      </c>
      <c r="AI682" s="74">
        <v>230451</v>
      </c>
      <c r="AU682" s="76">
        <v>10</v>
      </c>
      <c r="AV682" s="76">
        <v>20</v>
      </c>
      <c r="AW682" s="76">
        <v>20</v>
      </c>
      <c r="AX682" s="76">
        <v>20</v>
      </c>
      <c r="AY682" s="76">
        <v>15</v>
      </c>
      <c r="BK682" s="76">
        <v>100</v>
      </c>
      <c r="BL682" s="76">
        <v>100</v>
      </c>
      <c r="BM682" s="76">
        <v>100</v>
      </c>
      <c r="BN682" s="76">
        <v>100</v>
      </c>
      <c r="BO682" s="76">
        <v>100</v>
      </c>
      <c r="BP682" s="76"/>
      <c r="CA682" s="75">
        <v>500</v>
      </c>
      <c r="CB682" s="75">
        <v>500</v>
      </c>
      <c r="CC682" s="76">
        <v>0</v>
      </c>
      <c r="CD682" s="76">
        <v>0</v>
      </c>
      <c r="CE682" s="76">
        <v>0</v>
      </c>
      <c r="CF682" s="76">
        <v>204044</v>
      </c>
      <c r="CG682" s="76">
        <v>0</v>
      </c>
      <c r="CH682" s="76">
        <v>0</v>
      </c>
      <c r="CI682" s="76">
        <v>1</v>
      </c>
      <c r="CJ682" s="76">
        <v>0</v>
      </c>
      <c r="CK682" s="76">
        <v>0</v>
      </c>
      <c r="CL682" s="76">
        <v>0</v>
      </c>
      <c r="CM682" s="76">
        <v>0</v>
      </c>
      <c r="CN682" s="76">
        <v>0</v>
      </c>
      <c r="CO682" s="76">
        <v>0</v>
      </c>
      <c r="CP682" s="76">
        <v>0</v>
      </c>
      <c r="CQ682" s="76">
        <v>0</v>
      </c>
      <c r="CR682" s="76">
        <v>0</v>
      </c>
      <c r="CV682" s="76">
        <v>0</v>
      </c>
      <c r="CW682" s="76">
        <v>0</v>
      </c>
    </row>
    <row r="683" s="76" customFormat="1" ht="16.5" spans="1:101">
      <c r="A683" s="76">
        <v>8010</v>
      </c>
      <c r="B683" s="76" t="s">
        <v>1065</v>
      </c>
      <c r="H683" s="76">
        <v>300000</v>
      </c>
      <c r="I683" s="76" t="s">
        <v>924</v>
      </c>
      <c r="J683" s="76">
        <v>100000</v>
      </c>
      <c r="K683" s="76">
        <v>15000</v>
      </c>
      <c r="O683" s="75">
        <v>230165</v>
      </c>
      <c r="P683" s="76">
        <v>15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0</v>
      </c>
      <c r="X683" s="76">
        <v>0</v>
      </c>
      <c r="Y683" s="76">
        <v>0</v>
      </c>
      <c r="Z683" s="76">
        <v>0</v>
      </c>
      <c r="AA683" s="76">
        <v>0</v>
      </c>
      <c r="AB683" s="76">
        <v>0</v>
      </c>
      <c r="AC683" s="76">
        <v>0</v>
      </c>
      <c r="AD683" s="76">
        <v>0</v>
      </c>
      <c r="AE683" s="74">
        <v>200110</v>
      </c>
      <c r="AF683" s="74">
        <v>230461</v>
      </c>
      <c r="AG683" s="74">
        <v>230460</v>
      </c>
      <c r="AH683" s="74">
        <v>230459</v>
      </c>
      <c r="AI683" s="74">
        <v>230451</v>
      </c>
      <c r="AU683" s="76">
        <v>10</v>
      </c>
      <c r="AV683" s="76">
        <v>20</v>
      </c>
      <c r="AW683" s="76">
        <v>20</v>
      </c>
      <c r="AX683" s="76">
        <v>20</v>
      </c>
      <c r="AY683" s="76">
        <v>15</v>
      </c>
      <c r="BK683" s="76">
        <v>100</v>
      </c>
      <c r="BL683" s="76">
        <v>100</v>
      </c>
      <c r="BM683" s="76">
        <v>100</v>
      </c>
      <c r="BN683" s="76">
        <v>100</v>
      </c>
      <c r="BO683" s="76">
        <v>100</v>
      </c>
      <c r="BP683" s="76"/>
      <c r="CA683" s="75">
        <v>500</v>
      </c>
      <c r="CB683" s="75">
        <v>500</v>
      </c>
      <c r="CC683" s="76">
        <v>0</v>
      </c>
      <c r="CD683" s="76">
        <v>0</v>
      </c>
      <c r="CE683" s="76">
        <v>0</v>
      </c>
      <c r="CF683" s="76">
        <v>204045</v>
      </c>
      <c r="CG683" s="76">
        <v>0</v>
      </c>
      <c r="CH683" s="76">
        <v>0</v>
      </c>
      <c r="CI683" s="76">
        <v>1</v>
      </c>
      <c r="CJ683" s="76">
        <v>0</v>
      </c>
      <c r="CK683" s="76">
        <v>0</v>
      </c>
      <c r="CL683" s="76">
        <v>0</v>
      </c>
      <c r="CM683" s="76">
        <v>0</v>
      </c>
      <c r="CN683" s="76">
        <v>0</v>
      </c>
      <c r="CO683" s="76">
        <v>0</v>
      </c>
      <c r="CP683" s="76">
        <v>0</v>
      </c>
      <c r="CQ683" s="76">
        <v>0</v>
      </c>
      <c r="CR683" s="76">
        <v>0</v>
      </c>
      <c r="CV683" s="76">
        <v>0</v>
      </c>
      <c r="CW683" s="76">
        <v>0</v>
      </c>
    </row>
    <row r="684" s="76" customFormat="1" ht="16.5" spans="1:101">
      <c r="A684" s="76">
        <v>8011</v>
      </c>
      <c r="B684" s="76" t="s">
        <v>1066</v>
      </c>
      <c r="H684" s="76">
        <v>300000</v>
      </c>
      <c r="I684" s="76" t="s">
        <v>924</v>
      </c>
      <c r="J684" s="76">
        <v>100000</v>
      </c>
      <c r="K684" s="76">
        <v>15000</v>
      </c>
      <c r="O684" s="75">
        <v>230165</v>
      </c>
      <c r="P684" s="76">
        <v>15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0</v>
      </c>
      <c r="X684" s="76">
        <v>0</v>
      </c>
      <c r="Y684" s="76">
        <v>0</v>
      </c>
      <c r="Z684" s="76">
        <v>0</v>
      </c>
      <c r="AA684" s="76">
        <v>0</v>
      </c>
      <c r="AB684" s="76">
        <v>0</v>
      </c>
      <c r="AC684" s="76">
        <v>0</v>
      </c>
      <c r="AD684" s="76">
        <v>0</v>
      </c>
      <c r="AE684" s="74">
        <v>200110</v>
      </c>
      <c r="AF684" s="74">
        <v>230461</v>
      </c>
      <c r="AG684" s="74">
        <v>230460</v>
      </c>
      <c r="AH684" s="74">
        <v>230459</v>
      </c>
      <c r="AI684" s="74">
        <v>230451</v>
      </c>
      <c r="AU684" s="76">
        <v>10</v>
      </c>
      <c r="AV684" s="76">
        <v>20</v>
      </c>
      <c r="AW684" s="76">
        <v>20</v>
      </c>
      <c r="AX684" s="76">
        <v>20</v>
      </c>
      <c r="AY684" s="76">
        <v>15</v>
      </c>
      <c r="BK684" s="76">
        <v>100</v>
      </c>
      <c r="BL684" s="76">
        <v>100</v>
      </c>
      <c r="BM684" s="76">
        <v>100</v>
      </c>
      <c r="BN684" s="76">
        <v>100</v>
      </c>
      <c r="BO684" s="76">
        <v>100</v>
      </c>
      <c r="BP684" s="76"/>
      <c r="CA684" s="75">
        <v>500</v>
      </c>
      <c r="CB684" s="75">
        <v>500</v>
      </c>
      <c r="CC684" s="76">
        <v>0</v>
      </c>
      <c r="CD684" s="76">
        <v>0</v>
      </c>
      <c r="CE684" s="76">
        <v>0</v>
      </c>
      <c r="CF684" s="76">
        <v>204046</v>
      </c>
      <c r="CG684" s="76">
        <v>0</v>
      </c>
      <c r="CH684" s="76">
        <v>0</v>
      </c>
      <c r="CI684" s="76">
        <v>1</v>
      </c>
      <c r="CJ684" s="76">
        <v>0</v>
      </c>
      <c r="CK684" s="76">
        <v>0</v>
      </c>
      <c r="CL684" s="76">
        <v>0</v>
      </c>
      <c r="CM684" s="76">
        <v>0</v>
      </c>
      <c r="CN684" s="76">
        <v>0</v>
      </c>
      <c r="CO684" s="76">
        <v>0</v>
      </c>
      <c r="CP684" s="76">
        <v>0</v>
      </c>
      <c r="CQ684" s="76">
        <v>0</v>
      </c>
      <c r="CR684" s="76">
        <v>0</v>
      </c>
      <c r="CV684" s="76">
        <v>0</v>
      </c>
      <c r="CW684" s="76">
        <v>0</v>
      </c>
    </row>
    <row r="685" s="74" customFormat="1" ht="16.5" spans="1:101">
      <c r="A685" s="74">
        <v>8012</v>
      </c>
      <c r="B685" s="74" t="s">
        <v>630</v>
      </c>
      <c r="H685" s="74">
        <v>1500000</v>
      </c>
      <c r="I685" s="74" t="s">
        <v>924</v>
      </c>
      <c r="J685" s="74">
        <v>100000</v>
      </c>
      <c r="K685" s="74">
        <v>50000</v>
      </c>
      <c r="O685" s="54" t="s">
        <v>796</v>
      </c>
      <c r="P685" s="74">
        <v>5</v>
      </c>
      <c r="Q685" s="74">
        <v>0</v>
      </c>
      <c r="R685" s="74">
        <v>0</v>
      </c>
      <c r="S685" s="74">
        <v>201301</v>
      </c>
      <c r="T685" s="74">
        <v>2</v>
      </c>
      <c r="U685" s="74">
        <v>0</v>
      </c>
      <c r="V685" s="74">
        <v>0</v>
      </c>
      <c r="W685" s="74">
        <v>201302</v>
      </c>
      <c r="X685" s="74">
        <v>2</v>
      </c>
      <c r="Y685" s="74">
        <v>0</v>
      </c>
      <c r="Z685" s="74">
        <v>0</v>
      </c>
      <c r="AA685" s="74">
        <v>0</v>
      </c>
      <c r="AB685" s="74">
        <v>0</v>
      </c>
      <c r="AC685" s="74">
        <v>0</v>
      </c>
      <c r="AD685" s="74">
        <v>0</v>
      </c>
      <c r="AE685" s="74">
        <v>201301</v>
      </c>
      <c r="AF685" s="74">
        <v>201302</v>
      </c>
      <c r="AG685" s="74">
        <v>201303</v>
      </c>
      <c r="AH685" s="74">
        <v>230451</v>
      </c>
      <c r="AI685" s="74">
        <v>230452</v>
      </c>
      <c r="AJ685" s="74">
        <v>230453</v>
      </c>
      <c r="AU685" s="74">
        <v>5</v>
      </c>
      <c r="AV685" s="74">
        <v>2</v>
      </c>
      <c r="AW685" s="74">
        <v>1</v>
      </c>
      <c r="AX685" s="74">
        <v>50</v>
      </c>
      <c r="AY685" s="74">
        <v>1</v>
      </c>
      <c r="AZ685" s="74">
        <v>1</v>
      </c>
      <c r="BK685" s="74">
        <v>100</v>
      </c>
      <c r="BL685" s="74">
        <v>100</v>
      </c>
      <c r="BM685" s="74">
        <v>100</v>
      </c>
      <c r="BN685" s="74">
        <v>70</v>
      </c>
      <c r="BO685" s="74">
        <v>20</v>
      </c>
      <c r="BP685" s="74">
        <v>20</v>
      </c>
      <c r="CA685" s="74">
        <v>410</v>
      </c>
      <c r="CB685" s="74">
        <v>410</v>
      </c>
      <c r="CC685" s="74">
        <v>0</v>
      </c>
      <c r="CD685" s="74">
        <v>0</v>
      </c>
      <c r="CE685" s="74">
        <v>0</v>
      </c>
      <c r="CF685" s="74">
        <v>204047</v>
      </c>
      <c r="CG685" s="74">
        <v>0</v>
      </c>
      <c r="CH685" s="74">
        <v>0</v>
      </c>
      <c r="CI685" s="74">
        <v>1</v>
      </c>
      <c r="CJ685" s="74">
        <v>0</v>
      </c>
      <c r="CK685" s="74">
        <v>0</v>
      </c>
      <c r="CL685" s="74">
        <v>0</v>
      </c>
      <c r="CM685" s="74">
        <v>0</v>
      </c>
      <c r="CN685" s="74">
        <v>0</v>
      </c>
      <c r="CO685" s="74">
        <v>0</v>
      </c>
      <c r="CP685" s="74">
        <v>0</v>
      </c>
      <c r="CQ685" s="74">
        <v>1</v>
      </c>
      <c r="CR685" s="74">
        <v>0</v>
      </c>
      <c r="CV685" s="74">
        <v>0</v>
      </c>
      <c r="CW685" s="74">
        <v>0</v>
      </c>
    </row>
    <row r="686" s="74" customFormat="1" ht="16.5" spans="1:101">
      <c r="A686" s="74">
        <v>8013</v>
      </c>
      <c r="B686" s="74" t="s">
        <v>1067</v>
      </c>
      <c r="H686" s="74">
        <v>1500000</v>
      </c>
      <c r="I686" s="74" t="s">
        <v>924</v>
      </c>
      <c r="J686" s="74">
        <v>100000</v>
      </c>
      <c r="K686" s="74">
        <v>50000</v>
      </c>
      <c r="O686" s="54" t="s">
        <v>796</v>
      </c>
      <c r="P686" s="74">
        <v>5</v>
      </c>
      <c r="Q686" s="74">
        <v>0</v>
      </c>
      <c r="R686" s="74">
        <v>0</v>
      </c>
      <c r="S686" s="74">
        <v>201301</v>
      </c>
      <c r="T686" s="74">
        <v>2</v>
      </c>
      <c r="U686" s="74">
        <v>0</v>
      </c>
      <c r="V686" s="74">
        <v>0</v>
      </c>
      <c r="W686" s="74">
        <v>201302</v>
      </c>
      <c r="X686" s="74">
        <v>2</v>
      </c>
      <c r="Y686" s="74">
        <v>0</v>
      </c>
      <c r="Z686" s="74">
        <v>0</v>
      </c>
      <c r="AA686" s="74">
        <v>0</v>
      </c>
      <c r="AB686" s="74">
        <v>0</v>
      </c>
      <c r="AC686" s="74">
        <v>0</v>
      </c>
      <c r="AD686" s="74">
        <v>0</v>
      </c>
      <c r="AE686" s="74">
        <v>201301</v>
      </c>
      <c r="AF686" s="74">
        <v>201302</v>
      </c>
      <c r="AG686" s="74">
        <v>201303</v>
      </c>
      <c r="AH686" s="74">
        <v>230451</v>
      </c>
      <c r="AI686" s="74">
        <v>230452</v>
      </c>
      <c r="AJ686" s="74">
        <v>230453</v>
      </c>
      <c r="AU686" s="74">
        <v>5</v>
      </c>
      <c r="AV686" s="74">
        <v>2</v>
      </c>
      <c r="AW686" s="74">
        <v>1</v>
      </c>
      <c r="AX686" s="74">
        <v>50</v>
      </c>
      <c r="AY686" s="74">
        <v>1</v>
      </c>
      <c r="AZ686" s="74">
        <v>1</v>
      </c>
      <c r="BK686" s="74">
        <v>100</v>
      </c>
      <c r="BL686" s="74">
        <v>100</v>
      </c>
      <c r="BM686" s="74">
        <v>100</v>
      </c>
      <c r="BN686" s="74">
        <v>70</v>
      </c>
      <c r="BO686" s="74">
        <v>20</v>
      </c>
      <c r="BP686" s="74">
        <v>20</v>
      </c>
      <c r="CA686" s="74">
        <v>410</v>
      </c>
      <c r="CB686" s="74">
        <v>410</v>
      </c>
      <c r="CC686" s="74">
        <v>0</v>
      </c>
      <c r="CD686" s="74">
        <v>0</v>
      </c>
      <c r="CE686" s="74">
        <v>0</v>
      </c>
      <c r="CF686" s="74">
        <v>204048</v>
      </c>
      <c r="CG686" s="74">
        <v>0</v>
      </c>
      <c r="CH686" s="74">
        <v>0</v>
      </c>
      <c r="CI686" s="74">
        <v>1</v>
      </c>
      <c r="CJ686" s="74">
        <v>0</v>
      </c>
      <c r="CK686" s="74">
        <v>0</v>
      </c>
      <c r="CL686" s="74">
        <v>0</v>
      </c>
      <c r="CM686" s="74">
        <v>0</v>
      </c>
      <c r="CN686" s="74">
        <v>0</v>
      </c>
      <c r="CO686" s="74">
        <v>0</v>
      </c>
      <c r="CP686" s="74">
        <v>0</v>
      </c>
      <c r="CQ686" s="74">
        <v>0</v>
      </c>
      <c r="CR686" s="74">
        <v>0</v>
      </c>
      <c r="CV686" s="74">
        <v>0</v>
      </c>
      <c r="CW686" s="74">
        <v>0</v>
      </c>
    </row>
    <row r="687" s="74" customFormat="1" ht="16.5" spans="1:101">
      <c r="A687" s="74">
        <v>8014</v>
      </c>
      <c r="B687" s="74" t="s">
        <v>1068</v>
      </c>
      <c r="H687" s="74">
        <v>500000</v>
      </c>
      <c r="I687" s="74" t="s">
        <v>924</v>
      </c>
      <c r="J687" s="74">
        <v>100000</v>
      </c>
      <c r="K687" s="74">
        <v>10000</v>
      </c>
      <c r="O687" s="75">
        <v>230165</v>
      </c>
      <c r="P687" s="74">
        <v>20</v>
      </c>
      <c r="Q687" s="74">
        <v>0</v>
      </c>
      <c r="R687" s="74">
        <v>0</v>
      </c>
      <c r="S687" s="74">
        <v>0</v>
      </c>
      <c r="T687" s="74">
        <v>0</v>
      </c>
      <c r="U687" s="74">
        <v>0</v>
      </c>
      <c r="V687" s="74">
        <v>0</v>
      </c>
      <c r="W687" s="74">
        <v>0</v>
      </c>
      <c r="X687" s="74">
        <v>0</v>
      </c>
      <c r="Y687" s="74">
        <v>0</v>
      </c>
      <c r="Z687" s="74">
        <v>0</v>
      </c>
      <c r="AA687" s="74">
        <v>0</v>
      </c>
      <c r="AB687" s="74">
        <v>0</v>
      </c>
      <c r="AC687" s="74">
        <v>0</v>
      </c>
      <c r="AD687" s="74">
        <v>0</v>
      </c>
      <c r="AE687" s="74">
        <v>200875</v>
      </c>
      <c r="AF687" s="74">
        <v>230700</v>
      </c>
      <c r="AG687" s="74">
        <v>230701</v>
      </c>
      <c r="AH687" s="74">
        <v>230702</v>
      </c>
      <c r="AI687" s="74">
        <v>230703</v>
      </c>
      <c r="AJ687" s="74"/>
      <c r="AK687" s="74"/>
      <c r="AL687" s="74"/>
      <c r="AM687" s="74"/>
      <c r="AN687" s="74"/>
      <c r="AO687" s="74"/>
      <c r="AP687" s="74"/>
      <c r="AQ687" s="74"/>
      <c r="AU687" s="74">
        <v>1</v>
      </c>
      <c r="AV687" s="74">
        <v>1</v>
      </c>
      <c r="AW687" s="74">
        <v>1</v>
      </c>
      <c r="AX687" s="74">
        <v>1</v>
      </c>
      <c r="AY687" s="74">
        <v>1</v>
      </c>
      <c r="AZ687" s="74"/>
      <c r="BA687" s="74"/>
      <c r="BB687" s="74"/>
      <c r="BC687" s="74"/>
      <c r="BD687" s="74"/>
      <c r="BE687" s="74"/>
      <c r="BF687" s="74"/>
      <c r="BK687" s="74">
        <v>100</v>
      </c>
      <c r="BL687" s="74">
        <v>100</v>
      </c>
      <c r="BM687" s="74">
        <v>100</v>
      </c>
      <c r="BN687" s="74">
        <v>100</v>
      </c>
      <c r="BO687" s="74">
        <v>100</v>
      </c>
      <c r="BP687" s="74"/>
      <c r="BQ687" s="74"/>
      <c r="BR687" s="74"/>
      <c r="BS687" s="74"/>
      <c r="BT687" s="74"/>
      <c r="BU687" s="74"/>
      <c r="BV687" s="74"/>
      <c r="CA687" s="74">
        <v>500</v>
      </c>
      <c r="CB687" s="74">
        <v>500</v>
      </c>
      <c r="CC687" s="74">
        <v>0</v>
      </c>
      <c r="CD687" s="74">
        <v>0</v>
      </c>
      <c r="CE687" s="74">
        <v>0</v>
      </c>
      <c r="CF687" s="74">
        <v>204049</v>
      </c>
      <c r="CG687" s="74">
        <v>0</v>
      </c>
      <c r="CH687" s="74">
        <v>0</v>
      </c>
      <c r="CI687" s="74">
        <v>1</v>
      </c>
      <c r="CJ687" s="74">
        <v>0</v>
      </c>
      <c r="CK687" s="74">
        <v>0</v>
      </c>
      <c r="CL687" s="74">
        <v>0</v>
      </c>
      <c r="CM687" s="74">
        <v>0</v>
      </c>
      <c r="CN687" s="74">
        <v>0</v>
      </c>
      <c r="CO687" s="74">
        <v>0</v>
      </c>
      <c r="CP687" s="74">
        <v>0</v>
      </c>
      <c r="CQ687" s="74">
        <v>0</v>
      </c>
      <c r="CR687" s="74">
        <v>0</v>
      </c>
      <c r="CV687" s="74">
        <v>0</v>
      </c>
      <c r="CW687" s="74">
        <v>0</v>
      </c>
    </row>
    <row r="688" s="74" customFormat="1" ht="16.5" spans="1:101">
      <c r="A688" s="74">
        <v>8015</v>
      </c>
      <c r="B688" s="74" t="s">
        <v>1069</v>
      </c>
      <c r="H688" s="74">
        <v>500000</v>
      </c>
      <c r="I688" s="74" t="s">
        <v>924</v>
      </c>
      <c r="J688" s="74">
        <v>100000</v>
      </c>
      <c r="K688" s="74">
        <v>10000</v>
      </c>
      <c r="O688" s="75">
        <v>230165</v>
      </c>
      <c r="P688" s="74">
        <v>20</v>
      </c>
      <c r="Q688" s="74">
        <v>0</v>
      </c>
      <c r="R688" s="74">
        <v>0</v>
      </c>
      <c r="S688" s="74">
        <v>0</v>
      </c>
      <c r="T688" s="74">
        <v>0</v>
      </c>
      <c r="U688" s="74">
        <v>0</v>
      </c>
      <c r="V688" s="74">
        <v>0</v>
      </c>
      <c r="W688" s="74">
        <v>0</v>
      </c>
      <c r="X688" s="74">
        <v>0</v>
      </c>
      <c r="Y688" s="74">
        <v>0</v>
      </c>
      <c r="Z688" s="74">
        <v>0</v>
      </c>
      <c r="AA688" s="74">
        <v>0</v>
      </c>
      <c r="AB688" s="74">
        <v>0</v>
      </c>
      <c r="AC688" s="74">
        <v>0</v>
      </c>
      <c r="AD688" s="74">
        <v>0</v>
      </c>
      <c r="AE688" s="74">
        <v>200875</v>
      </c>
      <c r="AF688" s="74">
        <v>230700</v>
      </c>
      <c r="AG688" s="74">
        <v>230701</v>
      </c>
      <c r="AH688" s="74">
        <v>230702</v>
      </c>
      <c r="AI688" s="74">
        <v>230703</v>
      </c>
      <c r="AJ688" s="74"/>
      <c r="AK688" s="74"/>
      <c r="AL688" s="74"/>
      <c r="AM688" s="74"/>
      <c r="AN688" s="74"/>
      <c r="AO688" s="74"/>
      <c r="AP688" s="74"/>
      <c r="AU688" s="74">
        <v>1</v>
      </c>
      <c r="AV688" s="74">
        <v>1</v>
      </c>
      <c r="AW688" s="74">
        <v>1</v>
      </c>
      <c r="AX688" s="74">
        <v>1</v>
      </c>
      <c r="AY688" s="74">
        <v>1</v>
      </c>
      <c r="AZ688" s="74"/>
      <c r="BA688" s="74"/>
      <c r="BB688" s="74"/>
      <c r="BC688" s="74"/>
      <c r="BD688" s="74"/>
      <c r="BE688" s="74"/>
      <c r="BF688" s="74"/>
      <c r="BK688" s="74">
        <v>100</v>
      </c>
      <c r="BL688" s="74">
        <v>100</v>
      </c>
      <c r="BM688" s="74">
        <v>100</v>
      </c>
      <c r="BN688" s="74">
        <v>100</v>
      </c>
      <c r="BO688" s="74">
        <v>100</v>
      </c>
      <c r="BP688" s="74"/>
      <c r="BQ688" s="74"/>
      <c r="BR688" s="74"/>
      <c r="BS688" s="74"/>
      <c r="BT688" s="74"/>
      <c r="BU688" s="74"/>
      <c r="BV688" s="74"/>
      <c r="CA688" s="74">
        <v>500</v>
      </c>
      <c r="CB688" s="74">
        <v>500</v>
      </c>
      <c r="CC688" s="74">
        <v>0</v>
      </c>
      <c r="CD688" s="74">
        <v>0</v>
      </c>
      <c r="CE688" s="74">
        <v>0</v>
      </c>
      <c r="CF688" s="74">
        <v>204050</v>
      </c>
      <c r="CG688" s="74">
        <v>0</v>
      </c>
      <c r="CH688" s="74">
        <v>0</v>
      </c>
      <c r="CI688" s="74">
        <v>1</v>
      </c>
      <c r="CJ688" s="74">
        <v>0</v>
      </c>
      <c r="CK688" s="74">
        <v>0</v>
      </c>
      <c r="CL688" s="74">
        <v>0</v>
      </c>
      <c r="CM688" s="74">
        <v>0</v>
      </c>
      <c r="CN688" s="74">
        <v>0</v>
      </c>
      <c r="CO688" s="74">
        <v>0</v>
      </c>
      <c r="CP688" s="74">
        <v>0</v>
      </c>
      <c r="CQ688" s="74">
        <v>0</v>
      </c>
      <c r="CR688" s="74">
        <v>0</v>
      </c>
      <c r="CV688" s="74">
        <v>0</v>
      </c>
      <c r="CW688" s="74">
        <v>0</v>
      </c>
    </row>
    <row r="689" s="74" customFormat="1" ht="16.5" spans="1:101">
      <c r="A689" s="74">
        <v>8016</v>
      </c>
      <c r="B689" s="74" t="s">
        <v>1070</v>
      </c>
      <c r="H689" s="74">
        <v>500000</v>
      </c>
      <c r="I689" s="74" t="s">
        <v>924</v>
      </c>
      <c r="J689" s="74">
        <v>100000</v>
      </c>
      <c r="K689" s="74">
        <v>10000</v>
      </c>
      <c r="O689" s="75">
        <v>230165</v>
      </c>
      <c r="P689" s="74">
        <v>20</v>
      </c>
      <c r="Q689" s="74">
        <v>0</v>
      </c>
      <c r="R689" s="74">
        <v>0</v>
      </c>
      <c r="S689" s="74">
        <v>0</v>
      </c>
      <c r="T689" s="74">
        <v>0</v>
      </c>
      <c r="U689" s="74">
        <v>0</v>
      </c>
      <c r="V689" s="74">
        <v>0</v>
      </c>
      <c r="W689" s="74">
        <v>0</v>
      </c>
      <c r="X689" s="74">
        <v>0</v>
      </c>
      <c r="Y689" s="74">
        <v>0</v>
      </c>
      <c r="Z689" s="74">
        <v>0</v>
      </c>
      <c r="AA689" s="74">
        <v>0</v>
      </c>
      <c r="AB689" s="74">
        <v>0</v>
      </c>
      <c r="AC689" s="74">
        <v>0</v>
      </c>
      <c r="AD689" s="74">
        <v>0</v>
      </c>
      <c r="AE689" s="74">
        <v>200875</v>
      </c>
      <c r="AF689" s="74">
        <v>230700</v>
      </c>
      <c r="AG689" s="74">
        <v>230701</v>
      </c>
      <c r="AH689" s="74">
        <v>230702</v>
      </c>
      <c r="AI689" s="74">
        <v>230703</v>
      </c>
      <c r="AJ689" s="74"/>
      <c r="AK689" s="74"/>
      <c r="AL689" s="74"/>
      <c r="AM689" s="74"/>
      <c r="AN689" s="74"/>
      <c r="AO689" s="74"/>
      <c r="AP689" s="74"/>
      <c r="AU689" s="74">
        <v>1</v>
      </c>
      <c r="AV689" s="74">
        <v>1</v>
      </c>
      <c r="AW689" s="74">
        <v>1</v>
      </c>
      <c r="AX689" s="74">
        <v>1</v>
      </c>
      <c r="AY689" s="74">
        <v>1</v>
      </c>
      <c r="AZ689" s="74"/>
      <c r="BA689" s="74"/>
      <c r="BB689" s="74"/>
      <c r="BC689" s="74"/>
      <c r="BD689" s="74"/>
      <c r="BE689" s="74"/>
      <c r="BF689" s="74"/>
      <c r="BK689" s="74">
        <v>100</v>
      </c>
      <c r="BL689" s="74">
        <v>100</v>
      </c>
      <c r="BM689" s="74">
        <v>100</v>
      </c>
      <c r="BN689" s="74">
        <v>100</v>
      </c>
      <c r="BO689" s="74">
        <v>100</v>
      </c>
      <c r="BP689" s="74"/>
      <c r="BQ689" s="74"/>
      <c r="BR689" s="74"/>
      <c r="BS689" s="74"/>
      <c r="BT689" s="74"/>
      <c r="BU689" s="74"/>
      <c r="BV689" s="74"/>
      <c r="CA689" s="74">
        <v>500</v>
      </c>
      <c r="CB689" s="74">
        <v>500</v>
      </c>
      <c r="CC689" s="74">
        <v>0</v>
      </c>
      <c r="CD689" s="74">
        <v>0</v>
      </c>
      <c r="CE689" s="74">
        <v>0</v>
      </c>
      <c r="CF689" s="74">
        <v>204051</v>
      </c>
      <c r="CG689" s="74">
        <v>0</v>
      </c>
      <c r="CH689" s="74">
        <v>0</v>
      </c>
      <c r="CI689" s="74">
        <v>1</v>
      </c>
      <c r="CJ689" s="74">
        <v>0</v>
      </c>
      <c r="CK689" s="74">
        <v>0</v>
      </c>
      <c r="CL689" s="74">
        <v>0</v>
      </c>
      <c r="CM689" s="74">
        <v>0</v>
      </c>
      <c r="CN689" s="74">
        <v>0</v>
      </c>
      <c r="CO689" s="74">
        <v>0</v>
      </c>
      <c r="CP689" s="74">
        <v>0</v>
      </c>
      <c r="CQ689" s="74">
        <v>0</v>
      </c>
      <c r="CR689" s="74">
        <v>0</v>
      </c>
      <c r="CV689" s="74">
        <v>0</v>
      </c>
      <c r="CW689" s="74">
        <v>0</v>
      </c>
    </row>
    <row r="690" s="74" customFormat="1" ht="16.5" spans="1:101">
      <c r="A690" s="74">
        <v>8017</v>
      </c>
      <c r="B690" s="74" t="s">
        <v>1071</v>
      </c>
      <c r="H690" s="74">
        <v>500000</v>
      </c>
      <c r="I690" s="74" t="s">
        <v>924</v>
      </c>
      <c r="J690" s="74">
        <v>100000</v>
      </c>
      <c r="K690" s="74">
        <v>10000</v>
      </c>
      <c r="O690" s="75">
        <v>230165</v>
      </c>
      <c r="P690" s="74">
        <v>20</v>
      </c>
      <c r="Q690" s="74">
        <v>0</v>
      </c>
      <c r="R690" s="74">
        <v>0</v>
      </c>
      <c r="S690" s="74">
        <v>0</v>
      </c>
      <c r="T690" s="74">
        <v>0</v>
      </c>
      <c r="U690" s="74">
        <v>0</v>
      </c>
      <c r="V690" s="74">
        <v>0</v>
      </c>
      <c r="W690" s="74">
        <v>0</v>
      </c>
      <c r="X690" s="74">
        <v>0</v>
      </c>
      <c r="Y690" s="74">
        <v>0</v>
      </c>
      <c r="Z690" s="74">
        <v>0</v>
      </c>
      <c r="AA690" s="74">
        <v>0</v>
      </c>
      <c r="AB690" s="74">
        <v>0</v>
      </c>
      <c r="AC690" s="74">
        <v>0</v>
      </c>
      <c r="AD690" s="74">
        <v>0</v>
      </c>
      <c r="AE690" s="74">
        <v>200875</v>
      </c>
      <c r="AF690" s="74">
        <v>230700</v>
      </c>
      <c r="AG690" s="74">
        <v>230701</v>
      </c>
      <c r="AH690" s="74">
        <v>230702</v>
      </c>
      <c r="AI690" s="74">
        <v>230703</v>
      </c>
      <c r="AJ690" s="74"/>
      <c r="AK690" s="74"/>
      <c r="AL690" s="74"/>
      <c r="AM690" s="74"/>
      <c r="AN690" s="74"/>
      <c r="AO690" s="74"/>
      <c r="AP690" s="74"/>
      <c r="AU690" s="74">
        <v>1</v>
      </c>
      <c r="AV690" s="74">
        <v>1</v>
      </c>
      <c r="AW690" s="74">
        <v>1</v>
      </c>
      <c r="AX690" s="74">
        <v>1</v>
      </c>
      <c r="AY690" s="74">
        <v>1</v>
      </c>
      <c r="AZ690" s="74"/>
      <c r="BA690" s="74"/>
      <c r="BB690" s="74"/>
      <c r="BC690" s="74"/>
      <c r="BD690" s="74"/>
      <c r="BE690" s="74"/>
      <c r="BF690" s="74"/>
      <c r="BK690" s="74">
        <v>100</v>
      </c>
      <c r="BL690" s="74">
        <v>100</v>
      </c>
      <c r="BM690" s="74">
        <v>100</v>
      </c>
      <c r="BN690" s="74">
        <v>100</v>
      </c>
      <c r="BO690" s="74">
        <v>100</v>
      </c>
      <c r="BP690" s="74"/>
      <c r="BQ690" s="74"/>
      <c r="BR690" s="74"/>
      <c r="BS690" s="74"/>
      <c r="BT690" s="74"/>
      <c r="BU690" s="74"/>
      <c r="BV690" s="74"/>
      <c r="CA690" s="74">
        <v>500</v>
      </c>
      <c r="CB690" s="74">
        <v>500</v>
      </c>
      <c r="CC690" s="74">
        <v>0</v>
      </c>
      <c r="CD690" s="74">
        <v>0</v>
      </c>
      <c r="CE690" s="74">
        <v>0</v>
      </c>
      <c r="CF690" s="74">
        <v>204052</v>
      </c>
      <c r="CG690" s="74">
        <v>0</v>
      </c>
      <c r="CH690" s="74">
        <v>0</v>
      </c>
      <c r="CI690" s="74">
        <v>1</v>
      </c>
      <c r="CJ690" s="74">
        <v>0</v>
      </c>
      <c r="CK690" s="74">
        <v>0</v>
      </c>
      <c r="CL690" s="74">
        <v>0</v>
      </c>
      <c r="CM690" s="74">
        <v>0</v>
      </c>
      <c r="CN690" s="74">
        <v>0</v>
      </c>
      <c r="CO690" s="74">
        <v>0</v>
      </c>
      <c r="CP690" s="74">
        <v>0</v>
      </c>
      <c r="CQ690" s="74">
        <v>0</v>
      </c>
      <c r="CR690" s="74">
        <v>0</v>
      </c>
      <c r="CV690" s="74">
        <v>0</v>
      </c>
      <c r="CW690" s="74">
        <v>0</v>
      </c>
    </row>
    <row r="691" s="74" customFormat="1" ht="16.5" spans="1:101">
      <c r="A691" s="74">
        <v>8018</v>
      </c>
      <c r="B691" s="74" t="s">
        <v>1072</v>
      </c>
      <c r="H691" s="74">
        <v>500000</v>
      </c>
      <c r="I691" s="74" t="s">
        <v>924</v>
      </c>
      <c r="J691" s="74">
        <v>100000</v>
      </c>
      <c r="K691" s="74">
        <v>10000</v>
      </c>
      <c r="O691" s="75">
        <v>230165</v>
      </c>
      <c r="P691" s="74">
        <v>20</v>
      </c>
      <c r="Q691" s="74">
        <v>0</v>
      </c>
      <c r="R691" s="74">
        <v>0</v>
      </c>
      <c r="S691" s="74">
        <v>0</v>
      </c>
      <c r="T691" s="74">
        <v>0</v>
      </c>
      <c r="U691" s="74">
        <v>0</v>
      </c>
      <c r="V691" s="74">
        <v>0</v>
      </c>
      <c r="W691" s="74">
        <v>0</v>
      </c>
      <c r="X691" s="74">
        <v>0</v>
      </c>
      <c r="Y691" s="74">
        <v>0</v>
      </c>
      <c r="Z691" s="74">
        <v>0</v>
      </c>
      <c r="AA691" s="74">
        <v>0</v>
      </c>
      <c r="AB691" s="74">
        <v>0</v>
      </c>
      <c r="AC691" s="74">
        <v>0</v>
      </c>
      <c r="AD691" s="74">
        <v>0</v>
      </c>
      <c r="AE691" s="74">
        <v>200875</v>
      </c>
      <c r="AF691" s="74">
        <v>230700</v>
      </c>
      <c r="AG691" s="74">
        <v>230701</v>
      </c>
      <c r="AH691" s="74">
        <v>230702</v>
      </c>
      <c r="AI691" s="74">
        <v>230703</v>
      </c>
      <c r="AJ691" s="74"/>
      <c r="AK691" s="74"/>
      <c r="AL691" s="74"/>
      <c r="AM691" s="74"/>
      <c r="AN691" s="74"/>
      <c r="AO691" s="74"/>
      <c r="AP691" s="74"/>
      <c r="AU691" s="74">
        <v>1</v>
      </c>
      <c r="AV691" s="74">
        <v>1</v>
      </c>
      <c r="AW691" s="74">
        <v>1</v>
      </c>
      <c r="AX691" s="74">
        <v>1</v>
      </c>
      <c r="AY691" s="74">
        <v>1</v>
      </c>
      <c r="AZ691" s="74"/>
      <c r="BA691" s="74"/>
      <c r="BB691" s="74"/>
      <c r="BC691" s="74"/>
      <c r="BD691" s="74"/>
      <c r="BE691" s="74"/>
      <c r="BF691" s="74"/>
      <c r="BK691" s="74">
        <v>100</v>
      </c>
      <c r="BL691" s="74">
        <v>100</v>
      </c>
      <c r="BM691" s="74">
        <v>100</v>
      </c>
      <c r="BN691" s="74">
        <v>100</v>
      </c>
      <c r="BO691" s="74">
        <v>100</v>
      </c>
      <c r="BP691" s="74"/>
      <c r="BQ691" s="74"/>
      <c r="BR691" s="74"/>
      <c r="BS691" s="74"/>
      <c r="BT691" s="74"/>
      <c r="BU691" s="74"/>
      <c r="BV691" s="74"/>
      <c r="CA691" s="74">
        <v>500</v>
      </c>
      <c r="CB691" s="74">
        <v>500</v>
      </c>
      <c r="CC691" s="74">
        <v>0</v>
      </c>
      <c r="CD691" s="74">
        <v>0</v>
      </c>
      <c r="CE691" s="74">
        <v>0</v>
      </c>
      <c r="CF691" s="74">
        <v>204053</v>
      </c>
      <c r="CG691" s="74">
        <v>0</v>
      </c>
      <c r="CH691" s="74">
        <v>0</v>
      </c>
      <c r="CI691" s="74">
        <v>1</v>
      </c>
      <c r="CJ691" s="74">
        <v>0</v>
      </c>
      <c r="CK691" s="74">
        <v>0</v>
      </c>
      <c r="CL691" s="74">
        <v>0</v>
      </c>
      <c r="CM691" s="74">
        <v>0</v>
      </c>
      <c r="CN691" s="74">
        <v>0</v>
      </c>
      <c r="CO691" s="74">
        <v>0</v>
      </c>
      <c r="CP691" s="74">
        <v>0</v>
      </c>
      <c r="CQ691" s="74">
        <v>0</v>
      </c>
      <c r="CR691" s="74">
        <v>0</v>
      </c>
      <c r="CV691" s="74">
        <v>0</v>
      </c>
      <c r="CW691" s="74">
        <v>0</v>
      </c>
    </row>
    <row r="692" s="74" customFormat="1" ht="16.5" spans="1:101">
      <c r="A692" s="74">
        <v>8019</v>
      </c>
      <c r="B692" s="74" t="s">
        <v>1073</v>
      </c>
      <c r="H692" s="74">
        <v>500000</v>
      </c>
      <c r="I692" s="74" t="s">
        <v>924</v>
      </c>
      <c r="J692" s="74">
        <v>100000</v>
      </c>
      <c r="K692" s="74">
        <v>10000</v>
      </c>
      <c r="O692" s="75">
        <v>230165</v>
      </c>
      <c r="P692" s="74">
        <v>20</v>
      </c>
      <c r="Q692" s="74">
        <v>0</v>
      </c>
      <c r="R692" s="74">
        <v>0</v>
      </c>
      <c r="S692" s="74">
        <v>0</v>
      </c>
      <c r="T692" s="74">
        <v>0</v>
      </c>
      <c r="U692" s="74">
        <v>0</v>
      </c>
      <c r="V692" s="74">
        <v>0</v>
      </c>
      <c r="W692" s="74">
        <v>0</v>
      </c>
      <c r="X692" s="74">
        <v>0</v>
      </c>
      <c r="Y692" s="74">
        <v>0</v>
      </c>
      <c r="Z692" s="74">
        <v>0</v>
      </c>
      <c r="AA692" s="74">
        <v>0</v>
      </c>
      <c r="AB692" s="74">
        <v>0</v>
      </c>
      <c r="AC692" s="74">
        <v>0</v>
      </c>
      <c r="AD692" s="74">
        <v>0</v>
      </c>
      <c r="AE692" s="74">
        <v>200875</v>
      </c>
      <c r="AF692" s="74">
        <v>230700</v>
      </c>
      <c r="AG692" s="74">
        <v>230701</v>
      </c>
      <c r="AH692" s="74">
        <v>230702</v>
      </c>
      <c r="AI692" s="74">
        <v>230703</v>
      </c>
      <c r="AJ692" s="74"/>
      <c r="AK692" s="74"/>
      <c r="AL692" s="74"/>
      <c r="AM692" s="74"/>
      <c r="AN692" s="74"/>
      <c r="AO692" s="74"/>
      <c r="AP692" s="74"/>
      <c r="AU692" s="74">
        <v>1</v>
      </c>
      <c r="AV692" s="74">
        <v>1</v>
      </c>
      <c r="AW692" s="74">
        <v>1</v>
      </c>
      <c r="AX692" s="74">
        <v>1</v>
      </c>
      <c r="AY692" s="74">
        <v>1</v>
      </c>
      <c r="AZ692" s="74"/>
      <c r="BA692" s="74"/>
      <c r="BB692" s="74"/>
      <c r="BC692" s="74"/>
      <c r="BD692" s="74"/>
      <c r="BE692" s="74"/>
      <c r="BF692" s="74"/>
      <c r="BK692" s="74">
        <v>100</v>
      </c>
      <c r="BL692" s="74">
        <v>100</v>
      </c>
      <c r="BM692" s="74">
        <v>100</v>
      </c>
      <c r="BN692" s="74">
        <v>100</v>
      </c>
      <c r="BO692" s="74">
        <v>100</v>
      </c>
      <c r="BP692" s="74"/>
      <c r="BQ692" s="74"/>
      <c r="BR692" s="74"/>
      <c r="BS692" s="74"/>
      <c r="BT692" s="74"/>
      <c r="BU692" s="74"/>
      <c r="BV692" s="74"/>
      <c r="CA692" s="74">
        <v>500</v>
      </c>
      <c r="CB692" s="74">
        <v>500</v>
      </c>
      <c r="CC692" s="74">
        <v>0</v>
      </c>
      <c r="CD692" s="74">
        <v>0</v>
      </c>
      <c r="CE692" s="74">
        <v>0</v>
      </c>
      <c r="CF692" s="74">
        <v>204054</v>
      </c>
      <c r="CG692" s="74">
        <v>0</v>
      </c>
      <c r="CH692" s="74">
        <v>0</v>
      </c>
      <c r="CI692" s="74">
        <v>1</v>
      </c>
      <c r="CJ692" s="74">
        <v>0</v>
      </c>
      <c r="CK692" s="74">
        <v>0</v>
      </c>
      <c r="CL692" s="74">
        <v>0</v>
      </c>
      <c r="CM692" s="74">
        <v>0</v>
      </c>
      <c r="CN692" s="74">
        <v>0</v>
      </c>
      <c r="CO692" s="74">
        <v>0</v>
      </c>
      <c r="CP692" s="74">
        <v>0</v>
      </c>
      <c r="CQ692" s="74">
        <v>0</v>
      </c>
      <c r="CR692" s="74">
        <v>0</v>
      </c>
      <c r="CV692" s="74">
        <v>0</v>
      </c>
      <c r="CW692" s="74">
        <v>0</v>
      </c>
    </row>
    <row r="693" s="74" customFormat="1" ht="16.5" spans="1:101">
      <c r="A693" s="74">
        <v>8020</v>
      </c>
      <c r="B693" s="74" t="s">
        <v>1074</v>
      </c>
      <c r="H693" s="74">
        <v>500000</v>
      </c>
      <c r="I693" s="74" t="s">
        <v>924</v>
      </c>
      <c r="J693" s="74">
        <v>100000</v>
      </c>
      <c r="K693" s="74">
        <v>10000</v>
      </c>
      <c r="O693" s="75">
        <v>230165</v>
      </c>
      <c r="P693" s="74">
        <v>20</v>
      </c>
      <c r="Q693" s="74">
        <v>0</v>
      </c>
      <c r="R693" s="74">
        <v>0</v>
      </c>
      <c r="S693" s="74">
        <v>0</v>
      </c>
      <c r="T693" s="74">
        <v>0</v>
      </c>
      <c r="U693" s="74">
        <v>0</v>
      </c>
      <c r="V693" s="74">
        <v>0</v>
      </c>
      <c r="W693" s="74">
        <v>0</v>
      </c>
      <c r="X693" s="74">
        <v>0</v>
      </c>
      <c r="Y693" s="74">
        <v>0</v>
      </c>
      <c r="Z693" s="74">
        <v>0</v>
      </c>
      <c r="AA693" s="74">
        <v>0</v>
      </c>
      <c r="AB693" s="74">
        <v>0</v>
      </c>
      <c r="AC693" s="74">
        <v>0</v>
      </c>
      <c r="AD693" s="74">
        <v>0</v>
      </c>
      <c r="AE693" s="74">
        <v>200875</v>
      </c>
      <c r="AF693" s="74">
        <v>230700</v>
      </c>
      <c r="AG693" s="74">
        <v>230701</v>
      </c>
      <c r="AH693" s="74">
        <v>230702</v>
      </c>
      <c r="AI693" s="74">
        <v>230703</v>
      </c>
      <c r="AJ693" s="74"/>
      <c r="AK693" s="74"/>
      <c r="AL693" s="74"/>
      <c r="AM693" s="74"/>
      <c r="AN693" s="74"/>
      <c r="AO693" s="74"/>
      <c r="AP693" s="74"/>
      <c r="AU693" s="74">
        <v>1</v>
      </c>
      <c r="AV693" s="74">
        <v>1</v>
      </c>
      <c r="AW693" s="74">
        <v>1</v>
      </c>
      <c r="AX693" s="74">
        <v>1</v>
      </c>
      <c r="AY693" s="74">
        <v>1</v>
      </c>
      <c r="AZ693" s="74"/>
      <c r="BA693" s="74"/>
      <c r="BB693" s="74"/>
      <c r="BC693" s="74"/>
      <c r="BD693" s="74"/>
      <c r="BE693" s="74"/>
      <c r="BF693" s="74"/>
      <c r="BK693" s="74">
        <v>100</v>
      </c>
      <c r="BL693" s="74">
        <v>100</v>
      </c>
      <c r="BM693" s="74">
        <v>100</v>
      </c>
      <c r="BN693" s="74">
        <v>100</v>
      </c>
      <c r="BO693" s="74">
        <v>100</v>
      </c>
      <c r="BP693" s="74"/>
      <c r="BQ693" s="74"/>
      <c r="BR693" s="74"/>
      <c r="BS693" s="74"/>
      <c r="BT693" s="74"/>
      <c r="BU693" s="74"/>
      <c r="BV693" s="74"/>
      <c r="CA693" s="74">
        <v>500</v>
      </c>
      <c r="CB693" s="74">
        <v>500</v>
      </c>
      <c r="CC693" s="74">
        <v>0</v>
      </c>
      <c r="CD693" s="74">
        <v>0</v>
      </c>
      <c r="CE693" s="74">
        <v>0</v>
      </c>
      <c r="CF693" s="74">
        <v>204055</v>
      </c>
      <c r="CG693" s="74">
        <v>0</v>
      </c>
      <c r="CH693" s="74">
        <v>0</v>
      </c>
      <c r="CI693" s="74">
        <v>1</v>
      </c>
      <c r="CJ693" s="74">
        <v>0</v>
      </c>
      <c r="CK693" s="74">
        <v>0</v>
      </c>
      <c r="CL693" s="74">
        <v>0</v>
      </c>
      <c r="CM693" s="74">
        <v>0</v>
      </c>
      <c r="CN693" s="74">
        <v>0</v>
      </c>
      <c r="CO693" s="74">
        <v>0</v>
      </c>
      <c r="CP693" s="74">
        <v>0</v>
      </c>
      <c r="CQ693" s="74">
        <v>0</v>
      </c>
      <c r="CR693" s="74">
        <v>0</v>
      </c>
      <c r="CV693" s="74">
        <v>0</v>
      </c>
      <c r="CW693" s="74">
        <v>0</v>
      </c>
    </row>
    <row r="694" s="74" customFormat="1" ht="16.5" spans="1:101">
      <c r="A694" s="74">
        <v>8021</v>
      </c>
      <c r="B694" s="74" t="s">
        <v>1075</v>
      </c>
      <c r="H694" s="74">
        <v>500000</v>
      </c>
      <c r="I694" s="74" t="s">
        <v>924</v>
      </c>
      <c r="J694" s="74">
        <v>100000</v>
      </c>
      <c r="K694" s="74">
        <v>10000</v>
      </c>
      <c r="O694" s="75">
        <v>230165</v>
      </c>
      <c r="P694" s="74">
        <v>20</v>
      </c>
      <c r="Q694" s="74">
        <v>0</v>
      </c>
      <c r="R694" s="74">
        <v>0</v>
      </c>
      <c r="S694" s="74">
        <v>0</v>
      </c>
      <c r="T694" s="74">
        <v>0</v>
      </c>
      <c r="U694" s="74">
        <v>0</v>
      </c>
      <c r="V694" s="74">
        <v>0</v>
      </c>
      <c r="W694" s="74">
        <v>0</v>
      </c>
      <c r="X694" s="74">
        <v>0</v>
      </c>
      <c r="Y694" s="74">
        <v>0</v>
      </c>
      <c r="Z694" s="74">
        <v>0</v>
      </c>
      <c r="AA694" s="74">
        <v>0</v>
      </c>
      <c r="AB694" s="74">
        <v>0</v>
      </c>
      <c r="AC694" s="74">
        <v>0</v>
      </c>
      <c r="AD694" s="74">
        <v>0</v>
      </c>
      <c r="AE694" s="74">
        <v>200875</v>
      </c>
      <c r="AF694" s="74">
        <v>230700</v>
      </c>
      <c r="AG694" s="74">
        <v>230701</v>
      </c>
      <c r="AH694" s="74">
        <v>230702</v>
      </c>
      <c r="AI694" s="74">
        <v>230703</v>
      </c>
      <c r="AJ694" s="74"/>
      <c r="AK694" s="74"/>
      <c r="AL694" s="74"/>
      <c r="AM694" s="74"/>
      <c r="AN694" s="74"/>
      <c r="AO694" s="74"/>
      <c r="AP694" s="74"/>
      <c r="AU694" s="74">
        <v>1</v>
      </c>
      <c r="AV694" s="74">
        <v>1</v>
      </c>
      <c r="AW694" s="74">
        <v>1</v>
      </c>
      <c r="AX694" s="74">
        <v>1</v>
      </c>
      <c r="AY694" s="74">
        <v>1</v>
      </c>
      <c r="AZ694" s="74"/>
      <c r="BA694" s="74"/>
      <c r="BB694" s="74"/>
      <c r="BC694" s="74"/>
      <c r="BD694" s="74"/>
      <c r="BE694" s="74"/>
      <c r="BF694" s="74"/>
      <c r="BK694" s="74">
        <v>100</v>
      </c>
      <c r="BL694" s="74">
        <v>100</v>
      </c>
      <c r="BM694" s="74">
        <v>100</v>
      </c>
      <c r="BN694" s="74">
        <v>100</v>
      </c>
      <c r="BO694" s="74">
        <v>100</v>
      </c>
      <c r="BP694" s="74"/>
      <c r="BQ694" s="74"/>
      <c r="BR694" s="74"/>
      <c r="BS694" s="74"/>
      <c r="BT694" s="74"/>
      <c r="BU694" s="74"/>
      <c r="BV694" s="74"/>
      <c r="CA694" s="74">
        <v>500</v>
      </c>
      <c r="CB694" s="74">
        <v>500</v>
      </c>
      <c r="CC694" s="74">
        <v>0</v>
      </c>
      <c r="CD694" s="74">
        <v>0</v>
      </c>
      <c r="CE694" s="74">
        <v>0</v>
      </c>
      <c r="CF694" s="74">
        <v>204056</v>
      </c>
      <c r="CG694" s="74">
        <v>0</v>
      </c>
      <c r="CH694" s="74">
        <v>0</v>
      </c>
      <c r="CI694" s="74">
        <v>1</v>
      </c>
      <c r="CJ694" s="74">
        <v>0</v>
      </c>
      <c r="CK694" s="74">
        <v>0</v>
      </c>
      <c r="CL694" s="74">
        <v>0</v>
      </c>
      <c r="CM694" s="74">
        <v>0</v>
      </c>
      <c r="CN694" s="74">
        <v>0</v>
      </c>
      <c r="CO694" s="74">
        <v>0</v>
      </c>
      <c r="CP694" s="74">
        <v>0</v>
      </c>
      <c r="CQ694" s="74">
        <v>0</v>
      </c>
      <c r="CR694" s="74">
        <v>0</v>
      </c>
      <c r="CV694" s="74">
        <v>0</v>
      </c>
      <c r="CW694" s="74">
        <v>0</v>
      </c>
    </row>
    <row r="695" s="74" customFormat="1" ht="16.5" spans="1:101">
      <c r="A695" s="74">
        <v>8022</v>
      </c>
      <c r="B695" s="74" t="s">
        <v>1076</v>
      </c>
      <c r="H695" s="74">
        <v>500000</v>
      </c>
      <c r="I695" s="74" t="s">
        <v>924</v>
      </c>
      <c r="J695" s="74">
        <v>100000</v>
      </c>
      <c r="K695" s="74">
        <v>10000</v>
      </c>
      <c r="O695" s="75">
        <v>230165</v>
      </c>
      <c r="P695" s="74">
        <v>20</v>
      </c>
      <c r="Q695" s="74">
        <v>0</v>
      </c>
      <c r="R695" s="74">
        <v>0</v>
      </c>
      <c r="S695" s="74">
        <v>0</v>
      </c>
      <c r="T695" s="74">
        <v>0</v>
      </c>
      <c r="U695" s="74">
        <v>0</v>
      </c>
      <c r="V695" s="74">
        <v>0</v>
      </c>
      <c r="W695" s="74">
        <v>0</v>
      </c>
      <c r="X695" s="74">
        <v>0</v>
      </c>
      <c r="Y695" s="74">
        <v>0</v>
      </c>
      <c r="Z695" s="74">
        <v>0</v>
      </c>
      <c r="AA695" s="74">
        <v>0</v>
      </c>
      <c r="AB695" s="74">
        <v>0</v>
      </c>
      <c r="AC695" s="74">
        <v>0</v>
      </c>
      <c r="AD695" s="74">
        <v>0</v>
      </c>
      <c r="AE695" s="74">
        <v>200875</v>
      </c>
      <c r="AF695" s="74">
        <v>230700</v>
      </c>
      <c r="AG695" s="74">
        <v>230701</v>
      </c>
      <c r="AH695" s="74">
        <v>230702</v>
      </c>
      <c r="AI695" s="74">
        <v>230703</v>
      </c>
      <c r="AJ695" s="74"/>
      <c r="AK695" s="74"/>
      <c r="AL695" s="74"/>
      <c r="AM695" s="74"/>
      <c r="AN695" s="74"/>
      <c r="AO695" s="74"/>
      <c r="AP695" s="74"/>
      <c r="AU695" s="74">
        <v>1</v>
      </c>
      <c r="AV695" s="74">
        <v>1</v>
      </c>
      <c r="AW695" s="74">
        <v>1</v>
      </c>
      <c r="AX695" s="74">
        <v>1</v>
      </c>
      <c r="AY695" s="74">
        <v>1</v>
      </c>
      <c r="AZ695" s="74"/>
      <c r="BA695" s="74"/>
      <c r="BB695" s="74"/>
      <c r="BC695" s="74"/>
      <c r="BD695" s="74"/>
      <c r="BE695" s="74"/>
      <c r="BF695" s="74"/>
      <c r="BK695" s="74">
        <v>100</v>
      </c>
      <c r="BL695" s="74">
        <v>100</v>
      </c>
      <c r="BM695" s="74">
        <v>100</v>
      </c>
      <c r="BN695" s="74">
        <v>100</v>
      </c>
      <c r="BO695" s="74">
        <v>100</v>
      </c>
      <c r="BP695" s="74"/>
      <c r="BQ695" s="74"/>
      <c r="BR695" s="74"/>
      <c r="BS695" s="74"/>
      <c r="BT695" s="74"/>
      <c r="BU695" s="74"/>
      <c r="BV695" s="74"/>
      <c r="CA695" s="74">
        <v>500</v>
      </c>
      <c r="CB695" s="74">
        <v>500</v>
      </c>
      <c r="CC695" s="74">
        <v>0</v>
      </c>
      <c r="CD695" s="74">
        <v>0</v>
      </c>
      <c r="CE695" s="74">
        <v>0</v>
      </c>
      <c r="CF695" s="74">
        <v>204057</v>
      </c>
      <c r="CG695" s="74">
        <v>0</v>
      </c>
      <c r="CH695" s="74">
        <v>0</v>
      </c>
      <c r="CI695" s="74">
        <v>1</v>
      </c>
      <c r="CJ695" s="74">
        <v>0</v>
      </c>
      <c r="CK695" s="74">
        <v>0</v>
      </c>
      <c r="CL695" s="74">
        <v>0</v>
      </c>
      <c r="CM695" s="74">
        <v>0</v>
      </c>
      <c r="CN695" s="74">
        <v>0</v>
      </c>
      <c r="CO695" s="74">
        <v>0</v>
      </c>
      <c r="CP695" s="74">
        <v>0</v>
      </c>
      <c r="CQ695" s="74">
        <v>0</v>
      </c>
      <c r="CR695" s="74">
        <v>0</v>
      </c>
      <c r="CV695" s="74">
        <v>0</v>
      </c>
      <c r="CW695" s="74">
        <v>0</v>
      </c>
    </row>
    <row r="696" s="74" customFormat="1" ht="16.5" spans="1:101">
      <c r="A696" s="74">
        <v>8023</v>
      </c>
      <c r="B696" s="74" t="s">
        <v>1077</v>
      </c>
      <c r="H696" s="74">
        <v>2500000</v>
      </c>
      <c r="I696" s="74" t="s">
        <v>924</v>
      </c>
      <c r="J696" s="74">
        <v>100000</v>
      </c>
      <c r="K696" s="74">
        <v>100000</v>
      </c>
      <c r="O696" s="54" t="s">
        <v>796</v>
      </c>
      <c r="P696" s="74">
        <v>10</v>
      </c>
      <c r="Q696" s="74">
        <v>0</v>
      </c>
      <c r="R696" s="74">
        <v>0</v>
      </c>
      <c r="S696" s="74">
        <v>201301</v>
      </c>
      <c r="T696" s="74">
        <v>4</v>
      </c>
      <c r="U696" s="74">
        <v>0</v>
      </c>
      <c r="V696" s="74">
        <v>0</v>
      </c>
      <c r="W696" s="74">
        <v>201302</v>
      </c>
      <c r="X696" s="74">
        <v>4</v>
      </c>
      <c r="Y696" s="74">
        <v>0</v>
      </c>
      <c r="Z696" s="74">
        <v>0</v>
      </c>
      <c r="AA696" s="74">
        <v>0</v>
      </c>
      <c r="AB696" s="74">
        <v>0</v>
      </c>
      <c r="AC696" s="74">
        <v>0</v>
      </c>
      <c r="AD696" s="74">
        <v>0</v>
      </c>
      <c r="AE696" s="74">
        <v>230526</v>
      </c>
      <c r="AF696" s="74">
        <v>230549</v>
      </c>
      <c r="AG696" s="74">
        <v>230601</v>
      </c>
      <c r="AH696" s="74">
        <v>201303</v>
      </c>
      <c r="AI696" s="74">
        <v>230002</v>
      </c>
      <c r="AJ696" s="74">
        <v>230003</v>
      </c>
      <c r="AU696" s="74">
        <v>1</v>
      </c>
      <c r="AV696" s="74">
        <v>1</v>
      </c>
      <c r="AW696" s="74">
        <v>1</v>
      </c>
      <c r="AX696" s="74">
        <v>1</v>
      </c>
      <c r="AY696" s="74">
        <v>1</v>
      </c>
      <c r="AZ696" s="74">
        <v>1</v>
      </c>
      <c r="BK696" s="74">
        <v>100</v>
      </c>
      <c r="BL696" s="74">
        <v>100</v>
      </c>
      <c r="BM696" s="74">
        <v>100</v>
      </c>
      <c r="BN696" s="74">
        <v>100</v>
      </c>
      <c r="BO696" s="74">
        <v>100</v>
      </c>
      <c r="BP696" s="74">
        <v>100</v>
      </c>
      <c r="CA696" s="74">
        <v>600</v>
      </c>
      <c r="CB696" s="74">
        <v>600</v>
      </c>
      <c r="CC696" s="74">
        <v>0</v>
      </c>
      <c r="CD696" s="74">
        <v>0</v>
      </c>
      <c r="CE696" s="74">
        <v>0</v>
      </c>
      <c r="CF696" s="74">
        <v>204060</v>
      </c>
      <c r="CG696" s="74">
        <v>0</v>
      </c>
      <c r="CH696" s="74">
        <v>0</v>
      </c>
      <c r="CI696" s="74">
        <v>1</v>
      </c>
      <c r="CJ696" s="74">
        <v>0</v>
      </c>
      <c r="CK696" s="74">
        <v>0</v>
      </c>
      <c r="CL696" s="74">
        <v>0</v>
      </c>
      <c r="CM696" s="74">
        <v>0</v>
      </c>
      <c r="CN696" s="74">
        <v>0</v>
      </c>
      <c r="CO696" s="74">
        <v>0</v>
      </c>
      <c r="CP696" s="74">
        <v>0</v>
      </c>
      <c r="CQ696" s="74">
        <v>0</v>
      </c>
      <c r="CR696" s="74">
        <v>0</v>
      </c>
      <c r="CV696" s="74">
        <v>0</v>
      </c>
      <c r="CW696" s="74">
        <v>0</v>
      </c>
    </row>
    <row r="697" s="74" customFormat="1" ht="16.5" spans="1:101">
      <c r="A697" s="74">
        <v>8024</v>
      </c>
      <c r="B697" s="74" t="s">
        <v>1078</v>
      </c>
      <c r="H697" s="74">
        <v>2500000</v>
      </c>
      <c r="I697" s="74" t="s">
        <v>924</v>
      </c>
      <c r="J697" s="74">
        <v>100000</v>
      </c>
      <c r="K697" s="74">
        <v>100000</v>
      </c>
      <c r="O697" s="54" t="s">
        <v>796</v>
      </c>
      <c r="P697" s="74">
        <v>10</v>
      </c>
      <c r="Q697" s="74">
        <v>0</v>
      </c>
      <c r="R697" s="74">
        <v>0</v>
      </c>
      <c r="S697" s="74">
        <v>201301</v>
      </c>
      <c r="T697" s="74">
        <v>4</v>
      </c>
      <c r="U697" s="74">
        <v>0</v>
      </c>
      <c r="V697" s="74">
        <v>0</v>
      </c>
      <c r="W697" s="74">
        <v>201302</v>
      </c>
      <c r="X697" s="74">
        <v>4</v>
      </c>
      <c r="Y697" s="74">
        <v>0</v>
      </c>
      <c r="Z697" s="74">
        <v>0</v>
      </c>
      <c r="AA697" s="74">
        <v>0</v>
      </c>
      <c r="AB697" s="74">
        <v>0</v>
      </c>
      <c r="AC697" s="74">
        <v>0</v>
      </c>
      <c r="AD697" s="74">
        <v>0</v>
      </c>
      <c r="AE697" s="74">
        <v>230526</v>
      </c>
      <c r="AF697" s="74">
        <v>230549</v>
      </c>
      <c r="AG697" s="74">
        <v>230601</v>
      </c>
      <c r="AH697" s="74">
        <v>201303</v>
      </c>
      <c r="AI697" s="74">
        <v>230002</v>
      </c>
      <c r="AJ697" s="74">
        <v>230003</v>
      </c>
      <c r="AU697" s="74">
        <v>1</v>
      </c>
      <c r="AV697" s="74">
        <v>1</v>
      </c>
      <c r="AW697" s="74">
        <v>1</v>
      </c>
      <c r="AX697" s="74">
        <v>1</v>
      </c>
      <c r="AY697" s="74">
        <v>1</v>
      </c>
      <c r="AZ697" s="74">
        <v>1</v>
      </c>
      <c r="BK697" s="74">
        <v>100</v>
      </c>
      <c r="BL697" s="74">
        <v>100</v>
      </c>
      <c r="BM697" s="74">
        <v>100</v>
      </c>
      <c r="BN697" s="74">
        <v>100</v>
      </c>
      <c r="BO697" s="74">
        <v>100</v>
      </c>
      <c r="BP697" s="74">
        <v>100</v>
      </c>
      <c r="CA697" s="74">
        <v>600</v>
      </c>
      <c r="CB697" s="74">
        <v>600</v>
      </c>
      <c r="CC697" s="74">
        <v>0</v>
      </c>
      <c r="CD697" s="74">
        <v>0</v>
      </c>
      <c r="CE697" s="74">
        <v>0</v>
      </c>
      <c r="CF697" s="74">
        <v>204061</v>
      </c>
      <c r="CG697" s="74">
        <v>0</v>
      </c>
      <c r="CH697" s="74">
        <v>0</v>
      </c>
      <c r="CI697" s="74">
        <v>1</v>
      </c>
      <c r="CJ697" s="74">
        <v>0</v>
      </c>
      <c r="CK697" s="74">
        <v>0</v>
      </c>
      <c r="CL697" s="74">
        <v>0</v>
      </c>
      <c r="CM697" s="74">
        <v>0</v>
      </c>
      <c r="CN697" s="74">
        <v>0</v>
      </c>
      <c r="CO697" s="74">
        <v>0</v>
      </c>
      <c r="CP697" s="74">
        <v>0</v>
      </c>
      <c r="CQ697" s="74">
        <v>0</v>
      </c>
      <c r="CR697" s="74">
        <v>0</v>
      </c>
      <c r="CV697" s="74">
        <v>0</v>
      </c>
      <c r="CW697" s="74">
        <v>0</v>
      </c>
    </row>
    <row r="698" s="67" customFormat="1" customHeight="1" spans="1:101">
      <c r="A698" s="67" t="s">
        <v>1079</v>
      </c>
      <c r="B698" s="152" t="s">
        <v>1080</v>
      </c>
      <c r="O698" s="67" t="s">
        <v>1081</v>
      </c>
      <c r="P698" s="67">
        <v>1</v>
      </c>
      <c r="Q698" s="67">
        <v>0</v>
      </c>
      <c r="R698" s="67">
        <v>0</v>
      </c>
      <c r="S698" s="67">
        <v>0</v>
      </c>
      <c r="T698" s="67">
        <v>0</v>
      </c>
      <c r="U698" s="67">
        <v>0</v>
      </c>
      <c r="V698" s="67">
        <v>0</v>
      </c>
      <c r="W698" s="67">
        <v>0</v>
      </c>
      <c r="X698" s="67">
        <v>0</v>
      </c>
      <c r="Y698" s="67">
        <v>0</v>
      </c>
      <c r="Z698" s="67">
        <v>0</v>
      </c>
      <c r="AA698" s="67">
        <v>0</v>
      </c>
      <c r="AB698" s="67">
        <v>0</v>
      </c>
      <c r="AC698" s="67">
        <v>0</v>
      </c>
      <c r="AD698" s="67">
        <v>0</v>
      </c>
      <c r="CA698" s="67">
        <v>100</v>
      </c>
      <c r="CB698" s="67">
        <v>100</v>
      </c>
      <c r="CC698" s="67">
        <v>0</v>
      </c>
      <c r="CD698" s="67">
        <v>0</v>
      </c>
      <c r="CE698" s="67">
        <v>0</v>
      </c>
      <c r="CF698" s="67">
        <v>0</v>
      </c>
      <c r="CG698" s="67">
        <v>1</v>
      </c>
      <c r="CH698" s="67">
        <v>0</v>
      </c>
      <c r="CI698" s="67">
        <v>1</v>
      </c>
      <c r="CJ698" s="67">
        <v>0</v>
      </c>
      <c r="CK698" s="67">
        <v>0</v>
      </c>
      <c r="CL698" s="67">
        <v>0</v>
      </c>
      <c r="CM698" s="67">
        <v>0</v>
      </c>
      <c r="CN698" s="67">
        <v>0</v>
      </c>
      <c r="CO698" s="67">
        <v>0</v>
      </c>
      <c r="CP698" s="67">
        <v>0</v>
      </c>
      <c r="CQ698" s="67">
        <v>1</v>
      </c>
      <c r="CR698" s="67">
        <v>0</v>
      </c>
      <c r="CV698" s="67">
        <v>0</v>
      </c>
      <c r="CW698" s="67">
        <v>0</v>
      </c>
    </row>
    <row r="699" s="67" customFormat="1" customHeight="1" spans="1:101">
      <c r="A699" s="67" t="s">
        <v>1082</v>
      </c>
      <c r="B699" s="152" t="s">
        <v>1083</v>
      </c>
      <c r="O699" s="67" t="s">
        <v>1084</v>
      </c>
      <c r="P699" s="67">
        <v>1</v>
      </c>
      <c r="Q699" s="67">
        <v>0</v>
      </c>
      <c r="R699" s="67">
        <v>0</v>
      </c>
      <c r="S699" s="67">
        <v>0</v>
      </c>
      <c r="T699" s="67">
        <v>0</v>
      </c>
      <c r="U699" s="67">
        <v>0</v>
      </c>
      <c r="V699" s="67">
        <v>0</v>
      </c>
      <c r="W699" s="67">
        <v>0</v>
      </c>
      <c r="X699" s="67">
        <v>0</v>
      </c>
      <c r="Y699" s="67">
        <v>0</v>
      </c>
      <c r="Z699" s="67">
        <v>0</v>
      </c>
      <c r="AA699" s="67">
        <v>0</v>
      </c>
      <c r="AB699" s="67">
        <v>0</v>
      </c>
      <c r="AC699" s="67">
        <v>0</v>
      </c>
      <c r="AD699" s="67">
        <v>0</v>
      </c>
      <c r="CA699" s="67">
        <v>100</v>
      </c>
      <c r="CB699" s="67">
        <v>100</v>
      </c>
      <c r="CC699" s="67">
        <v>0</v>
      </c>
      <c r="CD699" s="67">
        <v>0</v>
      </c>
      <c r="CE699" s="67">
        <v>0</v>
      </c>
      <c r="CF699" s="67">
        <v>0</v>
      </c>
      <c r="CG699" s="67">
        <v>1</v>
      </c>
      <c r="CH699" s="67">
        <v>0</v>
      </c>
      <c r="CI699" s="67">
        <v>1</v>
      </c>
      <c r="CJ699" s="67">
        <v>0</v>
      </c>
      <c r="CK699" s="67">
        <v>0</v>
      </c>
      <c r="CL699" s="67">
        <v>0</v>
      </c>
      <c r="CM699" s="67">
        <v>0</v>
      </c>
      <c r="CN699" s="67">
        <v>0</v>
      </c>
      <c r="CO699" s="67">
        <v>0</v>
      </c>
      <c r="CP699" s="67">
        <v>0</v>
      </c>
      <c r="CQ699" s="67">
        <v>1</v>
      </c>
      <c r="CR699" s="67">
        <v>0</v>
      </c>
      <c r="CV699" s="67">
        <v>0</v>
      </c>
      <c r="CW699" s="67">
        <v>0</v>
      </c>
    </row>
    <row r="700" customHeight="1" spans="1:103">
      <c r="A700" s="67" t="s">
        <v>1085</v>
      </c>
      <c r="B700" s="172" t="s">
        <v>1086</v>
      </c>
      <c r="O700" s="77" t="s">
        <v>1087</v>
      </c>
      <c r="P700" s="77" t="s">
        <v>319</v>
      </c>
      <c r="Q700" s="67">
        <v>0</v>
      </c>
      <c r="R700" s="67">
        <v>0</v>
      </c>
      <c r="S700" s="67">
        <v>0</v>
      </c>
      <c r="T700" s="67">
        <v>0</v>
      </c>
      <c r="U700" s="67">
        <v>0</v>
      </c>
      <c r="V700" s="67">
        <v>0</v>
      </c>
      <c r="W700" s="67">
        <v>0</v>
      </c>
      <c r="X700" s="67">
        <v>0</v>
      </c>
      <c r="Y700" s="67">
        <v>0</v>
      </c>
      <c r="Z700" s="67">
        <v>0</v>
      </c>
      <c r="AA700" s="67">
        <v>0</v>
      </c>
      <c r="AB700" s="67">
        <v>0</v>
      </c>
      <c r="AC700" s="67">
        <v>0</v>
      </c>
      <c r="AD700" s="67">
        <v>0</v>
      </c>
      <c r="CA700" s="67">
        <v>100</v>
      </c>
      <c r="CB700" s="67">
        <v>100</v>
      </c>
      <c r="CC700" s="67">
        <v>0</v>
      </c>
      <c r="CD700" s="67">
        <v>0</v>
      </c>
      <c r="CE700" s="67">
        <v>0</v>
      </c>
      <c r="CF700" s="67">
        <v>0</v>
      </c>
      <c r="CG700" s="67">
        <v>1</v>
      </c>
      <c r="CH700" s="67">
        <v>0</v>
      </c>
      <c r="CI700" s="67">
        <v>1</v>
      </c>
      <c r="CJ700" s="67">
        <v>0</v>
      </c>
      <c r="CK700" s="67">
        <v>0</v>
      </c>
      <c r="CL700" s="67">
        <v>0</v>
      </c>
      <c r="CM700" s="67">
        <v>0</v>
      </c>
      <c r="CN700" s="67">
        <v>0</v>
      </c>
      <c r="CO700" s="67">
        <v>0</v>
      </c>
      <c r="CP700" s="67">
        <v>0</v>
      </c>
      <c r="CQ700" s="67">
        <v>1</v>
      </c>
      <c r="CR700" s="67">
        <v>0</v>
      </c>
      <c r="CS700" s="67"/>
      <c r="CT700" s="67"/>
      <c r="CU700" s="67"/>
      <c r="CV700" s="67">
        <v>0</v>
      </c>
      <c r="CW700" s="67">
        <v>0</v>
      </c>
      <c r="CX700" s="67"/>
      <c r="CY700" s="67"/>
    </row>
  </sheetData>
  <autoFilter xmlns:etc="http://www.wps.cn/officeDocument/2017/etCustomData" ref="E1:E570" etc:filterBottomFollowUsedRange="0">
    <extLst/>
  </autoFilter>
  <sortState ref="A2:CX526">
    <sortCondition ref="C2"/>
  </sortState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X78"/>
  <sheetViews>
    <sheetView topLeftCell="A43" workbookViewId="0">
      <selection activeCell="T72" sqref="T72"/>
    </sheetView>
  </sheetViews>
  <sheetFormatPr defaultColWidth="9" defaultRowHeight="13.5"/>
  <sheetData>
    <row r="1" spans="1:1">
      <c r="A1" t="s">
        <v>1088</v>
      </c>
    </row>
    <row r="2" spans="1:1">
      <c r="A2" t="s">
        <v>1089</v>
      </c>
    </row>
    <row r="6" spans="3:3">
      <c r="C6" t="s">
        <v>1090</v>
      </c>
    </row>
    <row r="9" spans="9:9">
      <c r="I9" t="s">
        <v>1091</v>
      </c>
    </row>
    <row r="11" spans="9:9">
      <c r="I11" t="s">
        <v>1092</v>
      </c>
    </row>
    <row r="20" spans="8:21">
      <c r="H20" t="s">
        <v>1093</v>
      </c>
      <c r="J20" t="s">
        <v>1094</v>
      </c>
      <c r="K20" t="s">
        <v>1095</v>
      </c>
      <c r="N20">
        <v>200602</v>
      </c>
      <c r="O20">
        <v>10</v>
      </c>
      <c r="P20">
        <v>0</v>
      </c>
      <c r="Q20">
        <v>0</v>
      </c>
      <c r="R20">
        <v>200649</v>
      </c>
      <c r="S20">
        <v>20</v>
      </c>
      <c r="T20">
        <v>0</v>
      </c>
      <c r="U20">
        <v>0</v>
      </c>
    </row>
    <row r="21" spans="8:21">
      <c r="H21" t="s">
        <v>1096</v>
      </c>
      <c r="J21" t="s">
        <v>1097</v>
      </c>
      <c r="K21" t="s">
        <v>1098</v>
      </c>
      <c r="N21">
        <v>200602</v>
      </c>
      <c r="O21">
        <v>4</v>
      </c>
      <c r="P21">
        <v>0</v>
      </c>
      <c r="Q21">
        <v>0</v>
      </c>
      <c r="R21">
        <v>200649</v>
      </c>
      <c r="S21">
        <v>10</v>
      </c>
      <c r="T21">
        <v>0</v>
      </c>
      <c r="U21">
        <v>0</v>
      </c>
    </row>
    <row r="22" spans="8:21">
      <c r="H22" t="s">
        <v>1099</v>
      </c>
      <c r="J22" t="s">
        <v>1100</v>
      </c>
      <c r="K22" t="s">
        <v>1101</v>
      </c>
      <c r="N22">
        <v>200602</v>
      </c>
      <c r="O22">
        <v>2</v>
      </c>
      <c r="P22">
        <v>0</v>
      </c>
      <c r="Q22">
        <v>0</v>
      </c>
      <c r="R22">
        <v>200649</v>
      </c>
      <c r="S22">
        <v>5</v>
      </c>
      <c r="T22">
        <v>0</v>
      </c>
      <c r="U22">
        <v>0</v>
      </c>
    </row>
    <row r="23" spans="8:10">
      <c r="H23" t="s">
        <v>1102</v>
      </c>
      <c r="J23" t="s">
        <v>1103</v>
      </c>
    </row>
    <row r="24" spans="8:9">
      <c r="H24">
        <v>200602</v>
      </c>
      <c r="I24" t="s">
        <v>1104</v>
      </c>
    </row>
    <row r="25" spans="8:9">
      <c r="H25">
        <v>200649</v>
      </c>
      <c r="I25" t="s">
        <v>1105</v>
      </c>
    </row>
    <row r="30" ht="14.25" spans="11:18">
      <c r="K30" s="31" t="s">
        <v>1106</v>
      </c>
      <c r="L30" s="32" t="s">
        <v>1107</v>
      </c>
      <c r="M30" s="33" t="s">
        <v>1108</v>
      </c>
      <c r="N30" s="34" t="s">
        <v>1109</v>
      </c>
      <c r="O30" s="35">
        <v>500096</v>
      </c>
      <c r="P30" s="36" t="s">
        <v>1110</v>
      </c>
      <c r="Q30" s="35">
        <v>500128</v>
      </c>
      <c r="R30" s="40" t="s">
        <v>1111</v>
      </c>
    </row>
    <row r="31" ht="14.25" spans="6:6">
      <c r="F31" s="25" t="s">
        <v>1112</v>
      </c>
    </row>
    <row r="32" ht="14.25" spans="6:6">
      <c r="F32" s="25" t="s">
        <v>1113</v>
      </c>
    </row>
    <row r="33" ht="14.25" spans="6:6">
      <c r="F33" s="25" t="s">
        <v>1114</v>
      </c>
    </row>
    <row r="34" ht="14.25" spans="6:6">
      <c r="F34" s="25" t="s">
        <v>1115</v>
      </c>
    </row>
    <row r="35" ht="27" spans="6:20">
      <c r="F35" s="25" t="s">
        <v>1116</v>
      </c>
      <c r="S35" s="30">
        <v>200542</v>
      </c>
      <c r="T35" s="41" t="s">
        <v>1117</v>
      </c>
    </row>
    <row r="36" ht="27" spans="6:20">
      <c r="F36" s="25" t="s">
        <v>1118</v>
      </c>
      <c r="S36" s="30">
        <v>200543</v>
      </c>
      <c r="T36" s="41" t="s">
        <v>1119</v>
      </c>
    </row>
    <row r="37" ht="27" spans="19:20">
      <c r="S37" s="30">
        <v>200544</v>
      </c>
      <c r="T37" s="41" t="s">
        <v>1120</v>
      </c>
    </row>
    <row r="38" s="24" customFormat="1" spans="1:102">
      <c r="A38" s="26">
        <v>5000</v>
      </c>
      <c r="B38" s="27" t="s">
        <v>1121</v>
      </c>
      <c r="C38" s="28" t="s">
        <v>1122</v>
      </c>
      <c r="D38" s="29"/>
      <c r="E38" s="29"/>
      <c r="F38" s="29"/>
      <c r="G38" s="29"/>
      <c r="H38" s="28" t="s">
        <v>1123</v>
      </c>
      <c r="I38" s="28" t="s">
        <v>296</v>
      </c>
      <c r="J38" s="29" t="s">
        <v>1124</v>
      </c>
      <c r="K38" s="29" t="s">
        <v>1125</v>
      </c>
      <c r="L38" s="29"/>
      <c r="M38" s="29"/>
      <c r="N38" s="29"/>
      <c r="O38" s="37"/>
      <c r="P38" s="28"/>
      <c r="Q38" s="28"/>
      <c r="R38" s="28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>
        <v>0</v>
      </c>
      <c r="CB38" s="28">
        <v>1000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1</v>
      </c>
      <c r="CI38" s="28">
        <v>1</v>
      </c>
      <c r="CJ38" s="28"/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9"/>
      <c r="CT38" s="29"/>
      <c r="CU38" s="29"/>
      <c r="CV38" s="28">
        <v>1</v>
      </c>
      <c r="CW38" s="28">
        <v>1</v>
      </c>
      <c r="CX38" s="29"/>
    </row>
    <row r="39" spans="9:17">
      <c r="I39" s="30">
        <v>200600</v>
      </c>
      <c r="J39" s="30">
        <v>200503</v>
      </c>
      <c r="K39" s="30">
        <v>200631</v>
      </c>
      <c r="L39" s="30">
        <v>200630</v>
      </c>
      <c r="M39" s="30">
        <v>200542</v>
      </c>
      <c r="O39" s="30">
        <v>200544</v>
      </c>
      <c r="P39" s="30">
        <v>200649</v>
      </c>
      <c r="Q39" s="30">
        <v>200650</v>
      </c>
    </row>
    <row r="41" spans="9:19">
      <c r="I41" s="30">
        <v>200600</v>
      </c>
      <c r="J41" s="30">
        <v>200503</v>
      </c>
      <c r="K41" s="30">
        <v>200631</v>
      </c>
      <c r="L41" s="30">
        <v>200630</v>
      </c>
      <c r="M41" s="30">
        <v>200542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8:9">
      <c r="H42" s="30"/>
      <c r="I42" s="30"/>
    </row>
    <row r="43" spans="9:19">
      <c r="I43" s="30">
        <v>200600</v>
      </c>
      <c r="J43" s="30">
        <v>200543</v>
      </c>
      <c r="K43" s="30">
        <v>200630</v>
      </c>
      <c r="L43" s="30">
        <v>200544</v>
      </c>
      <c r="M43" s="30">
        <v>200649</v>
      </c>
      <c r="O43">
        <v>5</v>
      </c>
      <c r="P43">
        <v>1</v>
      </c>
      <c r="Q43">
        <v>1</v>
      </c>
      <c r="R43">
        <v>1</v>
      </c>
      <c r="S43">
        <v>1</v>
      </c>
    </row>
    <row r="44" spans="9:9">
      <c r="I44" s="30"/>
    </row>
    <row r="45" spans="9:18">
      <c r="I45" s="30">
        <v>200600</v>
      </c>
      <c r="J45" s="30">
        <v>200544</v>
      </c>
      <c r="K45" s="30">
        <v>200630</v>
      </c>
      <c r="L45" s="30">
        <v>200650</v>
      </c>
      <c r="O45">
        <v>10</v>
      </c>
      <c r="P45">
        <v>1</v>
      </c>
      <c r="Q45">
        <v>1</v>
      </c>
      <c r="R45">
        <v>1</v>
      </c>
    </row>
    <row r="46" spans="9:9">
      <c r="I46" s="30"/>
    </row>
    <row r="49" spans="9:9">
      <c r="I49" t="s">
        <v>1110</v>
      </c>
    </row>
    <row r="50" spans="9:9">
      <c r="I50">
        <v>10</v>
      </c>
    </row>
    <row r="54" spans="9:19">
      <c r="I54" s="30">
        <v>200600</v>
      </c>
      <c r="J54" s="30">
        <v>200503</v>
      </c>
      <c r="K54" s="30">
        <v>200631</v>
      </c>
      <c r="L54" s="30">
        <v>200630</v>
      </c>
      <c r="M54" s="30">
        <v>200542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9:19">
      <c r="I55" s="30">
        <v>200600</v>
      </c>
      <c r="J55" s="30">
        <v>200543</v>
      </c>
      <c r="K55" s="30">
        <v>200630</v>
      </c>
      <c r="L55" s="30">
        <v>200544</v>
      </c>
      <c r="M55" s="30">
        <v>200649</v>
      </c>
      <c r="O55">
        <v>5</v>
      </c>
      <c r="P55">
        <v>1</v>
      </c>
      <c r="Q55">
        <v>1</v>
      </c>
      <c r="R55">
        <v>1</v>
      </c>
      <c r="S55">
        <v>1</v>
      </c>
    </row>
    <row r="56" spans="9:18">
      <c r="I56" s="30">
        <v>200600</v>
      </c>
      <c r="J56" s="30">
        <v>200544</v>
      </c>
      <c r="K56" s="30">
        <v>200630</v>
      </c>
      <c r="L56" s="30">
        <v>200650</v>
      </c>
      <c r="O56">
        <v>10</v>
      </c>
      <c r="P56">
        <v>1</v>
      </c>
      <c r="Q56">
        <v>1</v>
      </c>
      <c r="R56">
        <v>1</v>
      </c>
    </row>
    <row r="59" s="24" customFormat="1" spans="1:102">
      <c r="A59" s="26">
        <v>5000</v>
      </c>
      <c r="B59" s="27" t="s">
        <v>1121</v>
      </c>
      <c r="C59" s="28" t="s">
        <v>1122</v>
      </c>
      <c r="D59" s="29"/>
      <c r="E59" s="29"/>
      <c r="F59" s="29"/>
      <c r="G59" s="29"/>
      <c r="H59" s="28" t="s">
        <v>1123</v>
      </c>
      <c r="I59" s="28" t="s">
        <v>296</v>
      </c>
      <c r="J59" s="29" t="s">
        <v>1124</v>
      </c>
      <c r="K59" s="29" t="s">
        <v>1125</v>
      </c>
      <c r="L59" s="29"/>
      <c r="M59" s="29"/>
      <c r="N59" s="29"/>
      <c r="O59" s="37"/>
      <c r="P59" s="28"/>
      <c r="Q59" s="28"/>
      <c r="R59" s="28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38">
        <v>200859</v>
      </c>
      <c r="AF59" s="38">
        <v>200864</v>
      </c>
      <c r="AG59" s="38">
        <v>200810</v>
      </c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>
        <v>1</v>
      </c>
      <c r="AV59" s="28">
        <v>1</v>
      </c>
      <c r="AW59" s="28">
        <v>1</v>
      </c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>
        <v>10</v>
      </c>
      <c r="BL59" s="28">
        <v>10</v>
      </c>
      <c r="BM59" s="28">
        <v>10</v>
      </c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>
        <v>30</v>
      </c>
      <c r="CB59" s="28">
        <v>1000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1</v>
      </c>
      <c r="CI59" s="28">
        <v>1</v>
      </c>
      <c r="CJ59" s="28"/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9"/>
      <c r="CT59" s="29"/>
      <c r="CU59" s="29"/>
      <c r="CV59" s="28">
        <v>1</v>
      </c>
      <c r="CW59" s="28">
        <v>1</v>
      </c>
      <c r="CX59" s="29"/>
    </row>
    <row r="60" s="24" customFormat="1" spans="1:102">
      <c r="A60" s="26">
        <v>5001</v>
      </c>
      <c r="B60" s="27" t="s">
        <v>1126</v>
      </c>
      <c r="C60" s="28"/>
      <c r="D60" s="29"/>
      <c r="E60" s="29"/>
      <c r="F60" s="29"/>
      <c r="G60" s="29"/>
      <c r="H60" s="28"/>
      <c r="I60" s="28"/>
      <c r="J60" s="29"/>
      <c r="K60" s="29" t="s">
        <v>1127</v>
      </c>
      <c r="L60" s="29"/>
      <c r="M60" s="29"/>
      <c r="N60" s="29"/>
      <c r="O60" s="38"/>
      <c r="P60" s="28"/>
      <c r="Q60" s="28"/>
      <c r="R60" s="28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38">
        <v>200859</v>
      </c>
      <c r="AF60" s="38">
        <v>200864</v>
      </c>
      <c r="AG60" s="38">
        <v>200810</v>
      </c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>
        <v>1</v>
      </c>
      <c r="AV60" s="28">
        <v>1</v>
      </c>
      <c r="AW60" s="28">
        <v>1</v>
      </c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>
        <v>80</v>
      </c>
      <c r="BL60" s="28">
        <v>80</v>
      </c>
      <c r="BM60" s="28">
        <v>80</v>
      </c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>
        <v>240</v>
      </c>
      <c r="CB60" s="28">
        <v>1000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1</v>
      </c>
      <c r="CI60" s="28">
        <v>1</v>
      </c>
      <c r="CJ60" s="28"/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9"/>
      <c r="CT60" s="29"/>
      <c r="CU60" s="29"/>
      <c r="CV60" s="28">
        <v>0</v>
      </c>
      <c r="CW60" s="28">
        <v>0</v>
      </c>
      <c r="CX60" s="29"/>
    </row>
    <row r="63" s="24" customFormat="1" ht="14.25" spans="1:102">
      <c r="A63" s="26">
        <v>5000</v>
      </c>
      <c r="B63" s="27" t="s">
        <v>1121</v>
      </c>
      <c r="C63" s="28" t="s">
        <v>1122</v>
      </c>
      <c r="D63" s="29"/>
      <c r="E63" s="29"/>
      <c r="F63" s="29"/>
      <c r="G63" s="29"/>
      <c r="H63" s="28" t="s">
        <v>1123</v>
      </c>
      <c r="I63" s="28" t="s">
        <v>296</v>
      </c>
      <c r="J63" s="29" t="s">
        <v>297</v>
      </c>
      <c r="K63" s="29"/>
      <c r="L63" s="29"/>
      <c r="M63" s="29"/>
      <c r="N63" s="39"/>
      <c r="O63" s="37"/>
      <c r="P63" s="28"/>
      <c r="Q63" s="28"/>
      <c r="R63" s="28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42">
        <v>200869</v>
      </c>
      <c r="AF63" s="38"/>
      <c r="AG63" s="3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>
        <v>1</v>
      </c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>
        <v>30</v>
      </c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>
        <v>30</v>
      </c>
      <c r="CB63" s="28">
        <v>1000</v>
      </c>
      <c r="CC63" s="28">
        <v>0</v>
      </c>
      <c r="CD63" s="28">
        <v>0</v>
      </c>
      <c r="CE63" s="28">
        <v>0</v>
      </c>
      <c r="CF63" s="43">
        <v>193001</v>
      </c>
      <c r="CG63" s="28">
        <v>0</v>
      </c>
      <c r="CH63" s="28">
        <v>1</v>
      </c>
      <c r="CI63" s="28">
        <v>1</v>
      </c>
      <c r="CJ63" s="28"/>
      <c r="CK63" s="28">
        <v>0</v>
      </c>
      <c r="CL63" s="28">
        <v>0</v>
      </c>
      <c r="CM63" s="28">
        <v>0</v>
      </c>
      <c r="CN63" s="28">
        <v>0</v>
      </c>
      <c r="CO63" s="28">
        <v>0</v>
      </c>
      <c r="CP63" s="28">
        <v>0</v>
      </c>
      <c r="CQ63" s="28">
        <v>0</v>
      </c>
      <c r="CR63" s="28">
        <v>0</v>
      </c>
      <c r="CS63" s="29"/>
      <c r="CT63" s="29"/>
      <c r="CU63" s="29"/>
      <c r="CV63" s="28">
        <v>1</v>
      </c>
      <c r="CW63" s="28">
        <v>1</v>
      </c>
      <c r="CX63" s="29"/>
    </row>
    <row r="71" spans="16:16">
      <c r="P71">
        <v>3</v>
      </c>
    </row>
    <row r="72" spans="16:20">
      <c r="P72">
        <v>4</v>
      </c>
      <c r="T72">
        <v>686</v>
      </c>
    </row>
    <row r="73" spans="16:16">
      <c r="P73">
        <v>5</v>
      </c>
    </row>
    <row r="74" spans="16:16">
      <c r="P74">
        <v>6</v>
      </c>
    </row>
    <row r="75" spans="16:16">
      <c r="P75">
        <v>7</v>
      </c>
    </row>
    <row r="76" spans="16:16">
      <c r="P76">
        <v>8</v>
      </c>
    </row>
    <row r="77" spans="16:16">
      <c r="P77">
        <v>9</v>
      </c>
    </row>
    <row r="78" spans="16:19">
      <c r="P78">
        <v>10</v>
      </c>
      <c r="S78">
        <v>364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46"/>
  <sheetViews>
    <sheetView topLeftCell="A9" workbookViewId="0">
      <selection activeCell="C16" sqref="C16"/>
    </sheetView>
  </sheetViews>
  <sheetFormatPr defaultColWidth="8.725" defaultRowHeight="13.5" outlineLevelCol="3"/>
  <cols>
    <col min="1" max="1" width="40.1833333333333" customWidth="1"/>
    <col min="2" max="2" width="40.1833333333333" style="10" customWidth="1"/>
    <col min="3" max="3" width="65.9083333333333" style="11" customWidth="1"/>
    <col min="4" max="4" width="60.6333333333333" customWidth="1"/>
  </cols>
  <sheetData>
    <row r="1" spans="2:4">
      <c r="B1" s="12" t="s">
        <v>1128</v>
      </c>
      <c r="C1" s="11" t="s">
        <v>1129</v>
      </c>
      <c r="D1" s="13" t="s">
        <v>1130</v>
      </c>
    </row>
    <row r="2" spans="1:4">
      <c r="A2" s="14" t="s">
        <v>462</v>
      </c>
      <c r="B2" s="15"/>
      <c r="D2" t="s">
        <v>1131</v>
      </c>
    </row>
    <row r="3" spans="1:3">
      <c r="A3" s="16" t="s">
        <v>463</v>
      </c>
      <c r="B3" s="17"/>
      <c r="C3" s="18" t="s">
        <v>1132</v>
      </c>
    </row>
    <row r="4" spans="1:4">
      <c r="A4" s="19" t="s">
        <v>464</v>
      </c>
      <c r="B4" s="20" t="s">
        <v>1133</v>
      </c>
      <c r="D4" t="s">
        <v>1134</v>
      </c>
    </row>
    <row r="5" spans="1:2">
      <c r="A5" s="14" t="s">
        <v>467</v>
      </c>
      <c r="B5" s="7" t="s">
        <v>487</v>
      </c>
    </row>
    <row r="6" ht="27" spans="1:4">
      <c r="A6" s="21" t="s">
        <v>1135</v>
      </c>
      <c r="B6" s="15"/>
      <c r="D6" s="22" t="s">
        <v>1136</v>
      </c>
    </row>
    <row r="7" ht="27" spans="1:4">
      <c r="A7" s="21" t="s">
        <v>1137</v>
      </c>
      <c r="B7" s="15"/>
      <c r="D7" s="22" t="s">
        <v>1136</v>
      </c>
    </row>
    <row r="8" ht="27" spans="1:4">
      <c r="A8" s="21" t="s">
        <v>1138</v>
      </c>
      <c r="B8" s="15"/>
      <c r="D8" s="22" t="s">
        <v>1136</v>
      </c>
    </row>
    <row r="9" ht="27" spans="1:4">
      <c r="A9" s="14" t="s">
        <v>1139</v>
      </c>
      <c r="B9" s="20" t="s">
        <v>326</v>
      </c>
      <c r="C9" s="12" t="s">
        <v>1140</v>
      </c>
      <c r="D9" s="22" t="s">
        <v>1141</v>
      </c>
    </row>
    <row r="10" ht="27" spans="1:4">
      <c r="A10" s="14" t="s">
        <v>1139</v>
      </c>
      <c r="B10" s="20" t="s">
        <v>326</v>
      </c>
      <c r="C10" s="12" t="s">
        <v>1140</v>
      </c>
      <c r="D10" s="22" t="s">
        <v>1141</v>
      </c>
    </row>
    <row r="11" ht="27" spans="1:4">
      <c r="A11" s="14" t="s">
        <v>1142</v>
      </c>
      <c r="B11" s="20" t="s">
        <v>326</v>
      </c>
      <c r="C11" s="23" t="s">
        <v>1143</v>
      </c>
      <c r="D11" s="22" t="s">
        <v>1141</v>
      </c>
    </row>
    <row r="12" ht="27" spans="1:4">
      <c r="A12" s="14" t="s">
        <v>1144</v>
      </c>
      <c r="B12" s="20" t="s">
        <v>326</v>
      </c>
      <c r="C12" s="23" t="s">
        <v>1145</v>
      </c>
      <c r="D12" s="22" t="s">
        <v>1141</v>
      </c>
    </row>
    <row r="13" spans="1:2">
      <c r="A13" s="21" t="s">
        <v>1146</v>
      </c>
      <c r="B13" s="20" t="s">
        <v>326</v>
      </c>
    </row>
    <row r="14" spans="1:2">
      <c r="A14" s="21" t="s">
        <v>1146</v>
      </c>
      <c r="B14" s="20" t="s">
        <v>326</v>
      </c>
    </row>
    <row r="15" spans="1:2">
      <c r="A15" s="21" t="s">
        <v>1147</v>
      </c>
      <c r="B15" s="20" t="s">
        <v>326</v>
      </c>
    </row>
    <row r="16" spans="1:2">
      <c r="A16" s="21" t="s">
        <v>1148</v>
      </c>
      <c r="B16" s="20" t="s">
        <v>326</v>
      </c>
    </row>
    <row r="17" spans="1:2">
      <c r="A17" s="19" t="s">
        <v>1149</v>
      </c>
      <c r="B17" s="20" t="s">
        <v>326</v>
      </c>
    </row>
    <row r="18" spans="1:2">
      <c r="A18" s="19" t="s">
        <v>1150</v>
      </c>
      <c r="B18" s="20" t="s">
        <v>326</v>
      </c>
    </row>
    <row r="19" spans="1:2">
      <c r="A19" s="19" t="s">
        <v>1151</v>
      </c>
      <c r="B19" s="7" t="s">
        <v>487</v>
      </c>
    </row>
    <row r="20" ht="27" spans="1:4">
      <c r="A20" s="14" t="s">
        <v>1152</v>
      </c>
      <c r="B20" s="20" t="s">
        <v>326</v>
      </c>
      <c r="C20" s="12" t="s">
        <v>1140</v>
      </c>
      <c r="D20" s="22" t="s">
        <v>1141</v>
      </c>
    </row>
    <row r="21" ht="27" spans="1:4">
      <c r="A21" s="14" t="s">
        <v>1152</v>
      </c>
      <c r="B21" s="20" t="s">
        <v>326</v>
      </c>
      <c r="C21" s="12" t="s">
        <v>1140</v>
      </c>
      <c r="D21" s="22" t="s">
        <v>1141</v>
      </c>
    </row>
    <row r="22" ht="27" spans="1:4">
      <c r="A22" s="14" t="s">
        <v>1153</v>
      </c>
      <c r="B22" s="20" t="s">
        <v>326</v>
      </c>
      <c r="C22" s="23" t="s">
        <v>1143</v>
      </c>
      <c r="D22" s="22" t="s">
        <v>1141</v>
      </c>
    </row>
    <row r="23" ht="27" spans="1:4">
      <c r="A23" s="14" t="s">
        <v>1154</v>
      </c>
      <c r="B23" s="20" t="s">
        <v>326</v>
      </c>
      <c r="C23" s="23" t="s">
        <v>1145</v>
      </c>
      <c r="D23" s="22" t="s">
        <v>1141</v>
      </c>
    </row>
    <row r="24" spans="1:2">
      <c r="A24" s="21" t="s">
        <v>1155</v>
      </c>
      <c r="B24" s="20" t="s">
        <v>326</v>
      </c>
    </row>
    <row r="25" spans="1:2">
      <c r="A25" s="21" t="s">
        <v>1155</v>
      </c>
      <c r="B25" s="20" t="s">
        <v>326</v>
      </c>
    </row>
    <row r="26" spans="1:2">
      <c r="A26" s="21" t="s">
        <v>1156</v>
      </c>
      <c r="B26" s="20" t="s">
        <v>326</v>
      </c>
    </row>
    <row r="27" spans="1:2">
      <c r="A27" s="21" t="s">
        <v>1157</v>
      </c>
      <c r="B27" s="20" t="s">
        <v>326</v>
      </c>
    </row>
    <row r="28" spans="1:2">
      <c r="A28" s="19" t="s">
        <v>1158</v>
      </c>
      <c r="B28" s="20" t="s">
        <v>326</v>
      </c>
    </row>
    <row r="29" spans="1:2">
      <c r="A29" s="19" t="s">
        <v>1159</v>
      </c>
      <c r="B29" s="20" t="s">
        <v>326</v>
      </c>
    </row>
    <row r="30" spans="1:2">
      <c r="A30" s="19" t="s">
        <v>1160</v>
      </c>
      <c r="B30" s="20" t="s">
        <v>326</v>
      </c>
    </row>
    <row r="31" spans="1:2">
      <c r="A31" s="19" t="s">
        <v>1161</v>
      </c>
      <c r="B31" s="7" t="s">
        <v>487</v>
      </c>
    </row>
    <row r="32" ht="27" spans="1:4">
      <c r="A32" s="14" t="s">
        <v>1162</v>
      </c>
      <c r="B32" s="20" t="s">
        <v>326</v>
      </c>
      <c r="C32" s="12" t="s">
        <v>1140</v>
      </c>
      <c r="D32" s="22" t="s">
        <v>1141</v>
      </c>
    </row>
    <row r="33" ht="27" spans="1:4">
      <c r="A33" s="14" t="s">
        <v>1162</v>
      </c>
      <c r="B33" s="20" t="s">
        <v>326</v>
      </c>
      <c r="C33" s="12" t="s">
        <v>1140</v>
      </c>
      <c r="D33" s="22" t="s">
        <v>1141</v>
      </c>
    </row>
    <row r="34" ht="27" spans="1:4">
      <c r="A34" s="14" t="s">
        <v>1163</v>
      </c>
      <c r="B34" s="20" t="s">
        <v>326</v>
      </c>
      <c r="C34" s="23" t="s">
        <v>1143</v>
      </c>
      <c r="D34" s="22" t="s">
        <v>1141</v>
      </c>
    </row>
    <row r="35" ht="27" spans="1:4">
      <c r="A35" s="14" t="s">
        <v>1164</v>
      </c>
      <c r="B35" s="20" t="s">
        <v>326</v>
      </c>
      <c r="C35" s="23" t="s">
        <v>1145</v>
      </c>
      <c r="D35" s="22" t="s">
        <v>1141</v>
      </c>
    </row>
    <row r="36" spans="1:2">
      <c r="A36" s="21" t="s">
        <v>1165</v>
      </c>
      <c r="B36" s="20" t="s">
        <v>326</v>
      </c>
    </row>
    <row r="37" spans="1:2">
      <c r="A37" s="21" t="s">
        <v>1165</v>
      </c>
      <c r="B37" s="20" t="s">
        <v>326</v>
      </c>
    </row>
    <row r="38" spans="1:2">
      <c r="A38" s="21" t="s">
        <v>1166</v>
      </c>
      <c r="B38" s="20" t="s">
        <v>326</v>
      </c>
    </row>
    <row r="39" spans="1:2">
      <c r="A39" s="21" t="s">
        <v>1167</v>
      </c>
      <c r="B39" s="20" t="s">
        <v>326</v>
      </c>
    </row>
    <row r="40" spans="1:2">
      <c r="A40" s="19" t="s">
        <v>1168</v>
      </c>
      <c r="B40" s="20" t="s">
        <v>326</v>
      </c>
    </row>
    <row r="41" spans="1:2">
      <c r="A41" s="19" t="s">
        <v>1169</v>
      </c>
      <c r="B41" s="20" t="s">
        <v>326</v>
      </c>
    </row>
    <row r="42" spans="1:2">
      <c r="A42" s="19" t="s">
        <v>1170</v>
      </c>
      <c r="B42" s="20" t="s">
        <v>326</v>
      </c>
    </row>
    <row r="43" spans="1:2">
      <c r="A43" s="19" t="s">
        <v>1171</v>
      </c>
      <c r="B43" s="20" t="s">
        <v>326</v>
      </c>
    </row>
    <row r="44" spans="1:2">
      <c r="A44" s="19" t="s">
        <v>1172</v>
      </c>
      <c r="B44" s="20" t="s">
        <v>326</v>
      </c>
    </row>
    <row r="45" spans="1:2">
      <c r="A45" s="19" t="s">
        <v>1173</v>
      </c>
      <c r="B45" s="20" t="s">
        <v>326</v>
      </c>
    </row>
    <row r="46" spans="1:2">
      <c r="A46" s="19" t="s">
        <v>1174</v>
      </c>
      <c r="B46" s="7" t="s">
        <v>487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"/>
  <sheetViews>
    <sheetView workbookViewId="0">
      <selection activeCell="A1" sqref="$A1:$XFD1"/>
    </sheetView>
  </sheetViews>
  <sheetFormatPr defaultColWidth="8.725" defaultRowHeight="13.5"/>
  <sheetData>
    <row r="1" s="1" customFormat="1" ht="17" customHeight="1" spans="1:101">
      <c r="A1" s="1">
        <v>7700</v>
      </c>
      <c r="B1" s="2" t="s">
        <v>845</v>
      </c>
      <c r="H1" s="3" t="s">
        <v>326</v>
      </c>
      <c r="I1" s="4" t="s">
        <v>639</v>
      </c>
      <c r="J1" s="5" t="s">
        <v>828</v>
      </c>
      <c r="K1" s="4">
        <v>10000</v>
      </c>
      <c r="L1" s="6"/>
      <c r="N1" s="7"/>
      <c r="O1" s="8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9">
        <v>200121</v>
      </c>
      <c r="AF1" s="9">
        <v>200115</v>
      </c>
      <c r="AG1" s="9">
        <v>200859</v>
      </c>
      <c r="AH1" s="9">
        <v>201206</v>
      </c>
      <c r="AI1" s="9">
        <v>200804</v>
      </c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>
        <v>1</v>
      </c>
      <c r="AV1" s="9">
        <v>10</v>
      </c>
      <c r="AW1" s="9">
        <v>30</v>
      </c>
      <c r="AX1" s="9">
        <v>4</v>
      </c>
      <c r="AY1" s="9">
        <v>1</v>
      </c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>
        <v>1</v>
      </c>
      <c r="BL1" s="9">
        <v>50</v>
      </c>
      <c r="BM1" s="9">
        <v>60</v>
      </c>
      <c r="BN1" s="9">
        <v>20</v>
      </c>
      <c r="BO1" s="9">
        <v>10</v>
      </c>
      <c r="BP1" s="9"/>
      <c r="BQ1" s="9"/>
      <c r="BR1" s="9"/>
      <c r="BS1" s="9"/>
      <c r="BT1" s="9"/>
      <c r="BU1" s="9"/>
      <c r="BV1" s="9"/>
      <c r="BW1" s="9"/>
      <c r="BX1" s="9"/>
      <c r="CA1" s="1">
        <v>141</v>
      </c>
      <c r="CB1" s="1">
        <v>141</v>
      </c>
      <c r="CC1" s="1">
        <v>0</v>
      </c>
      <c r="CD1" s="1">
        <v>0</v>
      </c>
      <c r="CE1" s="1">
        <v>0</v>
      </c>
      <c r="CF1" s="6">
        <v>0</v>
      </c>
      <c r="CG1" s="6">
        <v>0</v>
      </c>
      <c r="CH1" s="6">
        <v>0</v>
      </c>
      <c r="CI1" s="1">
        <v>1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V1" s="1">
        <v>0</v>
      </c>
      <c r="CW1" s="1">
        <v>0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叮咚</cp:lastModifiedBy>
  <dcterms:created xsi:type="dcterms:W3CDTF">2015-01-15T16:55:00Z</dcterms:created>
  <dcterms:modified xsi:type="dcterms:W3CDTF">2026-01-22T12:17:45Z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91BB229D26DE4306B535B9564C150011_13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