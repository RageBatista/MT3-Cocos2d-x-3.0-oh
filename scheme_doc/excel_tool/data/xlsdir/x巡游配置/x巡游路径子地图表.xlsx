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00" windowHeight="19535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I1" authorId="0">
      <text>
        <r>
          <rPr>
            <sz val="9"/>
            <rFont val="宋体"/>
            <charset val="134"/>
          </rPr>
          <t>作者:
PosX|PosZ|Height</t>
        </r>
      </text>
    </comment>
  </commentList>
</comments>
</file>

<file path=xl/sharedStrings.xml><?xml version="1.0" encoding="utf-8"?>
<sst xmlns="http://schemas.openxmlformats.org/spreadsheetml/2006/main" count="1285" uniqueCount="267">
  <si>
    <t>路径ID</t>
  </si>
  <si>
    <t>巡游坐骑</t>
  </si>
  <si>
    <t>绑定特效</t>
  </si>
  <si>
    <t>摄像机高度</t>
  </si>
  <si>
    <t>巡游速度</t>
  </si>
  <si>
    <t>场景ID</t>
  </si>
  <si>
    <t>策划备注</t>
  </si>
  <si>
    <t>路点总数</t>
  </si>
  <si>
    <t>寻路点1</t>
  </si>
  <si>
    <t>寻路点2</t>
  </si>
  <si>
    <t>寻路点3</t>
  </si>
  <si>
    <t>寻路点4</t>
  </si>
  <si>
    <t>寻路点5</t>
  </si>
  <si>
    <t>寻路点6</t>
  </si>
  <si>
    <t>寻路点7</t>
  </si>
  <si>
    <t>寻路点8</t>
  </si>
  <si>
    <t>寻路点9</t>
  </si>
  <si>
    <t>寻路点10</t>
  </si>
  <si>
    <t>寻路点11</t>
  </si>
  <si>
    <t>寻路点12</t>
  </si>
  <si>
    <t>寻路点13</t>
  </si>
  <si>
    <t>寻路点14</t>
  </si>
  <si>
    <t>寻路点15</t>
  </si>
  <si>
    <t>寻路点16</t>
  </si>
  <si>
    <t>寻路点17</t>
  </si>
  <si>
    <t>寻路点18</t>
  </si>
  <si>
    <t>寻路点19</t>
  </si>
  <si>
    <t>寻路点20</t>
  </si>
  <si>
    <t>505</t>
  </si>
  <si>
    <t>geffect/ui/mt_yinsonglin/mt_yinsonglin</t>
  </si>
  <si>
    <t>200</t>
  </si>
  <si>
    <t>2210</t>
  </si>
  <si>
    <t>达拉然</t>
  </si>
  <si>
    <t>15</t>
  </si>
  <si>
    <t>5,10,0</t>
  </si>
  <si>
    <t>28,52,0</t>
  </si>
  <si>
    <t>14,98,0</t>
  </si>
  <si>
    <t>40,71,0</t>
  </si>
  <si>
    <t>21,114,0</t>
  </si>
  <si>
    <t>39,142,0</t>
  </si>
  <si>
    <t>42,101,0</t>
  </si>
  <si>
    <t>60,116,0</t>
  </si>
  <si>
    <t>65,141,0</t>
  </si>
  <si>
    <t>76,78,0</t>
  </si>
  <si>
    <t>87,100,0</t>
  </si>
  <si>
    <t>83,126,0</t>
  </si>
  <si>
    <t>97,155,0</t>
  </si>
  <si>
    <t>114,149,0</t>
  </si>
  <si>
    <t>137,136,0</t>
  </si>
  <si>
    <t>0,0,0</t>
  </si>
  <si>
    <t>奥格瑞姆</t>
  </si>
  <si>
    <t>80,99,0</t>
  </si>
  <si>
    <t>95,99,0</t>
  </si>
  <si>
    <t>95,127,0</t>
  </si>
  <si>
    <t>113,127,0</t>
  </si>
  <si>
    <t>公会</t>
  </si>
  <si>
    <t>23,47,0</t>
  </si>
  <si>
    <t>30,23,0</t>
  </si>
  <si>
    <t>50,35,0</t>
  </si>
  <si>
    <t>3000</t>
  </si>
  <si>
    <t>1300</t>
  </si>
  <si>
    <t>建邺城</t>
  </si>
  <si>
    <t>5</t>
  </si>
  <si>
    <t>114,21,2000</t>
  </si>
  <si>
    <t>82,43,2000</t>
  </si>
  <si>
    <t>45,45,2000</t>
  </si>
  <si>
    <t>19,23,2000</t>
  </si>
  <si>
    <t>6,19,2000</t>
  </si>
  <si>
    <t>1614</t>
  </si>
  <si>
    <t>长寿村</t>
  </si>
  <si>
    <t>108,105,2000</t>
  </si>
  <si>
    <t>84,84,2000</t>
  </si>
  <si>
    <t>63,66,2000</t>
  </si>
  <si>
    <t>32,38,2000</t>
  </si>
  <si>
    <t>16,29,500</t>
  </si>
  <si>
    <t>geffect/ui/mt_ziluolan/mt_ziluolan</t>
  </si>
  <si>
    <t>1000</t>
  </si>
  <si>
    <t>雷霆村</t>
  </si>
  <si>
    <t>3</t>
  </si>
  <si>
    <t>52,35,0</t>
  </si>
  <si>
    <t>68,15,3000</t>
  </si>
  <si>
    <t>77,3,3000</t>
  </si>
  <si>
    <t>修道院</t>
  </si>
  <si>
    <t>4</t>
  </si>
  <si>
    <t>36,53,0</t>
  </si>
  <si>
    <t>19,34,0</t>
  </si>
  <si>
    <t>10,21,2000</t>
  </si>
  <si>
    <t>0,2,3000</t>
  </si>
  <si>
    <t>永夜林地</t>
  </si>
  <si>
    <t>37,42,0</t>
  </si>
  <si>
    <t>56,52,0</t>
  </si>
  <si>
    <t>78,64,3000</t>
  </si>
  <si>
    <t>暗矛镇</t>
  </si>
  <si>
    <t>36,26,2000</t>
  </si>
  <si>
    <t>25,2,3000</t>
  </si>
  <si>
    <t>太阳岛</t>
  </si>
  <si>
    <t>2</t>
  </si>
  <si>
    <t>13,44,2000</t>
  </si>
  <si>
    <t>17,1,3000</t>
  </si>
  <si>
    <t>提瑞斯镇</t>
  </si>
  <si>
    <t>26,44,2000</t>
  </si>
  <si>
    <t>50,58,2000</t>
  </si>
  <si>
    <t>72,50,3000</t>
  </si>
  <si>
    <t>79,48,3000</t>
  </si>
  <si>
    <t>血蹄村</t>
  </si>
  <si>
    <t>摩萨德</t>
  </si>
  <si>
    <t>43,43,1000</t>
  </si>
  <si>
    <t>78,37,3000</t>
  </si>
  <si>
    <t>遗忘之城</t>
  </si>
  <si>
    <t>50,42,2000</t>
  </si>
  <si>
    <t>28,30,2000</t>
  </si>
  <si>
    <t>21,9,3000</t>
  </si>
  <si>
    <t>10,11,1000</t>
  </si>
  <si>
    <t>102,271,3000</t>
  </si>
  <si>
    <t>95,261,3000</t>
  </si>
  <si>
    <t>4000</t>
  </si>
  <si>
    <t>18</t>
  </si>
  <si>
    <t>85,244,4000</t>
  </si>
  <si>
    <t>72,232,2000</t>
  </si>
  <si>
    <t>16,148,2000</t>
  </si>
  <si>
    <t>27,113,2000</t>
  </si>
  <si>
    <t>33,95,5000</t>
  </si>
  <si>
    <t>37,90,2000</t>
  </si>
  <si>
    <t>53,51,2000</t>
  </si>
  <si>
    <t>70,43,5000</t>
  </si>
  <si>
    <t>90,53,2000</t>
  </si>
  <si>
    <t>183,79,2000</t>
  </si>
  <si>
    <t>206,101,2000</t>
  </si>
  <si>
    <t>212,112,5000</t>
  </si>
  <si>
    <t>182,130,2000</t>
  </si>
  <si>
    <t>133,130,2000</t>
  </si>
  <si>
    <t>116,163,2000</t>
  </si>
  <si>
    <t>110,175,5000</t>
  </si>
  <si>
    <t>133,227,3000</t>
  </si>
  <si>
    <t>166,217,0</t>
  </si>
  <si>
    <t>17</t>
  </si>
  <si>
    <t>1200</t>
  </si>
  <si>
    <t>大唐官府</t>
  </si>
  <si>
    <t>33,56,0</t>
  </si>
  <si>
    <t>56,63,0</t>
  </si>
  <si>
    <t>69,72,0</t>
  </si>
  <si>
    <t>2000</t>
  </si>
  <si>
    <t>方寸山</t>
  </si>
  <si>
    <t>33,63,0</t>
  </si>
  <si>
    <t>67,103,0</t>
  </si>
  <si>
    <t>85,117,0</t>
  </si>
  <si>
    <t>19</t>
  </si>
  <si>
    <t>阴曹地府</t>
  </si>
  <si>
    <t>51,40,0</t>
  </si>
  <si>
    <t>5,84,0</t>
  </si>
  <si>
    <t>20</t>
  </si>
  <si>
    <t>狮驼岭</t>
  </si>
  <si>
    <t>60,109,0</t>
  </si>
  <si>
    <t>80,138,0</t>
  </si>
  <si>
    <t>21</t>
  </si>
  <si>
    <t>500</t>
  </si>
  <si>
    <t>龙宫</t>
  </si>
  <si>
    <t>47,39,500</t>
  </si>
  <si>
    <t>21,58,500</t>
  </si>
  <si>
    <t>3,72,500</t>
  </si>
  <si>
    <t>22</t>
  </si>
  <si>
    <t>普陀山</t>
  </si>
  <si>
    <t>20,52,0</t>
  </si>
  <si>
    <t>48,70,0</t>
  </si>
  <si>
    <t>74,87,0</t>
  </si>
  <si>
    <t>23</t>
  </si>
  <si>
    <t>0</t>
  </si>
  <si>
    <t>魔王寨</t>
  </si>
  <si>
    <t>34,60,0</t>
  </si>
  <si>
    <t>33,124,0</t>
  </si>
  <si>
    <t>24</t>
  </si>
  <si>
    <t>月宫</t>
  </si>
  <si>
    <t>47,63,0</t>
  </si>
  <si>
    <t>5,87,0</t>
  </si>
  <si>
    <t>25</t>
  </si>
  <si>
    <t>化生寺</t>
  </si>
  <si>
    <t>21,72,0</t>
  </si>
  <si>
    <t>26</t>
  </si>
  <si>
    <t>9,21,2000</t>
  </si>
  <si>
    <t>39,32,2000</t>
  </si>
  <si>
    <t>57,35,1000</t>
  </si>
  <si>
    <t>100,38,0</t>
  </si>
  <si>
    <t>27</t>
  </si>
  <si>
    <t>117,154,0</t>
  </si>
  <si>
    <t>120,146,0</t>
  </si>
  <si>
    <t>28</t>
  </si>
  <si>
    <t>131,130,0</t>
  </si>
  <si>
    <t>148,109,0</t>
  </si>
  <si>
    <t>170,73,0</t>
  </si>
  <si>
    <t>29</t>
  </si>
  <si>
    <t>30</t>
  </si>
  <si>
    <t>两界山</t>
  </si>
  <si>
    <t>120,139,2000</t>
  </si>
  <si>
    <t>100,89,2000</t>
  </si>
  <si>
    <t>73,13,500</t>
  </si>
  <si>
    <t>31</t>
  </si>
  <si>
    <t>长安城</t>
  </si>
  <si>
    <t>6</t>
  </si>
  <si>
    <t>14,180,4000</t>
  </si>
  <si>
    <t>45,156,4000</t>
  </si>
  <si>
    <t>85,127,4000</t>
  </si>
  <si>
    <t>120,101,4000</t>
  </si>
  <si>
    <t>160,74,4000</t>
  </si>
  <si>
    <t>226,28,500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</si>
  <si>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</si>
  <si>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</si>
  <si>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</si>
  <si>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</si>
  <si>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</si>
  <si>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</si>
  <si>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</si>
  <si>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</si>
  <si>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</si>
  <si>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</si>
  <si>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800</t>
  </si>
  <si>
    <t>41,132,0</t>
  </si>
  <si>
    <t>72,110,0</t>
  </si>
  <si>
    <t>126,84,0</t>
  </si>
  <si>
    <t>223,24,0</t>
  </si>
  <si>
    <t>221,10,0</t>
  </si>
  <si>
    <t>42</t>
  </si>
  <si>
    <t>68,72,0</t>
  </si>
  <si>
    <t>60,66,0</t>
  </si>
  <si>
    <t>43</t>
  </si>
  <si>
    <t>女儿村</t>
  </si>
  <si>
    <t>55,69,0</t>
  </si>
  <si>
    <t>64,90,0</t>
  </si>
  <si>
    <t>44</t>
  </si>
  <si>
    <t>花果山</t>
  </si>
  <si>
    <t>39,56,0</t>
  </si>
  <si>
    <t>37,80,0</t>
  </si>
  <si>
    <t>45</t>
  </si>
  <si>
    <t>须弥海</t>
  </si>
  <si>
    <t>46</t>
  </si>
  <si>
    <t>编辑器X</t>
  </si>
  <si>
    <t>编辑器Y</t>
  </si>
  <si>
    <t>实际坐标X</t>
  </si>
  <si>
    <t>实际坐标Y</t>
  </si>
  <si>
    <t>高度</t>
  </si>
  <si>
    <t>字符串拼接</t>
  </si>
  <si>
    <t>68,90,4000</t>
  </si>
  <si>
    <t>70,81,5000</t>
  </si>
  <si>
    <t>79,70,2000</t>
  </si>
  <si>
    <t>92,46,2000</t>
  </si>
  <si>
    <t>69,25,2000</t>
  </si>
  <si>
    <t>51,56,2000</t>
  </si>
  <si>
    <t>25,26,5000</t>
  </si>
  <si>
    <t>15,20,0</t>
  </si>
  <si>
    <t>221,100,4000</t>
  </si>
  <si>
    <t>95,261,4000</t>
  </si>
  <si>
    <t>21,9,4000</t>
  </si>
  <si>
    <t>0,2,7000</t>
  </si>
  <si>
    <t>78,64,7000</t>
  </si>
  <si>
    <t>25,2,7000</t>
  </si>
  <si>
    <t>17,1,7000</t>
  </si>
  <si>
    <t>72,50,7000</t>
  </si>
  <si>
    <t>79,48,7000</t>
  </si>
  <si>
    <t>78,37,7000</t>
  </si>
  <si>
    <t>17,26,27,28</t>
  </si>
  <si>
    <t>18,26,27,28</t>
  </si>
  <si>
    <t>19,26,27,28</t>
  </si>
  <si>
    <t>20,26,27,28</t>
  </si>
  <si>
    <t>21,26,27,28</t>
  </si>
  <si>
    <t>22,26,27,28</t>
  </si>
  <si>
    <t>23,26,27,28</t>
  </si>
  <si>
    <t>24,26,27,28</t>
  </si>
  <si>
    <t>25,26,27,28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</si>
</sst>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0"/>
      <name val="Arial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8"/>
      <color indexed="62"/>
      <name val="宋体"/>
      <charset val="134"/>
    </font>
    <font>
      <sz val="11"/>
      <color indexed="10"/>
      <name val="宋体"/>
      <charset val="134"/>
    </font>
    <font>
      <b/>
      <sz val="11"/>
      <color indexed="8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</fonts>
  <fills count="5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53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9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9" borderId="4" applyNumberFormat="0" applyAlignment="0" applyProtection="0">
      <alignment vertical="center"/>
    </xf>
    <xf numFmtId="0" fontId="15" fillId="10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0" borderId="0" applyNumberFormat="0" applyBorder="0" applyAlignment="0" applyProtection="0">
      <alignment vertical="center"/>
    </xf>
    <xf numFmtId="0" fontId="28" fillId="45" borderId="10" applyNumberFormat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9" borderId="0" applyNumberFormat="0" applyBorder="0" applyAlignment="0" applyProtection="0">
      <alignment vertical="center"/>
    </xf>
    <xf numFmtId="0" fontId="29" fillId="46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4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3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4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43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2" applyNumberFormat="0" applyFill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13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46" borderId="11" applyNumberFormat="0" applyAlignment="0" applyProtection="0">
      <alignment vertical="center"/>
    </xf>
    <xf numFmtId="0" fontId="0" fillId="0" borderId="0">
      <alignment vertical="center"/>
    </xf>
    <xf numFmtId="0" fontId="29" fillId="46" borderId="11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8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8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48" borderId="15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28" fillId="45" borderId="10" applyNumberFormat="0" applyAlignment="0" applyProtection="0">
      <alignment vertical="center"/>
    </xf>
    <xf numFmtId="0" fontId="28" fillId="45" borderId="10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37" fillId="45" borderId="17" applyNumberFormat="0" applyAlignment="0" applyProtection="0">
      <alignment vertical="center"/>
    </xf>
    <xf numFmtId="0" fontId="37" fillId="45" borderId="17" applyNumberFormat="0" applyAlignment="0" applyProtection="0">
      <alignment vertical="center"/>
    </xf>
    <xf numFmtId="0" fontId="37" fillId="45" borderId="17" applyNumberFormat="0" applyAlignment="0" applyProtection="0">
      <alignment vertical="center"/>
    </xf>
    <xf numFmtId="0" fontId="38" fillId="43" borderId="10" applyNumberFormat="0" applyAlignment="0" applyProtection="0">
      <alignment vertical="center"/>
    </xf>
    <xf numFmtId="0" fontId="38" fillId="43" borderId="10" applyNumberFormat="0" applyAlignment="0" applyProtection="0">
      <alignment vertical="center"/>
    </xf>
    <xf numFmtId="0" fontId="38" fillId="43" borderId="10" applyNumberFormat="0" applyAlignment="0" applyProtection="0">
      <alignment vertical="center"/>
    </xf>
  </cellStyleXfs>
  <cellXfs count="23">
    <xf numFmtId="0" fontId="0" fillId="0" borderId="0" xfId="0" applyAlignment="1"/>
    <xf numFmtId="0" fontId="1" fillId="2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6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 wrapText="1"/>
    </xf>
    <xf numFmtId="49" fontId="1" fillId="5" borderId="0" xfId="0" applyNumberFormat="1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1" fillId="6" borderId="0" xfId="0" applyNumberFormat="1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5" borderId="0" xfId="0" applyNumberFormat="1" applyFont="1" applyFill="1" applyAlignment="1">
      <alignment horizontal="center" vertical="center"/>
    </xf>
  </cellXfs>
  <cellStyles count="6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常规 9 2 2 3" xfId="50"/>
    <cellStyle name="常规 12 3 2 2 2" xfId="51"/>
    <cellStyle name="常规 2 2 4" xfId="52"/>
    <cellStyle name="常规 15 4 2" xfId="53"/>
    <cellStyle name="常规 12 3 3 3" xfId="54"/>
    <cellStyle name="常规 14 3 3 3" xfId="55"/>
    <cellStyle name="常规 7 3" xfId="56"/>
    <cellStyle name="常规 14 2 3 2 2" xfId="57"/>
    <cellStyle name="20% - 强调文字颜色 3 2 2" xfId="58"/>
    <cellStyle name="常规 12 2 3" xfId="59"/>
    <cellStyle name="常规 10 2 2 3" xfId="60"/>
    <cellStyle name="20% - 强调文字颜色 2 2 2" xfId="61"/>
    <cellStyle name="常规 15 7 2" xfId="62"/>
    <cellStyle name="常规 12 2 2 3" xfId="63"/>
    <cellStyle name="常规 14 3 2" xfId="64"/>
    <cellStyle name="常规 6" xfId="65"/>
    <cellStyle name="60% - 强调文字颜色 2 3" xfId="66"/>
    <cellStyle name="常规 12 2 2" xfId="67"/>
    <cellStyle name="解释性文本 2 2" xfId="68"/>
    <cellStyle name="常规 6 5" xfId="69"/>
    <cellStyle name="常规 4 2 2 3" xfId="70"/>
    <cellStyle name="常规 4 4 3" xfId="71"/>
    <cellStyle name="常规 5 2" xfId="72"/>
    <cellStyle name="常规 12 2 2 2 2" xfId="73"/>
    <cellStyle name="60% - 强调文字颜色 2 2 2" xfId="74"/>
    <cellStyle name="常规 6 3 3 3" xfId="75"/>
    <cellStyle name="常规 13 2 3 2" xfId="76"/>
    <cellStyle name="常规 12 3 5" xfId="77"/>
    <cellStyle name="差 6" xfId="78"/>
    <cellStyle name="差 7" xfId="79"/>
    <cellStyle name="差 8" xfId="80"/>
    <cellStyle name="常规 6 3 2 2" xfId="81"/>
    <cellStyle name="常规 12 2 4" xfId="82"/>
    <cellStyle name="常规 12 6 3" xfId="83"/>
    <cellStyle name="常规 13 5" xfId="84"/>
    <cellStyle name="40% - 强调文字颜色 4 2" xfId="85"/>
    <cellStyle name="常规 6 2 3" xfId="86"/>
    <cellStyle name="常规 15 8" xfId="87"/>
    <cellStyle name="常规 15 2 4 2" xfId="88"/>
    <cellStyle name="20% - 强调文字颜色 3 3" xfId="89"/>
    <cellStyle name="常规 14 3 4 2" xfId="90"/>
    <cellStyle name="常规 2 2 2 4" xfId="91"/>
    <cellStyle name="常规 15 3 5" xfId="92"/>
    <cellStyle name="常规 6 2 3 3" xfId="93"/>
    <cellStyle name="链接单元格 3" xfId="94"/>
    <cellStyle name="常规 11 3 5" xfId="95"/>
    <cellStyle name="常规 7 4 5" xfId="96"/>
    <cellStyle name="常规 13 6 2" xfId="97"/>
    <cellStyle name="常规 13 6 3" xfId="98"/>
    <cellStyle name="常规 10 3 3 2" xfId="99"/>
    <cellStyle name="常规 7 4 4 2" xfId="100"/>
    <cellStyle name="常规 10 3 3 3" xfId="101"/>
    <cellStyle name="常规 6 3 2 3" xfId="102"/>
    <cellStyle name="常规 13 2 2 2" xfId="103"/>
    <cellStyle name="常规 12 2 5" xfId="104"/>
    <cellStyle name="常规 7 2 2 2 2" xfId="105"/>
    <cellStyle name="常规 13 2 2 3" xfId="106"/>
    <cellStyle name="20% - 强调文字颜色 5 3" xfId="107"/>
    <cellStyle name="20% - 强调文字颜色 2 3" xfId="108"/>
    <cellStyle name="常规 3 2" xfId="109"/>
    <cellStyle name="20% - 强调文字颜色 4 2 2" xfId="110"/>
    <cellStyle name="20% - 强调文字颜色 1 3" xfId="111"/>
    <cellStyle name="20% - 强调文字颜色 3 2" xfId="112"/>
    <cellStyle name="常规 11 4" xfId="113"/>
    <cellStyle name="20% - 强调文字颜色 1 2 2" xfId="114"/>
    <cellStyle name="常规 9 2 3 3" xfId="115"/>
    <cellStyle name="20% - 强调文字颜色 2 2" xfId="116"/>
    <cellStyle name="常规 15 4 2 3" xfId="117"/>
    <cellStyle name="常规 3" xfId="118"/>
    <cellStyle name="20% - 强调文字颜色 4 2" xfId="119"/>
    <cellStyle name="常规 4" xfId="120"/>
    <cellStyle name="20% - 强调文字颜色 4 3" xfId="121"/>
    <cellStyle name="常规 15 4 3 3" xfId="122"/>
    <cellStyle name="20% - 强调文字颜色 5 2" xfId="123"/>
    <cellStyle name="20% - 强调文字颜色 5 2 2" xfId="124"/>
    <cellStyle name="20% - 强调文字颜色 6 2" xfId="125"/>
    <cellStyle name="20% - 强调文字颜色 6 2 2" xfId="126"/>
    <cellStyle name="常规 13 7" xfId="127"/>
    <cellStyle name="20% - 强调文字颜色 6 3" xfId="128"/>
    <cellStyle name="常规 13 6 2 2" xfId="129"/>
    <cellStyle name="常规 10 5" xfId="130"/>
    <cellStyle name="40% - 强调文字颜色 1 2" xfId="131"/>
    <cellStyle name="常规 10 5 2" xfId="132"/>
    <cellStyle name="常规 4 3 5" xfId="133"/>
    <cellStyle name="40% - 强调文字颜色 1 2 2" xfId="134"/>
    <cellStyle name="常规 13 4 3 2 2" xfId="135"/>
    <cellStyle name="常规 10 6" xfId="136"/>
    <cellStyle name="常规 9 2" xfId="137"/>
    <cellStyle name="40% - 强调文字颜色 1 3" xfId="138"/>
    <cellStyle name="常规 11 5" xfId="139"/>
    <cellStyle name="40% - 强调文字颜色 2 2" xfId="140"/>
    <cellStyle name="常规 11 5 2" xfId="141"/>
    <cellStyle name="40% - 强调文字颜色 2 2 2" xfId="142"/>
    <cellStyle name="常规 11 6" xfId="143"/>
    <cellStyle name="40% - 强调文字颜色 2 3" xfId="144"/>
    <cellStyle name="计算 2 2" xfId="145"/>
    <cellStyle name="常规 12 5" xfId="146"/>
    <cellStyle name="40% - 强调文字颜色 3 2" xfId="147"/>
    <cellStyle name="常规 12 5 2" xfId="148"/>
    <cellStyle name="常规 6 3 5" xfId="149"/>
    <cellStyle name="40% - 强调文字颜色 3 2 2" xfId="150"/>
    <cellStyle name="常规 12 6" xfId="151"/>
    <cellStyle name="40% - 强调文字颜色 3 3" xfId="152"/>
    <cellStyle name="检查单元格 2" xfId="153"/>
    <cellStyle name="常规 13 5 2" xfId="154"/>
    <cellStyle name="常规 7 3 5" xfId="155"/>
    <cellStyle name="40% - 强调文字颜色 4 2 2" xfId="156"/>
    <cellStyle name="常规 10 2 3 2 2" xfId="157"/>
    <cellStyle name="常规 13 6" xfId="158"/>
    <cellStyle name="40% - 强调文字颜色 4 3" xfId="159"/>
    <cellStyle name="常规 14 5" xfId="160"/>
    <cellStyle name="40% - 强调文字颜色 5 2" xfId="161"/>
    <cellStyle name="常规 14 5 2" xfId="162"/>
    <cellStyle name="60% - 强调文字颜色 4 3" xfId="163"/>
    <cellStyle name="40% - 强调文字颜色 5 2 2" xfId="164"/>
    <cellStyle name="常规 14 6" xfId="165"/>
    <cellStyle name="40% - 强调文字颜色 5 3" xfId="166"/>
    <cellStyle name="适中 2 2" xfId="167"/>
    <cellStyle name="常规 15 5" xfId="168"/>
    <cellStyle name="40% - 强调文字颜色 6 2" xfId="169"/>
    <cellStyle name="常规 15 5 2" xfId="170"/>
    <cellStyle name="常规 9 3 5" xfId="171"/>
    <cellStyle name="40% - 强调文字颜色 6 2 2" xfId="172"/>
    <cellStyle name="强调文字颜色 3 2 2" xfId="173"/>
    <cellStyle name="常规 15 6" xfId="174"/>
    <cellStyle name="40% - 强调文字颜色 6 3" xfId="175"/>
    <cellStyle name="60% - 强调文字颜色 1 2" xfId="176"/>
    <cellStyle name="60% - 强调文字颜色 1 2 2" xfId="177"/>
    <cellStyle name="常规 14 2 2" xfId="178"/>
    <cellStyle name="60% - 强调文字颜色 1 3" xfId="179"/>
    <cellStyle name="常规 5" xfId="180"/>
    <cellStyle name="常规 12 2 2 2" xfId="181"/>
    <cellStyle name="60% - 强调文字颜色 2 2" xfId="182"/>
    <cellStyle name="常规 12 2 3 2" xfId="183"/>
    <cellStyle name="60% - 强调文字颜色 3 2" xfId="184"/>
    <cellStyle name="常规 12 2 3 2 2" xfId="185"/>
    <cellStyle name="60% - 强调文字颜色 3 2 2" xfId="186"/>
    <cellStyle name="常规 14 4 2" xfId="187"/>
    <cellStyle name="常规 12 2 3 3" xfId="188"/>
    <cellStyle name="60% - 强调文字颜色 3 3" xfId="189"/>
    <cellStyle name="常规 6 3 2 2 2" xfId="190"/>
    <cellStyle name="常规 12 2 4 2" xfId="191"/>
    <cellStyle name="60% - 强调文字颜色 4 2" xfId="192"/>
    <cellStyle name="常规 15 7" xfId="193"/>
    <cellStyle name="60% - 强调文字颜色 4 2 2" xfId="194"/>
    <cellStyle name="常规 13 2 2 2 2" xfId="195"/>
    <cellStyle name="60% - 强调文字颜色 5 2" xfId="196"/>
    <cellStyle name="60% - 强调文字颜色 5 2 2" xfId="197"/>
    <cellStyle name="常规 14 6 2" xfId="198"/>
    <cellStyle name="60% - 强调文字颜色 5 3" xfId="199"/>
    <cellStyle name="60% - 强调文字颜色 6 2" xfId="200"/>
    <cellStyle name="60% - 强调文字颜色 6 2 2" xfId="201"/>
    <cellStyle name="常规 14 7 2" xfId="202"/>
    <cellStyle name="60% - 强调文字颜色 6 3" xfId="203"/>
    <cellStyle name="差 6 2" xfId="204"/>
    <cellStyle name="标题 1 2" xfId="205"/>
    <cellStyle name="标题 1 2 2" xfId="206"/>
    <cellStyle name="常规 9 6 2 2" xfId="207"/>
    <cellStyle name="标题 1 3" xfId="208"/>
    <cellStyle name="差 7 2" xfId="209"/>
    <cellStyle name="标题 2 2" xfId="210"/>
    <cellStyle name="常规 15 3" xfId="211"/>
    <cellStyle name="标题 2 2 2" xfId="212"/>
    <cellStyle name="标题 2 3" xfId="213"/>
    <cellStyle name="常规 7 2 3" xfId="214"/>
    <cellStyle name="标题 3 2" xfId="215"/>
    <cellStyle name="常规 7 2 3 2" xfId="216"/>
    <cellStyle name="好 5" xfId="217"/>
    <cellStyle name="标题 3 2 2" xfId="218"/>
    <cellStyle name="常规 7 2 4" xfId="219"/>
    <cellStyle name="标题 3 3" xfId="220"/>
    <cellStyle name="常规 7 3 3" xfId="221"/>
    <cellStyle name="标题 4 2" xfId="222"/>
    <cellStyle name="常规 7 3 3 2" xfId="223"/>
    <cellStyle name="标题 4 2 2" xfId="224"/>
    <cellStyle name="常规 7 3 4" xfId="225"/>
    <cellStyle name="标题 4 3" xfId="226"/>
    <cellStyle name="常规 11 4 2" xfId="227"/>
    <cellStyle name="标题 5" xfId="228"/>
    <cellStyle name="常规 7 4 3" xfId="229"/>
    <cellStyle name="常规 11 4 2 2" xfId="230"/>
    <cellStyle name="标题 5 2" xfId="231"/>
    <cellStyle name="常规 11 4 3" xfId="232"/>
    <cellStyle name="标题 6" xfId="233"/>
    <cellStyle name="差 2" xfId="234"/>
    <cellStyle name="常规 11 2 3 3" xfId="235"/>
    <cellStyle name="差 2 2" xfId="236"/>
    <cellStyle name="差 2 2 2" xfId="237"/>
    <cellStyle name="差 3" xfId="238"/>
    <cellStyle name="差 4" xfId="239"/>
    <cellStyle name="差 4 2" xfId="240"/>
    <cellStyle name="差 5" xfId="241"/>
    <cellStyle name="常规 10" xfId="242"/>
    <cellStyle name="常规 11 4 5" xfId="243"/>
    <cellStyle name="常规 10 2" xfId="244"/>
    <cellStyle name="常规 10 2 2" xfId="245"/>
    <cellStyle name="常规 10 2 2 2" xfId="246"/>
    <cellStyle name="常规 10 2 2 2 2" xfId="247"/>
    <cellStyle name="常规 10 2 3" xfId="248"/>
    <cellStyle name="常规 10 2 3 2" xfId="249"/>
    <cellStyle name="常规 10 2 3 3" xfId="250"/>
    <cellStyle name="常规 10 2 4" xfId="251"/>
    <cellStyle name="常规 2 3" xfId="252"/>
    <cellStyle name="常规 10 2 4 2" xfId="253"/>
    <cellStyle name="常规 10 2 5" xfId="254"/>
    <cellStyle name="常规 10 3" xfId="255"/>
    <cellStyle name="常规 10 3 2" xfId="256"/>
    <cellStyle name="常规 10 3 2 2" xfId="257"/>
    <cellStyle name="常规 10 3 2 2 2" xfId="258"/>
    <cellStyle name="常规 10 3 2 3" xfId="259"/>
    <cellStyle name="常规 14 4 2 2 2" xfId="260"/>
    <cellStyle name="常规 10 3 3" xfId="261"/>
    <cellStyle name="常规 2 5" xfId="262"/>
    <cellStyle name="常规 10 3 3 2 2" xfId="263"/>
    <cellStyle name="常规 10 3 4" xfId="264"/>
    <cellStyle name="常规 10 3 4 2" xfId="265"/>
    <cellStyle name="常规 10 3 5" xfId="266"/>
    <cellStyle name="常规 9 2 2 2 2" xfId="267"/>
    <cellStyle name="常规 10 4" xfId="268"/>
    <cellStyle name="常规 4 2 5" xfId="269"/>
    <cellStyle name="常规 4 7" xfId="270"/>
    <cellStyle name="常规 10 4 2" xfId="271"/>
    <cellStyle name="常规 9 4" xfId="272"/>
    <cellStyle name="常规 4 7 2" xfId="273"/>
    <cellStyle name="常规 10 8" xfId="274"/>
    <cellStyle name="常规 10 4 2 2" xfId="275"/>
    <cellStyle name="常规 10 4 2 2 2" xfId="276"/>
    <cellStyle name="常规 10 4 2 3" xfId="277"/>
    <cellStyle name="常规 4 8" xfId="278"/>
    <cellStyle name="常规 10 4 3" xfId="279"/>
    <cellStyle name="常规 11 8" xfId="280"/>
    <cellStyle name="常规 10 4 3 2" xfId="281"/>
    <cellStyle name="常规 10 4 3 2 2" xfId="282"/>
    <cellStyle name="常规 10 4 3 3" xfId="283"/>
    <cellStyle name="常规 10 4 4" xfId="284"/>
    <cellStyle name="常规 12 8" xfId="285"/>
    <cellStyle name="常规 10 4 4 2" xfId="286"/>
    <cellStyle name="常规 15 2 2" xfId="287"/>
    <cellStyle name="常规 10 4 5" xfId="288"/>
    <cellStyle name="常规 10 5 2 2" xfId="289"/>
    <cellStyle name="常规 4 3 2 2 2" xfId="290"/>
    <cellStyle name="常规 10 5 3" xfId="291"/>
    <cellStyle name="常规 9 2 2" xfId="292"/>
    <cellStyle name="常规 6 7" xfId="293"/>
    <cellStyle name="常规 4 4 5" xfId="294"/>
    <cellStyle name="常规 10 6 2" xfId="295"/>
    <cellStyle name="常规 10 6 2 2" xfId="296"/>
    <cellStyle name="常规 11 2 2 2 2" xfId="297"/>
    <cellStyle name="常规 10 6 3" xfId="298"/>
    <cellStyle name="常规 10 7" xfId="299"/>
    <cellStyle name="常规 10 7 2" xfId="300"/>
    <cellStyle name="常规 11" xfId="301"/>
    <cellStyle name="常规 12 4 2 3" xfId="302"/>
    <cellStyle name="常规 11 2" xfId="303"/>
    <cellStyle name="常规 11 2 2" xfId="304"/>
    <cellStyle name="常规 4 3 2 3" xfId="305"/>
    <cellStyle name="常规 11 2 2 2" xfId="306"/>
    <cellStyle name="常规 11 2 2 3" xfId="307"/>
    <cellStyle name="常规 11 2 3" xfId="308"/>
    <cellStyle name="常规 4 3 3 3" xfId="309"/>
    <cellStyle name="常规 11 2 3 2" xfId="310"/>
    <cellStyle name="常规 11 6 3" xfId="311"/>
    <cellStyle name="常规 11 2 3 2 2" xfId="312"/>
    <cellStyle name="常规 6 2 2 2" xfId="313"/>
    <cellStyle name="常规 11 2 4" xfId="314"/>
    <cellStyle name="常规 6 2 2 2 2" xfId="315"/>
    <cellStyle name="常规 11 2 4 2" xfId="316"/>
    <cellStyle name="常规 6 2 2 3" xfId="317"/>
    <cellStyle name="常规 11 2 5" xfId="318"/>
    <cellStyle name="常规 11 3" xfId="319"/>
    <cellStyle name="常规 11 3 2" xfId="320"/>
    <cellStyle name="常规 6 4 3" xfId="321"/>
    <cellStyle name="常规 4 4 2 3" xfId="322"/>
    <cellStyle name="常规 11 3 2 2" xfId="323"/>
    <cellStyle name="常规 18" xfId="324"/>
    <cellStyle name="常规 13 3 4" xfId="325"/>
    <cellStyle name="常规 6 4 3 2" xfId="326"/>
    <cellStyle name="常规 11 3 2 2 2" xfId="327"/>
    <cellStyle name="常规 6 4 4" xfId="328"/>
    <cellStyle name="常规 11 3 2 3" xfId="329"/>
    <cellStyle name="常规 14 4 3 2 2" xfId="330"/>
    <cellStyle name="常规 11 3 3" xfId="331"/>
    <cellStyle name="警告文本 3" xfId="332"/>
    <cellStyle name="常规 6 5 3" xfId="333"/>
    <cellStyle name="常规 4 4 3 3" xfId="334"/>
    <cellStyle name="常规 11 3 3 2" xfId="335"/>
    <cellStyle name="常规 8" xfId="336"/>
    <cellStyle name="常规 14 3 4" xfId="337"/>
    <cellStyle name="常规 11 3 3 2 2" xfId="338"/>
    <cellStyle name="常规 11 3 3 3" xfId="339"/>
    <cellStyle name="常规 6 2 3 2" xfId="340"/>
    <cellStyle name="链接单元格 2" xfId="341"/>
    <cellStyle name="常规 11 3 4" xfId="342"/>
    <cellStyle name="常规 6 2 3 2 2" xfId="343"/>
    <cellStyle name="链接单元格 2 2" xfId="344"/>
    <cellStyle name="常规 6 6 3" xfId="345"/>
    <cellStyle name="常规 11 3 4 2" xfId="346"/>
    <cellStyle name="常规 7 4 3 2" xfId="347"/>
    <cellStyle name="常规 11 4 2 2 2" xfId="348"/>
    <cellStyle name="常规 7 4 4" xfId="349"/>
    <cellStyle name="常规 11 4 2 3" xfId="350"/>
    <cellStyle name="常规 7 5 3" xfId="351"/>
    <cellStyle name="常规 11 4 3 2" xfId="352"/>
    <cellStyle name="常规 11 4 3 2 2" xfId="353"/>
    <cellStyle name="常规 11 4 3 3" xfId="354"/>
    <cellStyle name="常规 6 2 4 2" xfId="355"/>
    <cellStyle name="常规 11 4 4" xfId="356"/>
    <cellStyle name="常规 7 6 3" xfId="357"/>
    <cellStyle name="常规 11 4 4 2" xfId="358"/>
    <cellStyle name="常规 11 5 2 2" xfId="359"/>
    <cellStyle name="常规 4 3 3 2 2" xfId="360"/>
    <cellStyle name="常规 11 5 3" xfId="361"/>
    <cellStyle name="常规 11 6 2" xfId="362"/>
    <cellStyle name="常规 9 4 3" xfId="363"/>
    <cellStyle name="常规 11 6 2 2" xfId="364"/>
    <cellStyle name="常规 11 7" xfId="365"/>
    <cellStyle name="常规 11 7 2" xfId="366"/>
    <cellStyle name="常规 12" xfId="367"/>
    <cellStyle name="常规 12 4 3 3" xfId="368"/>
    <cellStyle name="常规 12 2" xfId="369"/>
    <cellStyle name="常规 12 3" xfId="370"/>
    <cellStyle name="常规 12 3 2" xfId="371"/>
    <cellStyle name="常规 12 3 2 2" xfId="372"/>
    <cellStyle name="常规 15 3 2" xfId="373"/>
    <cellStyle name="常规 12 3 2 3" xfId="374"/>
    <cellStyle name="常规 12 3 3" xfId="375"/>
    <cellStyle name="常规 12 3 3 2" xfId="376"/>
    <cellStyle name="常规 12 3 3 2 2" xfId="377"/>
    <cellStyle name="常规 6 3 3 2" xfId="378"/>
    <cellStyle name="常规 12 3 4" xfId="379"/>
    <cellStyle name="常规 9 3 4" xfId="380"/>
    <cellStyle name="常规 6 3 3 2 2" xfId="381"/>
    <cellStyle name="常规 12 3 4 2" xfId="382"/>
    <cellStyle name="常规 12 4" xfId="383"/>
    <cellStyle name="常规 6 2 5" xfId="384"/>
    <cellStyle name="常规 12 4 2" xfId="385"/>
    <cellStyle name="常规 12 4 2 2" xfId="386"/>
    <cellStyle name="常规 12 4 2 2 2" xfId="387"/>
    <cellStyle name="常规 12 4 3" xfId="388"/>
    <cellStyle name="常规 12 4 3 2" xfId="389"/>
    <cellStyle name="常规 9 6 3" xfId="390"/>
    <cellStyle name="常规 12 4 3 2 2" xfId="391"/>
    <cellStyle name="常规 12 4 4" xfId="392"/>
    <cellStyle name="常规 12 4 4 2" xfId="393"/>
    <cellStyle name="常规 13 2 4 2" xfId="394"/>
    <cellStyle name="常规 6 4 2 2 2" xfId="395"/>
    <cellStyle name="常规 12 4 5" xfId="396"/>
    <cellStyle name="常规 12 5 2 2" xfId="397"/>
    <cellStyle name="常规 12 5 3" xfId="398"/>
    <cellStyle name="常规 12 6 2" xfId="399"/>
    <cellStyle name="常规 12 6 2 2" xfId="400"/>
    <cellStyle name="常规 12 7" xfId="401"/>
    <cellStyle name="常规 12 7 2" xfId="402"/>
    <cellStyle name="常规 13" xfId="403"/>
    <cellStyle name="常规 13 2" xfId="404"/>
    <cellStyle name="常规 13 2 2" xfId="405"/>
    <cellStyle name="常规 13 2 3" xfId="406"/>
    <cellStyle name="常规 9 4 4" xfId="407"/>
    <cellStyle name="常规 13 2 3 2 2" xfId="408"/>
    <cellStyle name="常规 13 2 3 3" xfId="409"/>
    <cellStyle name="常规 6 4 2 2" xfId="410"/>
    <cellStyle name="常规 4 4 2 2 2" xfId="411"/>
    <cellStyle name="常规 17 2" xfId="412"/>
    <cellStyle name="常规 13 2 4" xfId="413"/>
    <cellStyle name="常规 6 4 2 3" xfId="414"/>
    <cellStyle name="常规 13 3 2 2" xfId="415"/>
    <cellStyle name="常规 17 3" xfId="416"/>
    <cellStyle name="常规 13 2 5" xfId="417"/>
    <cellStyle name="常规 15 3 2 2 2" xfId="418"/>
    <cellStyle name="常规 13 3" xfId="419"/>
    <cellStyle name="常规 13 3 2" xfId="420"/>
    <cellStyle name="常规 13 3 2 2 2" xfId="421"/>
    <cellStyle name="常规 13 3 2 3" xfId="422"/>
    <cellStyle name="常规 17 4" xfId="423"/>
    <cellStyle name="常规 13 3 3" xfId="424"/>
    <cellStyle name="常规 13 3 5" xfId="425"/>
    <cellStyle name="常规 6 4 3 3" xfId="426"/>
    <cellStyle name="常规 13 3 3 2" xfId="427"/>
    <cellStyle name="常规 13 3 3 2 2" xfId="428"/>
    <cellStyle name="常规 13 3 3 3" xfId="429"/>
    <cellStyle name="常规 6 4 3 2 2" xfId="430"/>
    <cellStyle name="常规 13 4 5" xfId="431"/>
    <cellStyle name="常规 13 3 4 2" xfId="432"/>
    <cellStyle name="常规 13 4" xfId="433"/>
    <cellStyle name="常规 13 4 2" xfId="434"/>
    <cellStyle name="常规 14 2 5" xfId="435"/>
    <cellStyle name="常规 13 4 2 2" xfId="436"/>
    <cellStyle name="常规 13 4 2 2 2" xfId="437"/>
    <cellStyle name="常规 13 4 2 3" xfId="438"/>
    <cellStyle name="常规 13 4 3" xfId="439"/>
    <cellStyle name="常规 9" xfId="440"/>
    <cellStyle name="常规 14 3 5" xfId="441"/>
    <cellStyle name="常规 13 4 3 2" xfId="442"/>
    <cellStyle name="常规 13 4 3 3" xfId="443"/>
    <cellStyle name="常规 13 4 4" xfId="444"/>
    <cellStyle name="常规 14 4 5" xfId="445"/>
    <cellStyle name="常规 13 4 4 2" xfId="446"/>
    <cellStyle name="常规 15 2 5" xfId="447"/>
    <cellStyle name="检查单元格 2 2" xfId="448"/>
    <cellStyle name="常规 13 5 2 2" xfId="449"/>
    <cellStyle name="检查单元格 3" xfId="450"/>
    <cellStyle name="常规 13 5 3" xfId="451"/>
    <cellStyle name="常规 13 7 2" xfId="452"/>
    <cellStyle name="常规 15 2 2 2" xfId="453"/>
    <cellStyle name="常规 13 8" xfId="454"/>
    <cellStyle name="常规 7 6 2 2" xfId="455"/>
    <cellStyle name="常规 14" xfId="456"/>
    <cellStyle name="常规 14 2" xfId="457"/>
    <cellStyle name="常规 7 3 2 3" xfId="458"/>
    <cellStyle name="常规 14 2 2 2" xfId="459"/>
    <cellStyle name="常规 14 2 3 3" xfId="460"/>
    <cellStyle name="常规 14 2 2 2 2" xfId="461"/>
    <cellStyle name="常规 14 2 2 3" xfId="462"/>
    <cellStyle name="常规 14 2 3" xfId="463"/>
    <cellStyle name="常规 7 3 3 3" xfId="464"/>
    <cellStyle name="常规 14 2 3 2" xfId="465"/>
    <cellStyle name="警告文本 2 2" xfId="466"/>
    <cellStyle name="常规 6 5 2 2" xfId="467"/>
    <cellStyle name="常规 4 4 3 2 2" xfId="468"/>
    <cellStyle name="常规 14 2 4" xfId="469"/>
    <cellStyle name="常规 14 2 4 2" xfId="470"/>
    <cellStyle name="常规 14 3" xfId="471"/>
    <cellStyle name="常规 7 4 2 3" xfId="472"/>
    <cellStyle name="注释 2" xfId="473"/>
    <cellStyle name="常规 6 2" xfId="474"/>
    <cellStyle name="常规 14 3 2 2" xfId="475"/>
    <cellStyle name="常规 15 2 3 3" xfId="476"/>
    <cellStyle name="注释 2 2" xfId="477"/>
    <cellStyle name="常规 6 2 2" xfId="478"/>
    <cellStyle name="常规 14 3 2 2 2" xfId="479"/>
    <cellStyle name="注释 3" xfId="480"/>
    <cellStyle name="常规 6 3" xfId="481"/>
    <cellStyle name="常规 14 3 2 3" xfId="482"/>
    <cellStyle name="常规 7" xfId="483"/>
    <cellStyle name="常规 14 3 3" xfId="484"/>
    <cellStyle name="常规 7 4 3 3" xfId="485"/>
    <cellStyle name="常规 7 2" xfId="486"/>
    <cellStyle name="常规 14 3 3 2" xfId="487"/>
    <cellStyle name="常规 15 3 3 3" xfId="488"/>
    <cellStyle name="常规 7 2 2" xfId="489"/>
    <cellStyle name="常规 14 3 3 2 2" xfId="490"/>
    <cellStyle name="常规 14 4" xfId="491"/>
    <cellStyle name="常规 14 4 2 2" xfId="492"/>
    <cellStyle name="常规 14 4 2 3" xfId="493"/>
    <cellStyle name="常规 14 4 3" xfId="494"/>
    <cellStyle name="常规 14 4 3 2" xfId="495"/>
    <cellStyle name="常规 14 4 3 3" xfId="496"/>
    <cellStyle name="常规 14 4 4" xfId="497"/>
    <cellStyle name="常规 14 4 4 2" xfId="498"/>
    <cellStyle name="常规 15" xfId="499"/>
    <cellStyle name="常规 14 5 2 2" xfId="500"/>
    <cellStyle name="常规 14 5 3" xfId="501"/>
    <cellStyle name="常规 14 6 2 2" xfId="502"/>
    <cellStyle name="常规 14 6 3" xfId="503"/>
    <cellStyle name="常规 14 7" xfId="504"/>
    <cellStyle name="常规 15 2 3 2" xfId="505"/>
    <cellStyle name="常规 14 8" xfId="506"/>
    <cellStyle name="常规 15 2" xfId="507"/>
    <cellStyle name="常规 15 2 2 2 2" xfId="508"/>
    <cellStyle name="常规 15 2 2 3" xfId="509"/>
    <cellStyle name="常规 15 2 3" xfId="510"/>
    <cellStyle name="常规 15 2 3 2 2" xfId="511"/>
    <cellStyle name="常规 15 2 4" xfId="512"/>
    <cellStyle name="常规 15 3 2 2" xfId="513"/>
    <cellStyle name="常规 15 3 2 3" xfId="514"/>
    <cellStyle name="常规 15 3 3" xfId="515"/>
    <cellStyle name="常规 2 2 2 2" xfId="516"/>
    <cellStyle name="常规 15 3 3 2" xfId="517"/>
    <cellStyle name="常规 15 3 3 2 2" xfId="518"/>
    <cellStyle name="常规 15 3 4" xfId="519"/>
    <cellStyle name="常规 2 2 2 3" xfId="520"/>
    <cellStyle name="常规 15 3 4 2" xfId="521"/>
    <cellStyle name="常规 15 4" xfId="522"/>
    <cellStyle name="常规 15 4 2 2" xfId="523"/>
    <cellStyle name="常规 2 2" xfId="524"/>
    <cellStyle name="常规 15 4 2 2 2" xfId="525"/>
    <cellStyle name="常规 15 4 3" xfId="526"/>
    <cellStyle name="常规 15 4 3 2" xfId="527"/>
    <cellStyle name="常规 15 4 3 2 2" xfId="528"/>
    <cellStyle name="常规 15 4 4" xfId="529"/>
    <cellStyle name="常规 15 4 4 2" xfId="530"/>
    <cellStyle name="常规 15 4 5" xfId="531"/>
    <cellStyle name="常规 15 5 2 2" xfId="532"/>
    <cellStyle name="常规 4 3 4" xfId="533"/>
    <cellStyle name="常规 15 5 3" xfId="534"/>
    <cellStyle name="常规 15 6 2" xfId="535"/>
    <cellStyle name="解释性文本 3" xfId="536"/>
    <cellStyle name="常规 15 6 2 2" xfId="537"/>
    <cellStyle name="常规 15 6 3" xfId="538"/>
    <cellStyle name="常规 16" xfId="539"/>
    <cellStyle name="常规 2 2 2" xfId="540"/>
    <cellStyle name="常规 2 2 3" xfId="541"/>
    <cellStyle name="常规 2 3 2" xfId="542"/>
    <cellStyle name="常规 2 4" xfId="543"/>
    <cellStyle name="常规 2 6" xfId="544"/>
    <cellStyle name="常规 7 7 2" xfId="545"/>
    <cellStyle name="常规 9 3 2 2" xfId="546"/>
    <cellStyle name="常规 3 3" xfId="547"/>
    <cellStyle name="常规 3 4" xfId="548"/>
    <cellStyle name="常规 4 2" xfId="549"/>
    <cellStyle name="常规 4 4" xfId="550"/>
    <cellStyle name="常规 4 2 2" xfId="551"/>
    <cellStyle name="常规 4 4 2" xfId="552"/>
    <cellStyle name="常规 4 2 2 2" xfId="553"/>
    <cellStyle name="常规 6 4" xfId="554"/>
    <cellStyle name="常规 4 4 2 2" xfId="555"/>
    <cellStyle name="常规 4 2 2 2 2" xfId="556"/>
    <cellStyle name="常规 6 4 2" xfId="557"/>
    <cellStyle name="常规 4 5" xfId="558"/>
    <cellStyle name="常规 4 2 3" xfId="559"/>
    <cellStyle name="常规 4 5 2" xfId="560"/>
    <cellStyle name="常规 4 2 3 2" xfId="561"/>
    <cellStyle name="常规 7 4" xfId="562"/>
    <cellStyle name="常规 7 4 2" xfId="563"/>
    <cellStyle name="常规 4 2 3 2 2" xfId="564"/>
    <cellStyle name="常规 4 5 2 2" xfId="565"/>
    <cellStyle name="常规 7 5" xfId="566"/>
    <cellStyle name="常规 4 2 3 3" xfId="567"/>
    <cellStyle name="常规 4 5 3" xfId="568"/>
    <cellStyle name="常规 4 2 4" xfId="569"/>
    <cellStyle name="常规 4 6" xfId="570"/>
    <cellStyle name="常规 9 3 4 2" xfId="571"/>
    <cellStyle name="常规 4 2 4 2" xfId="572"/>
    <cellStyle name="常规 4 6 2" xfId="573"/>
    <cellStyle name="常规 4 3" xfId="574"/>
    <cellStyle name="常规 4 3 2" xfId="575"/>
    <cellStyle name="常规 4 3 2 2" xfId="576"/>
    <cellStyle name="常规 4 3 3" xfId="577"/>
    <cellStyle name="常规 4 3 3 2" xfId="578"/>
    <cellStyle name="常规 4 3 4 2" xfId="579"/>
    <cellStyle name="警告文本 2" xfId="580"/>
    <cellStyle name="常规 6 5 2" xfId="581"/>
    <cellStyle name="常规 4 4 3 2" xfId="582"/>
    <cellStyle name="常规 6 6" xfId="583"/>
    <cellStyle name="常规 4 4 4" xfId="584"/>
    <cellStyle name="常规 6 6 2" xfId="585"/>
    <cellStyle name="常规 4 4 4 2" xfId="586"/>
    <cellStyle name="常规 4 6 2 2" xfId="587"/>
    <cellStyle name="常规 4 6 3" xfId="588"/>
    <cellStyle name="常规 5 3" xfId="589"/>
    <cellStyle name="常规 6 2 4" xfId="590"/>
    <cellStyle name="常规 6 3 2" xfId="591"/>
    <cellStyle name="常规 6 3 3" xfId="592"/>
    <cellStyle name="常规 6 3 4" xfId="593"/>
    <cellStyle name="常规 6 3 4 2" xfId="594"/>
    <cellStyle name="常规 6 4 4 2" xfId="595"/>
    <cellStyle name="常规 6 4 5" xfId="596"/>
    <cellStyle name="常规 6 6 2 2" xfId="597"/>
    <cellStyle name="常规 6 7 2" xfId="598"/>
    <cellStyle name="常规 9 2 2 2" xfId="599"/>
    <cellStyle name="常规 6 8" xfId="600"/>
    <cellStyle name="常规 9 2 3" xfId="601"/>
    <cellStyle name="常规 7 2 2 2" xfId="602"/>
    <cellStyle name="常规 7 2 2 3" xfId="603"/>
    <cellStyle name="常规 7 2 3 2 2" xfId="604"/>
    <cellStyle name="常规 7 2 3 3" xfId="605"/>
    <cellStyle name="好 6" xfId="606"/>
    <cellStyle name="常规 7 2 4 2" xfId="607"/>
    <cellStyle name="常规 7 2 5" xfId="608"/>
    <cellStyle name="常规 7 3 2" xfId="609"/>
    <cellStyle name="常规 7 3 2 2" xfId="610"/>
    <cellStyle name="常规 7 3 2 2 2" xfId="611"/>
    <cellStyle name="常规 7 3 3 2 2" xfId="612"/>
    <cellStyle name="常规 7 3 4 2" xfId="613"/>
    <cellStyle name="常规 7 4 2 2" xfId="614"/>
    <cellStyle name="常规 7 4 2 2 2" xfId="615"/>
    <cellStyle name="常规 7 4 3 2 2" xfId="616"/>
    <cellStyle name="常规 7 5 2" xfId="617"/>
    <cellStyle name="常规 7 5 2 2" xfId="618"/>
    <cellStyle name="常规 7 6" xfId="619"/>
    <cellStyle name="常规 7 6 2" xfId="620"/>
    <cellStyle name="常规 7 7" xfId="621"/>
    <cellStyle name="常规 9 3 2" xfId="622"/>
    <cellStyle name="常规 7 8" xfId="623"/>
    <cellStyle name="常规 9 3 3" xfId="624"/>
    <cellStyle name="常规 9 2 3 2" xfId="625"/>
    <cellStyle name="常规 9 2 3 2 2" xfId="626"/>
    <cellStyle name="常规 9 2 4" xfId="627"/>
    <cellStyle name="常规 9 2 4 2" xfId="628"/>
    <cellStyle name="常规 9 2 5" xfId="629"/>
    <cellStyle name="常规 9 3" xfId="630"/>
    <cellStyle name="常规 9 3 2 2 2" xfId="631"/>
    <cellStyle name="常规 9 3 2 3" xfId="632"/>
    <cellStyle name="常规 9 3 3 2" xfId="633"/>
    <cellStyle name="常规 9 3 3 2 2" xfId="634"/>
    <cellStyle name="常规 9 3 3 3" xfId="635"/>
    <cellStyle name="常规 9 4 2" xfId="636"/>
    <cellStyle name="常规 9 4 2 2" xfId="637"/>
    <cellStyle name="常规 9 4 2 2 2" xfId="638"/>
    <cellStyle name="常规 9 4 2 3" xfId="639"/>
    <cellStyle name="常规 9 4 3 2" xfId="640"/>
    <cellStyle name="常规 9 4 3 2 2" xfId="641"/>
    <cellStyle name="常规 9 4 3 3" xfId="642"/>
    <cellStyle name="常规 9 4 4 2" xfId="643"/>
    <cellStyle name="常规 9 4 5" xfId="644"/>
    <cellStyle name="常规 9 5" xfId="645"/>
    <cellStyle name="常规 9 5 2" xfId="646"/>
    <cellStyle name="常规 9 7" xfId="647"/>
    <cellStyle name="常规 9 5 2 2" xfId="648"/>
    <cellStyle name="常规 9 7 2" xfId="649"/>
    <cellStyle name="常规 9 5 3" xfId="650"/>
    <cellStyle name="常规 9 8" xfId="651"/>
    <cellStyle name="常规 9 6" xfId="652"/>
    <cellStyle name="常规 9 6 2" xfId="653"/>
    <cellStyle name="好 2" xfId="654"/>
    <cellStyle name="好 2 2" xfId="655"/>
    <cellStyle name="好 2 2 2" xfId="656"/>
    <cellStyle name="好 3" xfId="657"/>
    <cellStyle name="好 4" xfId="658"/>
    <cellStyle name="汇总 2" xfId="659"/>
    <cellStyle name="汇总 2 2" xfId="660"/>
    <cellStyle name="汇总 3" xfId="661"/>
    <cellStyle name="计算 2" xfId="662"/>
    <cellStyle name="计算 3" xfId="663"/>
    <cellStyle name="解释性文本 2" xfId="664"/>
    <cellStyle name="强调文字颜色 1 2" xfId="665"/>
    <cellStyle name="强调文字颜色 1 2 2" xfId="666"/>
    <cellStyle name="强调文字颜色 1 3" xfId="667"/>
    <cellStyle name="强调文字颜色 2 2" xfId="668"/>
    <cellStyle name="强调文字颜色 2 2 2" xfId="669"/>
    <cellStyle name="强调文字颜色 2 3" xfId="670"/>
    <cellStyle name="强调文字颜色 3 2" xfId="671"/>
    <cellStyle name="强调文字颜色 3 3" xfId="672"/>
    <cellStyle name="强调文字颜色 4 2" xfId="673"/>
    <cellStyle name="强调文字颜色 4 2 2" xfId="674"/>
    <cellStyle name="强调文字颜色 4 3" xfId="675"/>
    <cellStyle name="强调文字颜色 5 2" xfId="676"/>
    <cellStyle name="强调文字颜色 5 2 2" xfId="677"/>
    <cellStyle name="强调文字颜色 5 3" xfId="678"/>
    <cellStyle name="强调文字颜色 6 2" xfId="679"/>
    <cellStyle name="强调文字颜色 6 2 2" xfId="680"/>
    <cellStyle name="强调文字颜色 6 3" xfId="681"/>
    <cellStyle name="适中 2" xfId="682"/>
    <cellStyle name="适中 3" xfId="683"/>
    <cellStyle name="输出 2" xfId="684"/>
    <cellStyle name="输出 2 2" xfId="685"/>
    <cellStyle name="输出 3" xfId="686"/>
    <cellStyle name="输入 2" xfId="687"/>
    <cellStyle name="输入 2 2" xfId="688"/>
    <cellStyle name="输入 3" xfId="68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333375</xdr:colOff>
      <xdr:row>1</xdr:row>
      <xdr:rowOff>19050</xdr:rowOff>
    </xdr:from>
    <xdr:to>
      <xdr:col>11</xdr:col>
      <xdr:colOff>561975</xdr:colOff>
      <xdr:row>4</xdr:row>
      <xdr:rowOff>47625</xdr:rowOff>
    </xdr:to>
    <xdr:pic>
      <xdr:nvPicPr>
        <xdr:cNvPr id="6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111875" y="201930"/>
          <a:ext cx="1463040" cy="577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361950</xdr:colOff>
      <xdr:row>5</xdr:row>
      <xdr:rowOff>133350</xdr:rowOff>
    </xdr:from>
    <xdr:to>
      <xdr:col>11</xdr:col>
      <xdr:colOff>514350</xdr:colOff>
      <xdr:row>9</xdr:row>
      <xdr:rowOff>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6140450" y="1047750"/>
          <a:ext cx="1386840" cy="5981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266700</xdr:colOff>
      <xdr:row>11</xdr:row>
      <xdr:rowOff>161925</xdr:rowOff>
    </xdr:from>
    <xdr:to>
      <xdr:col>11</xdr:col>
      <xdr:colOff>476250</xdr:colOff>
      <xdr:row>15</xdr:row>
      <xdr:rowOff>57150</xdr:rowOff>
    </xdr:to>
    <xdr:pic>
      <xdr:nvPicPr>
        <xdr:cNvPr id="2051" name="Picture 3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6045200" y="2173605"/>
          <a:ext cx="1443990" cy="62674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333375</xdr:colOff>
      <xdr:row>16</xdr:row>
      <xdr:rowOff>123825</xdr:rowOff>
    </xdr:from>
    <xdr:to>
      <xdr:col>11</xdr:col>
      <xdr:colOff>514350</xdr:colOff>
      <xdr:row>19</xdr:row>
      <xdr:rowOff>123825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6111875" y="3049905"/>
          <a:ext cx="1415415" cy="548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314325</xdr:colOff>
      <xdr:row>21</xdr:row>
      <xdr:rowOff>66675</xdr:rowOff>
    </xdr:from>
    <xdr:to>
      <xdr:col>11</xdr:col>
      <xdr:colOff>495300</xdr:colOff>
      <xdr:row>24</xdr:row>
      <xdr:rowOff>95250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6092825" y="3907155"/>
          <a:ext cx="1415415" cy="5772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11</xdr:col>
      <xdr:colOff>190500</xdr:colOff>
      <xdr:row>29</xdr:row>
      <xdr:rowOff>152400</xdr:rowOff>
    </xdr:to>
    <xdr:pic>
      <xdr:nvPicPr>
        <xdr:cNvPr id="7" name="Picture 6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5778500" y="4937760"/>
          <a:ext cx="1424940" cy="5181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0</xdr:colOff>
      <xdr:row>32</xdr:row>
      <xdr:rowOff>0</xdr:rowOff>
    </xdr:from>
    <xdr:to>
      <xdr:col>11</xdr:col>
      <xdr:colOff>114300</xdr:colOff>
      <xdr:row>34</xdr:row>
      <xdr:rowOff>142875</xdr:rowOff>
    </xdr:to>
    <xdr:pic>
      <xdr:nvPicPr>
        <xdr:cNvPr id="8" name="Picture 7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>
          <a:off x="5778500" y="5852160"/>
          <a:ext cx="1348740" cy="5086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11</xdr:col>
      <xdr:colOff>142875</xdr:colOff>
      <xdr:row>40</xdr:row>
      <xdr:rowOff>47625</xdr:rowOff>
    </xdr:to>
    <xdr:pic>
      <xdr:nvPicPr>
        <xdr:cNvPr id="9" name="Picture 8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5778500" y="6766560"/>
          <a:ext cx="1377315" cy="5962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54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F47" sqref="F47"/>
    </sheetView>
  </sheetViews>
  <sheetFormatPr defaultColWidth="9" defaultRowHeight="15" customHeight="1"/>
  <cols>
    <col min="1" max="1" width="9" style="12" customWidth="1"/>
    <col min="2" max="2" width="9" style="7" customWidth="1"/>
    <col min="3" max="3" width="50" style="7" customWidth="1"/>
    <col min="4" max="4" width="11.75" style="7" customWidth="1"/>
    <col min="5" max="8" width="9" style="7" customWidth="1"/>
    <col min="9" max="9" width="18" style="7" customWidth="1"/>
    <col min="10" max="10" width="15.8796296296296" style="7" customWidth="1"/>
    <col min="11" max="11" width="12.3796296296296" style="7" customWidth="1"/>
    <col min="12" max="12" width="15.75" style="7" customWidth="1"/>
    <col min="13" max="13" width="18.75" style="7" customWidth="1"/>
    <col min="14" max="14" width="14.25" style="7" customWidth="1"/>
    <col min="15" max="15" width="8.5" style="7" customWidth="1"/>
    <col min="16" max="16" width="8.12962962962963" style="7" customWidth="1"/>
    <col min="17" max="17" width="8.5" style="7" customWidth="1"/>
    <col min="18" max="18" width="9.12962962962963" style="7" customWidth="1"/>
    <col min="19" max="16384" width="9" style="7"/>
  </cols>
  <sheetData>
    <row r="1" s="5" customFormat="1" ht="32.25" customHeight="1" spans="1:28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</row>
    <row r="2" s="3" customFormat="1" customHeight="1" spans="1:28">
      <c r="A2" s="15">
        <v>1</v>
      </c>
      <c r="B2" s="3" t="s">
        <v>28</v>
      </c>
      <c r="C2" s="3" t="s">
        <v>29</v>
      </c>
      <c r="D2" s="3">
        <v>0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49</v>
      </c>
      <c r="Z2" s="3" t="s">
        <v>49</v>
      </c>
      <c r="AA2" s="3" t="s">
        <v>49</v>
      </c>
      <c r="AB2" s="3" t="s">
        <v>49</v>
      </c>
    </row>
    <row r="3" s="3" customFormat="1" customHeight="1" spans="1:28">
      <c r="A3" s="15">
        <v>2</v>
      </c>
      <c r="B3" s="3" t="s">
        <v>28</v>
      </c>
      <c r="C3" s="3" t="s">
        <v>29</v>
      </c>
      <c r="D3" s="3">
        <v>0</v>
      </c>
      <c r="E3" s="3">
        <v>900</v>
      </c>
      <c r="F3" s="3">
        <v>1616</v>
      </c>
      <c r="G3" s="3" t="s">
        <v>50</v>
      </c>
      <c r="H3" s="3">
        <v>4</v>
      </c>
      <c r="I3" s="3" t="s">
        <v>51</v>
      </c>
      <c r="J3" s="3" t="s">
        <v>52</v>
      </c>
      <c r="K3" s="3" t="s">
        <v>53</v>
      </c>
      <c r="L3" s="3" t="s">
        <v>54</v>
      </c>
      <c r="M3" s="3" t="s">
        <v>49</v>
      </c>
      <c r="N3" s="3" t="s">
        <v>49</v>
      </c>
      <c r="O3" s="3" t="s">
        <v>49</v>
      </c>
      <c r="P3" s="3" t="s">
        <v>49</v>
      </c>
      <c r="Q3" s="3" t="s">
        <v>49</v>
      </c>
      <c r="R3" s="3" t="s">
        <v>49</v>
      </c>
      <c r="S3" s="3" t="s">
        <v>49</v>
      </c>
      <c r="T3" s="3" t="s">
        <v>49</v>
      </c>
      <c r="U3" s="3" t="s">
        <v>49</v>
      </c>
      <c r="V3" s="3" t="s">
        <v>49</v>
      </c>
      <c r="W3" s="3" t="s">
        <v>49</v>
      </c>
      <c r="X3" s="3" t="s">
        <v>49</v>
      </c>
      <c r="Y3" s="3" t="s">
        <v>49</v>
      </c>
      <c r="Z3" s="3" t="s">
        <v>49</v>
      </c>
      <c r="AA3" s="3" t="s">
        <v>49</v>
      </c>
      <c r="AB3" s="3" t="s">
        <v>49</v>
      </c>
    </row>
    <row r="4" s="3" customFormat="1" customHeight="1" spans="1:28">
      <c r="A4" s="15">
        <v>3</v>
      </c>
      <c r="B4" s="3" t="s">
        <v>28</v>
      </c>
      <c r="C4" s="3" t="s">
        <v>29</v>
      </c>
      <c r="D4" s="3">
        <v>0</v>
      </c>
      <c r="E4" s="3">
        <v>1400</v>
      </c>
      <c r="F4" s="3">
        <v>1613</v>
      </c>
      <c r="G4" s="3" t="s">
        <v>55</v>
      </c>
      <c r="H4" s="3">
        <v>3</v>
      </c>
      <c r="I4" s="3" t="s">
        <v>56</v>
      </c>
      <c r="J4" s="3" t="s">
        <v>57</v>
      </c>
      <c r="K4" s="3" t="s">
        <v>58</v>
      </c>
      <c r="L4" s="3" t="s">
        <v>49</v>
      </c>
      <c r="M4" s="3" t="s">
        <v>49</v>
      </c>
      <c r="N4" s="3" t="s">
        <v>49</v>
      </c>
      <c r="O4" s="3" t="s">
        <v>49</v>
      </c>
      <c r="P4" s="3" t="s">
        <v>49</v>
      </c>
      <c r="Q4" s="3" t="s">
        <v>49</v>
      </c>
      <c r="R4" s="3" t="s">
        <v>49</v>
      </c>
      <c r="S4" s="3" t="s">
        <v>49</v>
      </c>
      <c r="T4" s="3" t="s">
        <v>49</v>
      </c>
      <c r="U4" s="3" t="s">
        <v>49</v>
      </c>
      <c r="V4" s="3" t="s">
        <v>49</v>
      </c>
      <c r="W4" s="3" t="s">
        <v>49</v>
      </c>
      <c r="X4" s="3" t="s">
        <v>49</v>
      </c>
      <c r="Y4" s="3" t="s">
        <v>49</v>
      </c>
      <c r="Z4" s="3" t="s">
        <v>49</v>
      </c>
      <c r="AA4" s="3" t="s">
        <v>49</v>
      </c>
      <c r="AB4" s="3" t="s">
        <v>49</v>
      </c>
    </row>
    <row r="5" s="6" customFormat="1" customHeight="1" spans="1:28">
      <c r="A5" s="16">
        <v>4</v>
      </c>
      <c r="B5" s="3" t="s">
        <v>28</v>
      </c>
      <c r="C5" s="17"/>
      <c r="D5" s="17" t="s">
        <v>59</v>
      </c>
      <c r="E5" s="6" t="s">
        <v>60</v>
      </c>
      <c r="F5" s="6">
        <v>1616</v>
      </c>
      <c r="G5" s="6" t="s">
        <v>61</v>
      </c>
      <c r="H5" s="6" t="s">
        <v>62</v>
      </c>
      <c r="I5" s="17" t="s">
        <v>63</v>
      </c>
      <c r="J5" s="17" t="s">
        <v>64</v>
      </c>
      <c r="K5" s="17" t="s">
        <v>65</v>
      </c>
      <c r="L5" s="17" t="s">
        <v>66</v>
      </c>
      <c r="M5" s="17" t="s">
        <v>67</v>
      </c>
      <c r="N5" s="17" t="s">
        <v>49</v>
      </c>
      <c r="O5" s="17" t="s">
        <v>49</v>
      </c>
      <c r="P5" s="17" t="s">
        <v>49</v>
      </c>
      <c r="Q5" s="17" t="s">
        <v>49</v>
      </c>
      <c r="R5" s="17" t="s">
        <v>49</v>
      </c>
      <c r="S5" s="17" t="s">
        <v>49</v>
      </c>
      <c r="T5" s="17" t="s">
        <v>49</v>
      </c>
      <c r="U5" s="17" t="s">
        <v>49</v>
      </c>
      <c r="V5" s="17" t="s">
        <v>49</v>
      </c>
      <c r="W5" s="17" t="s">
        <v>49</v>
      </c>
      <c r="X5" s="17" t="s">
        <v>49</v>
      </c>
      <c r="Y5" s="17" t="s">
        <v>49</v>
      </c>
      <c r="Z5" s="17" t="s">
        <v>49</v>
      </c>
      <c r="AA5" s="17" t="s">
        <v>49</v>
      </c>
      <c r="AB5" s="17" t="s">
        <v>49</v>
      </c>
    </row>
    <row r="6" s="6" customFormat="1" customHeight="1" spans="1:28">
      <c r="A6" s="16">
        <v>5</v>
      </c>
      <c r="B6" s="3" t="s">
        <v>28</v>
      </c>
      <c r="C6" s="17"/>
      <c r="D6" s="17" t="s">
        <v>59</v>
      </c>
      <c r="E6" s="6" t="s">
        <v>60</v>
      </c>
      <c r="F6" s="6" t="s">
        <v>68</v>
      </c>
      <c r="G6" s="6" t="s">
        <v>69</v>
      </c>
      <c r="H6" s="6" t="s">
        <v>62</v>
      </c>
      <c r="I6" s="6" t="s">
        <v>70</v>
      </c>
      <c r="J6" s="6" t="s">
        <v>71</v>
      </c>
      <c r="K6" s="6" t="s">
        <v>72</v>
      </c>
      <c r="L6" s="6" t="s">
        <v>73</v>
      </c>
      <c r="M6" s="6" t="s">
        <v>74</v>
      </c>
      <c r="N6" s="17" t="s">
        <v>49</v>
      </c>
      <c r="O6" s="17" t="s">
        <v>49</v>
      </c>
      <c r="P6" s="17" t="s">
        <v>49</v>
      </c>
      <c r="Q6" s="17" t="s">
        <v>49</v>
      </c>
      <c r="R6" s="17" t="s">
        <v>49</v>
      </c>
      <c r="S6" s="17" t="s">
        <v>49</v>
      </c>
      <c r="T6" s="17" t="s">
        <v>49</v>
      </c>
      <c r="U6" s="17" t="s">
        <v>49</v>
      </c>
      <c r="V6" s="17" t="s">
        <v>49</v>
      </c>
      <c r="W6" s="17" t="s">
        <v>49</v>
      </c>
      <c r="X6" s="17" t="s">
        <v>49</v>
      </c>
      <c r="Y6" s="17" t="s">
        <v>49</v>
      </c>
      <c r="Z6" s="17" t="s">
        <v>49</v>
      </c>
      <c r="AA6" s="17" t="s">
        <v>49</v>
      </c>
      <c r="AB6" s="17" t="s">
        <v>49</v>
      </c>
    </row>
    <row r="7" s="7" customFormat="1" customHeight="1" spans="1:28">
      <c r="A7" s="15">
        <v>6</v>
      </c>
      <c r="B7" s="3" t="s">
        <v>28</v>
      </c>
      <c r="C7" s="3" t="s">
        <v>75</v>
      </c>
      <c r="D7" s="3" t="s">
        <v>59</v>
      </c>
      <c r="E7" s="7" t="s">
        <v>76</v>
      </c>
      <c r="F7" s="7">
        <v>1618</v>
      </c>
      <c r="G7" s="7" t="s">
        <v>77</v>
      </c>
      <c r="H7" s="7" t="s">
        <v>78</v>
      </c>
      <c r="I7" s="3" t="s">
        <v>79</v>
      </c>
      <c r="J7" s="3" t="s">
        <v>80</v>
      </c>
      <c r="K7" s="3" t="s">
        <v>81</v>
      </c>
      <c r="L7" s="3" t="s">
        <v>49</v>
      </c>
      <c r="M7" s="3" t="s">
        <v>49</v>
      </c>
      <c r="N7" s="3" t="s">
        <v>49</v>
      </c>
      <c r="O7" s="3" t="s">
        <v>49</v>
      </c>
      <c r="P7" s="3" t="s">
        <v>49</v>
      </c>
      <c r="Q7" s="3" t="s">
        <v>49</v>
      </c>
      <c r="R7" s="3" t="s">
        <v>49</v>
      </c>
      <c r="S7" s="3" t="s">
        <v>49</v>
      </c>
      <c r="T7" s="3" t="s">
        <v>49</v>
      </c>
      <c r="U7" s="3" t="s">
        <v>49</v>
      </c>
      <c r="V7" s="3" t="s">
        <v>49</v>
      </c>
      <c r="W7" s="3" t="s">
        <v>49</v>
      </c>
      <c r="X7" s="3" t="s">
        <v>49</v>
      </c>
      <c r="Y7" s="3" t="s">
        <v>49</v>
      </c>
      <c r="Z7" s="3" t="s">
        <v>49</v>
      </c>
      <c r="AA7" s="3" t="s">
        <v>49</v>
      </c>
      <c r="AB7" s="3" t="s">
        <v>49</v>
      </c>
    </row>
    <row r="8" s="7" customFormat="1" customHeight="1" spans="1:28">
      <c r="A8" s="15">
        <v>7</v>
      </c>
      <c r="B8" s="3" t="s">
        <v>28</v>
      </c>
      <c r="C8" s="3" t="s">
        <v>75</v>
      </c>
      <c r="D8" s="3" t="s">
        <v>59</v>
      </c>
      <c r="E8" s="7">
        <v>1500</v>
      </c>
      <c r="F8" s="7">
        <v>1621</v>
      </c>
      <c r="G8" s="7" t="s">
        <v>82</v>
      </c>
      <c r="H8" s="7" t="s">
        <v>83</v>
      </c>
      <c r="I8" s="3" t="s">
        <v>84</v>
      </c>
      <c r="J8" s="3" t="s">
        <v>85</v>
      </c>
      <c r="K8" s="3" t="s">
        <v>86</v>
      </c>
      <c r="L8" s="3" t="s">
        <v>87</v>
      </c>
      <c r="M8" s="3" t="s">
        <v>49</v>
      </c>
      <c r="N8" s="3" t="s">
        <v>49</v>
      </c>
      <c r="O8" s="3" t="s">
        <v>49</v>
      </c>
      <c r="P8" s="3" t="s">
        <v>49</v>
      </c>
      <c r="Q8" s="3" t="s">
        <v>49</v>
      </c>
      <c r="R8" s="3" t="s">
        <v>49</v>
      </c>
      <c r="S8" s="3" t="s">
        <v>49</v>
      </c>
      <c r="T8" s="3" t="s">
        <v>49</v>
      </c>
      <c r="U8" s="3" t="s">
        <v>49</v>
      </c>
      <c r="V8" s="3" t="s">
        <v>49</v>
      </c>
      <c r="W8" s="3" t="s">
        <v>49</v>
      </c>
      <c r="X8" s="3" t="s">
        <v>49</v>
      </c>
      <c r="Y8" s="3" t="s">
        <v>49</v>
      </c>
      <c r="Z8" s="3" t="s">
        <v>49</v>
      </c>
      <c r="AA8" s="3" t="s">
        <v>49</v>
      </c>
      <c r="AB8" s="3" t="s">
        <v>49</v>
      </c>
    </row>
    <row r="9" s="7" customFormat="1" customHeight="1" spans="1:28">
      <c r="A9" s="15">
        <v>8</v>
      </c>
      <c r="B9" s="3" t="s">
        <v>28</v>
      </c>
      <c r="C9" s="3" t="s">
        <v>75</v>
      </c>
      <c r="D9" s="3" t="s">
        <v>59</v>
      </c>
      <c r="E9" s="7">
        <v>1500</v>
      </c>
      <c r="F9" s="7">
        <v>1622</v>
      </c>
      <c r="G9" s="7" t="s">
        <v>88</v>
      </c>
      <c r="H9" s="7" t="s">
        <v>78</v>
      </c>
      <c r="I9" s="3" t="s">
        <v>89</v>
      </c>
      <c r="J9" s="3" t="s">
        <v>90</v>
      </c>
      <c r="K9" s="3" t="s">
        <v>91</v>
      </c>
      <c r="L9" s="3" t="s">
        <v>49</v>
      </c>
      <c r="M9" s="3" t="s">
        <v>49</v>
      </c>
      <c r="N9" s="3" t="s">
        <v>49</v>
      </c>
      <c r="O9" s="3" t="s">
        <v>49</v>
      </c>
      <c r="P9" s="3" t="s">
        <v>49</v>
      </c>
      <c r="Q9" s="3" t="s">
        <v>49</v>
      </c>
      <c r="R9" s="3" t="s">
        <v>49</v>
      </c>
      <c r="S9" s="3" t="s">
        <v>49</v>
      </c>
      <c r="T9" s="3" t="s">
        <v>49</v>
      </c>
      <c r="U9" s="3" t="s">
        <v>49</v>
      </c>
      <c r="V9" s="3" t="s">
        <v>49</v>
      </c>
      <c r="W9" s="3" t="s">
        <v>49</v>
      </c>
      <c r="X9" s="3" t="s">
        <v>49</v>
      </c>
      <c r="Y9" s="3" t="s">
        <v>49</v>
      </c>
      <c r="Z9" s="3" t="s">
        <v>49</v>
      </c>
      <c r="AA9" s="3" t="s">
        <v>49</v>
      </c>
      <c r="AB9" s="3" t="s">
        <v>49</v>
      </c>
    </row>
    <row r="10" s="7" customFormat="1" customHeight="1" spans="1:28">
      <c r="A10" s="12">
        <v>9</v>
      </c>
      <c r="B10" s="3" t="s">
        <v>28</v>
      </c>
      <c r="C10" s="3" t="s">
        <v>75</v>
      </c>
      <c r="D10" s="3" t="s">
        <v>59</v>
      </c>
      <c r="E10" s="7">
        <v>1500</v>
      </c>
      <c r="F10" s="7">
        <v>1620</v>
      </c>
      <c r="G10" s="7" t="s">
        <v>92</v>
      </c>
      <c r="H10" s="7">
        <v>2</v>
      </c>
      <c r="I10" s="3" t="s">
        <v>93</v>
      </c>
      <c r="J10" s="3" t="s">
        <v>94</v>
      </c>
      <c r="K10" s="3" t="s">
        <v>49</v>
      </c>
      <c r="L10" s="3" t="s">
        <v>49</v>
      </c>
      <c r="M10" s="3" t="s">
        <v>49</v>
      </c>
      <c r="N10" s="3" t="s">
        <v>49</v>
      </c>
      <c r="O10" s="3" t="s">
        <v>49</v>
      </c>
      <c r="P10" s="3" t="s">
        <v>49</v>
      </c>
      <c r="Q10" s="3" t="s">
        <v>49</v>
      </c>
      <c r="R10" s="3" t="s">
        <v>49</v>
      </c>
      <c r="S10" s="3" t="s">
        <v>49</v>
      </c>
      <c r="T10" s="3" t="s">
        <v>49</v>
      </c>
      <c r="U10" s="3" t="s">
        <v>49</v>
      </c>
      <c r="V10" s="3" t="s">
        <v>49</v>
      </c>
      <c r="W10" s="3" t="s">
        <v>49</v>
      </c>
      <c r="X10" s="3" t="s">
        <v>49</v>
      </c>
      <c r="Y10" s="3" t="s">
        <v>49</v>
      </c>
      <c r="Z10" s="3" t="s">
        <v>49</v>
      </c>
      <c r="AA10" s="3" t="s">
        <v>49</v>
      </c>
      <c r="AB10" s="3" t="s">
        <v>49</v>
      </c>
    </row>
    <row r="11" s="7" customFormat="1" customHeight="1" spans="1:28">
      <c r="A11" s="12">
        <v>10</v>
      </c>
      <c r="B11" s="3" t="s">
        <v>28</v>
      </c>
      <c r="C11" s="3" t="s">
        <v>75</v>
      </c>
      <c r="D11" s="3" t="s">
        <v>59</v>
      </c>
      <c r="E11" s="7">
        <v>1700</v>
      </c>
      <c r="F11" s="7">
        <v>1617</v>
      </c>
      <c r="G11" s="7" t="s">
        <v>95</v>
      </c>
      <c r="H11" s="7" t="s">
        <v>96</v>
      </c>
      <c r="I11" s="3" t="s">
        <v>97</v>
      </c>
      <c r="J11" s="3" t="s">
        <v>98</v>
      </c>
      <c r="K11" s="3" t="s">
        <v>49</v>
      </c>
      <c r="L11" s="3" t="s">
        <v>49</v>
      </c>
      <c r="M11" s="3" t="s">
        <v>49</v>
      </c>
      <c r="N11" s="3" t="s">
        <v>49</v>
      </c>
      <c r="O11" s="3" t="s">
        <v>49</v>
      </c>
      <c r="P11" s="3" t="s">
        <v>49</v>
      </c>
      <c r="Q11" s="3" t="s">
        <v>49</v>
      </c>
      <c r="R11" s="3" t="s">
        <v>49</v>
      </c>
      <c r="S11" s="3" t="s">
        <v>49</v>
      </c>
      <c r="T11" s="3" t="s">
        <v>49</v>
      </c>
      <c r="U11" s="3" t="s">
        <v>49</v>
      </c>
      <c r="V11" s="3" t="s">
        <v>49</v>
      </c>
      <c r="W11" s="3" t="s">
        <v>49</v>
      </c>
      <c r="X11" s="3" t="s">
        <v>49</v>
      </c>
      <c r="Y11" s="3" t="s">
        <v>49</v>
      </c>
      <c r="Z11" s="3" t="s">
        <v>49</v>
      </c>
      <c r="AA11" s="3" t="s">
        <v>49</v>
      </c>
      <c r="AB11" s="3" t="s">
        <v>49</v>
      </c>
    </row>
    <row r="12" s="7" customFormat="1" customHeight="1" spans="1:28">
      <c r="A12" s="15">
        <v>11</v>
      </c>
      <c r="B12" s="3" t="s">
        <v>28</v>
      </c>
      <c r="C12" s="3" t="s">
        <v>75</v>
      </c>
      <c r="D12" s="3" t="s">
        <v>59</v>
      </c>
      <c r="E12" s="7">
        <v>1500</v>
      </c>
      <c r="F12" s="7">
        <v>1619</v>
      </c>
      <c r="G12" s="7" t="s">
        <v>99</v>
      </c>
      <c r="H12" s="7" t="s">
        <v>83</v>
      </c>
      <c r="I12" s="3" t="s">
        <v>100</v>
      </c>
      <c r="J12" s="3" t="s">
        <v>101</v>
      </c>
      <c r="K12" s="3" t="s">
        <v>102</v>
      </c>
      <c r="L12" s="3" t="s">
        <v>103</v>
      </c>
      <c r="M12" s="3" t="s">
        <v>49</v>
      </c>
      <c r="N12" s="3" t="s">
        <v>49</v>
      </c>
      <c r="O12" s="3" t="s">
        <v>49</v>
      </c>
      <c r="P12" s="3" t="s">
        <v>49</v>
      </c>
      <c r="Q12" s="3" t="s">
        <v>49</v>
      </c>
      <c r="R12" s="3" t="s">
        <v>49</v>
      </c>
      <c r="S12" s="3" t="s">
        <v>49</v>
      </c>
      <c r="T12" s="3" t="s">
        <v>49</v>
      </c>
      <c r="U12" s="3" t="s">
        <v>49</v>
      </c>
      <c r="V12" s="3" t="s">
        <v>49</v>
      </c>
      <c r="W12" s="3" t="s">
        <v>49</v>
      </c>
      <c r="X12" s="3" t="s">
        <v>49</v>
      </c>
      <c r="Y12" s="3" t="s">
        <v>49</v>
      </c>
      <c r="Z12" s="3" t="s">
        <v>49</v>
      </c>
      <c r="AA12" s="3" t="s">
        <v>49</v>
      </c>
      <c r="AB12" s="3" t="s">
        <v>49</v>
      </c>
    </row>
    <row r="13" s="7" customFormat="1" customHeight="1" spans="1:28">
      <c r="A13" s="15">
        <v>12</v>
      </c>
      <c r="B13" s="3" t="s">
        <v>28</v>
      </c>
      <c r="C13" s="3" t="s">
        <v>75</v>
      </c>
      <c r="D13" s="3" t="s">
        <v>59</v>
      </c>
      <c r="E13" s="7">
        <v>1500</v>
      </c>
      <c r="F13" s="7">
        <v>1691</v>
      </c>
      <c r="G13" s="7" t="s">
        <v>104</v>
      </c>
      <c r="H13" s="7" t="s">
        <v>78</v>
      </c>
      <c r="I13" s="3" t="s">
        <v>79</v>
      </c>
      <c r="J13" s="3" t="s">
        <v>80</v>
      </c>
      <c r="K13" s="3" t="s">
        <v>81</v>
      </c>
      <c r="L13" s="3" t="s">
        <v>49</v>
      </c>
      <c r="M13" s="3" t="s">
        <v>49</v>
      </c>
      <c r="N13" s="3" t="s">
        <v>49</v>
      </c>
      <c r="O13" s="3" t="s">
        <v>49</v>
      </c>
      <c r="P13" s="3" t="s">
        <v>49</v>
      </c>
      <c r="Q13" s="3" t="s">
        <v>49</v>
      </c>
      <c r="R13" s="3" t="s">
        <v>49</v>
      </c>
      <c r="S13" s="3" t="s">
        <v>49</v>
      </c>
      <c r="T13" s="3" t="s">
        <v>49</v>
      </c>
      <c r="U13" s="3" t="s">
        <v>49</v>
      </c>
      <c r="V13" s="3" t="s">
        <v>49</v>
      </c>
      <c r="W13" s="3" t="s">
        <v>49</v>
      </c>
      <c r="X13" s="3" t="s">
        <v>49</v>
      </c>
      <c r="Y13" s="3" t="s">
        <v>49</v>
      </c>
      <c r="Z13" s="3" t="s">
        <v>49</v>
      </c>
      <c r="AA13" s="3" t="s">
        <v>49</v>
      </c>
      <c r="AB13" s="3" t="s">
        <v>49</v>
      </c>
    </row>
    <row r="14" s="7" customFormat="1" customHeight="1" spans="1:28">
      <c r="A14" s="15">
        <v>13</v>
      </c>
      <c r="B14" s="3" t="s">
        <v>28</v>
      </c>
      <c r="C14" s="3" t="s">
        <v>75</v>
      </c>
      <c r="D14" s="3" t="s">
        <v>59</v>
      </c>
      <c r="E14" s="7">
        <v>1500</v>
      </c>
      <c r="F14" s="7">
        <v>1690</v>
      </c>
      <c r="G14" s="7" t="s">
        <v>105</v>
      </c>
      <c r="H14" s="7" t="s">
        <v>96</v>
      </c>
      <c r="I14" s="3" t="s">
        <v>106</v>
      </c>
      <c r="J14" s="3" t="s">
        <v>107</v>
      </c>
      <c r="K14" s="3" t="s">
        <v>49</v>
      </c>
      <c r="L14" s="3" t="s">
        <v>49</v>
      </c>
      <c r="M14" s="3" t="s">
        <v>49</v>
      </c>
      <c r="N14" s="3" t="s">
        <v>49</v>
      </c>
      <c r="O14" s="3" t="s">
        <v>49</v>
      </c>
      <c r="P14" s="3" t="s">
        <v>49</v>
      </c>
      <c r="Q14" s="3" t="s">
        <v>49</v>
      </c>
      <c r="R14" s="3" t="s">
        <v>49</v>
      </c>
      <c r="S14" s="3" t="s">
        <v>49</v>
      </c>
      <c r="T14" s="3" t="s">
        <v>49</v>
      </c>
      <c r="U14" s="3" t="s">
        <v>49</v>
      </c>
      <c r="V14" s="3" t="s">
        <v>49</v>
      </c>
      <c r="W14" s="3" t="s">
        <v>49</v>
      </c>
      <c r="X14" s="3" t="s">
        <v>49</v>
      </c>
      <c r="Y14" s="3" t="s">
        <v>49</v>
      </c>
      <c r="Z14" s="3" t="s">
        <v>49</v>
      </c>
      <c r="AA14" s="3" t="s">
        <v>49</v>
      </c>
      <c r="AB14" s="3" t="s">
        <v>49</v>
      </c>
    </row>
    <row r="15" s="8" customFormat="1" customHeight="1" spans="1:28">
      <c r="A15" s="18">
        <v>14</v>
      </c>
      <c r="B15" s="3" t="s">
        <v>28</v>
      </c>
      <c r="C15" s="11" t="s">
        <v>75</v>
      </c>
      <c r="D15" s="11" t="s">
        <v>59</v>
      </c>
      <c r="E15" s="8">
        <v>1500</v>
      </c>
      <c r="F15" s="8">
        <v>1692</v>
      </c>
      <c r="G15" s="8" t="s">
        <v>108</v>
      </c>
      <c r="H15" s="8" t="s">
        <v>83</v>
      </c>
      <c r="I15" s="11" t="s">
        <v>109</v>
      </c>
      <c r="J15" s="11" t="s">
        <v>110</v>
      </c>
      <c r="K15" s="11" t="s">
        <v>111</v>
      </c>
      <c r="L15" s="11" t="s">
        <v>112</v>
      </c>
      <c r="M15" s="11" t="s">
        <v>49</v>
      </c>
      <c r="N15" s="11" t="s">
        <v>49</v>
      </c>
      <c r="O15" s="11" t="s">
        <v>49</v>
      </c>
      <c r="P15" s="11" t="s">
        <v>49</v>
      </c>
      <c r="Q15" s="11" t="s">
        <v>49</v>
      </c>
      <c r="R15" s="11" t="s">
        <v>49</v>
      </c>
      <c r="S15" s="11" t="s">
        <v>49</v>
      </c>
      <c r="T15" s="11" t="s">
        <v>49</v>
      </c>
      <c r="U15" s="11" t="s">
        <v>49</v>
      </c>
      <c r="V15" s="11" t="s">
        <v>49</v>
      </c>
      <c r="W15" s="11" t="s">
        <v>49</v>
      </c>
      <c r="X15" s="11" t="s">
        <v>49</v>
      </c>
      <c r="Y15" s="11" t="s">
        <v>49</v>
      </c>
      <c r="Z15" s="11" t="s">
        <v>49</v>
      </c>
      <c r="AA15" s="11" t="s">
        <v>49</v>
      </c>
      <c r="AB15" s="11" t="s">
        <v>49</v>
      </c>
    </row>
    <row r="16" s="7" customFormat="1" customHeight="1" spans="1:28">
      <c r="A16" s="15">
        <v>15</v>
      </c>
      <c r="B16" s="3" t="s">
        <v>28</v>
      </c>
      <c r="C16" s="3" t="s">
        <v>75</v>
      </c>
      <c r="D16" s="3" t="s">
        <v>59</v>
      </c>
      <c r="E16" s="7">
        <v>1500</v>
      </c>
      <c r="F16" s="3">
        <v>1615</v>
      </c>
      <c r="G16" s="3" t="s">
        <v>32</v>
      </c>
      <c r="H16" s="7" t="s">
        <v>96</v>
      </c>
      <c r="I16" s="3" t="s">
        <v>113</v>
      </c>
      <c r="J16" s="3" t="s">
        <v>114</v>
      </c>
      <c r="K16" s="3" t="s">
        <v>49</v>
      </c>
      <c r="L16" s="3" t="s">
        <v>49</v>
      </c>
      <c r="M16" s="3" t="s">
        <v>49</v>
      </c>
      <c r="N16" s="3" t="s">
        <v>49</v>
      </c>
      <c r="O16" s="3" t="s">
        <v>49</v>
      </c>
      <c r="P16" s="3" t="s">
        <v>49</v>
      </c>
      <c r="Q16" s="3" t="s">
        <v>49</v>
      </c>
      <c r="R16" s="3" t="s">
        <v>49</v>
      </c>
      <c r="S16" s="3" t="s">
        <v>49</v>
      </c>
      <c r="T16" s="3" t="s">
        <v>49</v>
      </c>
      <c r="U16" s="3" t="s">
        <v>49</v>
      </c>
      <c r="V16" s="3" t="s">
        <v>49</v>
      </c>
      <c r="W16" s="3" t="s">
        <v>49</v>
      </c>
      <c r="X16" s="3" t="s">
        <v>49</v>
      </c>
      <c r="Y16" s="3" t="s">
        <v>49</v>
      </c>
      <c r="Z16" s="3" t="s">
        <v>49</v>
      </c>
      <c r="AA16" s="3" t="s">
        <v>49</v>
      </c>
      <c r="AB16" s="3" t="s">
        <v>49</v>
      </c>
    </row>
    <row r="17" s="7" customFormat="1" customHeight="1" spans="1:28">
      <c r="A17" s="15">
        <v>16</v>
      </c>
      <c r="B17" s="3" t="s">
        <v>28</v>
      </c>
      <c r="C17" s="3" t="s">
        <v>75</v>
      </c>
      <c r="D17" s="3" t="s">
        <v>115</v>
      </c>
      <c r="E17" s="7">
        <v>1500</v>
      </c>
      <c r="F17" s="3">
        <v>1615</v>
      </c>
      <c r="G17" s="3" t="s">
        <v>32</v>
      </c>
      <c r="H17" s="7" t="s">
        <v>116</v>
      </c>
      <c r="I17" s="3" t="s">
        <v>117</v>
      </c>
      <c r="J17" s="3" t="s">
        <v>118</v>
      </c>
      <c r="K17" s="3" t="s">
        <v>119</v>
      </c>
      <c r="L17" s="3" t="s">
        <v>120</v>
      </c>
      <c r="M17" s="3" t="s">
        <v>121</v>
      </c>
      <c r="N17" s="3" t="s">
        <v>122</v>
      </c>
      <c r="O17" s="3" t="s">
        <v>123</v>
      </c>
      <c r="P17" s="3" t="s">
        <v>124</v>
      </c>
      <c r="Q17" s="3" t="s">
        <v>125</v>
      </c>
      <c r="R17" s="3" t="s">
        <v>126</v>
      </c>
      <c r="S17" s="3" t="s">
        <v>127</v>
      </c>
      <c r="T17" s="3" t="s">
        <v>128</v>
      </c>
      <c r="U17" s="3" t="s">
        <v>129</v>
      </c>
      <c r="V17" s="3" t="s">
        <v>130</v>
      </c>
      <c r="W17" s="3" t="s">
        <v>131</v>
      </c>
      <c r="X17" s="3" t="s">
        <v>132</v>
      </c>
      <c r="Y17" s="3" t="s">
        <v>133</v>
      </c>
      <c r="Z17" s="3" t="s">
        <v>134</v>
      </c>
      <c r="AA17" s="3" t="s">
        <v>49</v>
      </c>
      <c r="AB17" s="3" t="s">
        <v>49</v>
      </c>
    </row>
    <row r="18" s="9" customFormat="1" customHeight="1" spans="1:28">
      <c r="A18" s="1" t="s">
        <v>135</v>
      </c>
      <c r="B18" s="3" t="s">
        <v>28</v>
      </c>
      <c r="C18" s="10"/>
      <c r="D18" s="10" t="s">
        <v>76</v>
      </c>
      <c r="E18" s="9" t="s">
        <v>136</v>
      </c>
      <c r="F18" s="19">
        <v>1618</v>
      </c>
      <c r="G18" s="6" t="s">
        <v>137</v>
      </c>
      <c r="H18" s="9" t="s">
        <v>78</v>
      </c>
      <c r="I18" s="10" t="s">
        <v>138</v>
      </c>
      <c r="J18" s="10" t="s">
        <v>139</v>
      </c>
      <c r="K18" s="10" t="s">
        <v>140</v>
      </c>
      <c r="L18" s="10" t="s">
        <v>49</v>
      </c>
      <c r="M18" s="10" t="s">
        <v>49</v>
      </c>
      <c r="N18" s="10" t="s">
        <v>49</v>
      </c>
      <c r="O18" s="10" t="s">
        <v>49</v>
      </c>
      <c r="P18" s="10" t="s">
        <v>49</v>
      </c>
      <c r="Q18" s="10" t="s">
        <v>49</v>
      </c>
      <c r="R18" s="10" t="s">
        <v>49</v>
      </c>
      <c r="S18" s="10" t="s">
        <v>49</v>
      </c>
      <c r="T18" s="10" t="s">
        <v>49</v>
      </c>
      <c r="U18" s="10" t="s">
        <v>49</v>
      </c>
      <c r="V18" s="10" t="s">
        <v>49</v>
      </c>
      <c r="W18" s="10" t="s">
        <v>49</v>
      </c>
      <c r="X18" s="10" t="s">
        <v>49</v>
      </c>
      <c r="Y18" s="10" t="s">
        <v>49</v>
      </c>
      <c r="Z18" s="10" t="s">
        <v>49</v>
      </c>
      <c r="AA18" s="10" t="s">
        <v>49</v>
      </c>
      <c r="AB18" s="10" t="s">
        <v>49</v>
      </c>
    </row>
    <row r="19" s="9" customFormat="1" customHeight="1" spans="1:28">
      <c r="A19" s="1" t="s">
        <v>116</v>
      </c>
      <c r="B19" s="3" t="s">
        <v>28</v>
      </c>
      <c r="C19" s="10"/>
      <c r="D19" s="10" t="s">
        <v>141</v>
      </c>
      <c r="E19" s="9" t="s">
        <v>136</v>
      </c>
      <c r="F19" s="19">
        <v>1621</v>
      </c>
      <c r="G19" s="6" t="s">
        <v>142</v>
      </c>
      <c r="H19" s="9" t="s">
        <v>78</v>
      </c>
      <c r="I19" s="10" t="s">
        <v>143</v>
      </c>
      <c r="J19" s="10" t="s">
        <v>144</v>
      </c>
      <c r="K19" s="10" t="s">
        <v>145</v>
      </c>
      <c r="L19" s="10" t="s">
        <v>49</v>
      </c>
      <c r="M19" s="10" t="s">
        <v>49</v>
      </c>
      <c r="N19" s="10" t="s">
        <v>49</v>
      </c>
      <c r="O19" s="10" t="s">
        <v>49</v>
      </c>
      <c r="P19" s="10" t="s">
        <v>49</v>
      </c>
      <c r="Q19" s="10" t="s">
        <v>49</v>
      </c>
      <c r="R19" s="10" t="s">
        <v>49</v>
      </c>
      <c r="S19" s="10" t="s">
        <v>49</v>
      </c>
      <c r="T19" s="10" t="s">
        <v>49</v>
      </c>
      <c r="U19" s="10" t="s">
        <v>49</v>
      </c>
      <c r="V19" s="10" t="s">
        <v>49</v>
      </c>
      <c r="W19" s="10" t="s">
        <v>49</v>
      </c>
      <c r="X19" s="10" t="s">
        <v>49</v>
      </c>
      <c r="Y19" s="10" t="s">
        <v>49</v>
      </c>
      <c r="Z19" s="10" t="s">
        <v>49</v>
      </c>
      <c r="AA19" s="10" t="s">
        <v>49</v>
      </c>
      <c r="AB19" s="10" t="s">
        <v>49</v>
      </c>
    </row>
    <row r="20" s="9" customFormat="1" customHeight="1" spans="1:28">
      <c r="A20" s="1" t="s">
        <v>146</v>
      </c>
      <c r="B20" s="3" t="s">
        <v>28</v>
      </c>
      <c r="C20" s="10"/>
      <c r="D20" s="10" t="s">
        <v>141</v>
      </c>
      <c r="E20" s="9" t="s">
        <v>136</v>
      </c>
      <c r="F20" s="19">
        <v>1622</v>
      </c>
      <c r="G20" s="6" t="s">
        <v>147</v>
      </c>
      <c r="H20" s="9" t="s">
        <v>96</v>
      </c>
      <c r="I20" s="10" t="s">
        <v>148</v>
      </c>
      <c r="J20" s="10" t="s">
        <v>149</v>
      </c>
      <c r="K20" s="10" t="s">
        <v>49</v>
      </c>
      <c r="L20" s="10" t="s">
        <v>49</v>
      </c>
      <c r="M20" s="10" t="s">
        <v>49</v>
      </c>
      <c r="N20" s="10" t="s">
        <v>49</v>
      </c>
      <c r="O20" s="10" t="s">
        <v>49</v>
      </c>
      <c r="P20" s="10" t="s">
        <v>49</v>
      </c>
      <c r="Q20" s="10" t="s">
        <v>49</v>
      </c>
      <c r="R20" s="10" t="s">
        <v>49</v>
      </c>
      <c r="S20" s="10" t="s">
        <v>49</v>
      </c>
      <c r="T20" s="10" t="s">
        <v>49</v>
      </c>
      <c r="U20" s="10" t="s">
        <v>49</v>
      </c>
      <c r="V20" s="10" t="s">
        <v>49</v>
      </c>
      <c r="W20" s="10" t="s">
        <v>49</v>
      </c>
      <c r="X20" s="10" t="s">
        <v>49</v>
      </c>
      <c r="Y20" s="10" t="s">
        <v>49</v>
      </c>
      <c r="Z20" s="10" t="s">
        <v>49</v>
      </c>
      <c r="AA20" s="10" t="s">
        <v>49</v>
      </c>
      <c r="AB20" s="10" t="s">
        <v>49</v>
      </c>
    </row>
    <row r="21" s="9" customFormat="1" customHeight="1" spans="1:28">
      <c r="A21" s="1" t="s">
        <v>150</v>
      </c>
      <c r="B21" s="3" t="s">
        <v>28</v>
      </c>
      <c r="C21" s="10"/>
      <c r="D21" s="10" t="s">
        <v>141</v>
      </c>
      <c r="E21" s="9" t="s">
        <v>136</v>
      </c>
      <c r="F21" s="19">
        <v>1620</v>
      </c>
      <c r="G21" s="6" t="s">
        <v>151</v>
      </c>
      <c r="H21" s="9">
        <v>2</v>
      </c>
      <c r="I21" s="10" t="s">
        <v>152</v>
      </c>
      <c r="J21" s="10" t="s">
        <v>153</v>
      </c>
      <c r="K21" s="10" t="s">
        <v>49</v>
      </c>
      <c r="L21" s="10" t="s">
        <v>49</v>
      </c>
      <c r="M21" s="10" t="s">
        <v>49</v>
      </c>
      <c r="N21" s="10" t="s">
        <v>49</v>
      </c>
      <c r="O21" s="10" t="s">
        <v>49</v>
      </c>
      <c r="P21" s="10" t="s">
        <v>49</v>
      </c>
      <c r="Q21" s="10" t="s">
        <v>49</v>
      </c>
      <c r="R21" s="10" t="s">
        <v>49</v>
      </c>
      <c r="S21" s="10" t="s">
        <v>49</v>
      </c>
      <c r="T21" s="10" t="s">
        <v>49</v>
      </c>
      <c r="U21" s="10" t="s">
        <v>49</v>
      </c>
      <c r="V21" s="10" t="s">
        <v>49</v>
      </c>
      <c r="W21" s="10" t="s">
        <v>49</v>
      </c>
      <c r="X21" s="10" t="s">
        <v>49</v>
      </c>
      <c r="Y21" s="10" t="s">
        <v>49</v>
      </c>
      <c r="Z21" s="10" t="s">
        <v>49</v>
      </c>
      <c r="AA21" s="10" t="s">
        <v>49</v>
      </c>
      <c r="AB21" s="10" t="s">
        <v>49</v>
      </c>
    </row>
    <row r="22" s="9" customFormat="1" customHeight="1" spans="1:28">
      <c r="A22" s="1" t="s">
        <v>154</v>
      </c>
      <c r="B22" s="3" t="s">
        <v>28</v>
      </c>
      <c r="C22" s="10"/>
      <c r="D22" s="10" t="s">
        <v>155</v>
      </c>
      <c r="E22" s="9" t="s">
        <v>136</v>
      </c>
      <c r="F22" s="19">
        <v>1617</v>
      </c>
      <c r="G22" s="6" t="s">
        <v>156</v>
      </c>
      <c r="H22" s="9" t="s">
        <v>78</v>
      </c>
      <c r="I22" s="9" t="s">
        <v>157</v>
      </c>
      <c r="J22" s="9" t="s">
        <v>158</v>
      </c>
      <c r="K22" s="9" t="s">
        <v>159</v>
      </c>
      <c r="L22" s="9" t="s">
        <v>49</v>
      </c>
      <c r="M22" s="9" t="s">
        <v>49</v>
      </c>
      <c r="N22" s="10" t="s">
        <v>49</v>
      </c>
      <c r="O22" s="10" t="s">
        <v>49</v>
      </c>
      <c r="P22" s="10" t="s">
        <v>49</v>
      </c>
      <c r="Q22" s="10" t="s">
        <v>49</v>
      </c>
      <c r="R22" s="10" t="s">
        <v>49</v>
      </c>
      <c r="S22" s="10" t="s">
        <v>49</v>
      </c>
      <c r="T22" s="10" t="s">
        <v>49</v>
      </c>
      <c r="U22" s="10" t="s">
        <v>49</v>
      </c>
      <c r="V22" s="10" t="s">
        <v>49</v>
      </c>
      <c r="W22" s="10" t="s">
        <v>49</v>
      </c>
      <c r="X22" s="10" t="s">
        <v>49</v>
      </c>
      <c r="Y22" s="10" t="s">
        <v>49</v>
      </c>
      <c r="Z22" s="10" t="s">
        <v>49</v>
      </c>
      <c r="AA22" s="10" t="s">
        <v>49</v>
      </c>
      <c r="AB22" s="10" t="s">
        <v>49</v>
      </c>
    </row>
    <row r="23" s="9" customFormat="1" customHeight="1" spans="1:28">
      <c r="A23" s="1" t="s">
        <v>160</v>
      </c>
      <c r="B23" s="3" t="s">
        <v>28</v>
      </c>
      <c r="C23" s="10"/>
      <c r="D23" s="10" t="s">
        <v>76</v>
      </c>
      <c r="E23" s="9" t="s">
        <v>136</v>
      </c>
      <c r="F23" s="19">
        <v>1619</v>
      </c>
      <c r="G23" s="6" t="s">
        <v>161</v>
      </c>
      <c r="H23" s="9" t="s">
        <v>78</v>
      </c>
      <c r="I23" s="10" t="s">
        <v>162</v>
      </c>
      <c r="J23" s="10" t="s">
        <v>163</v>
      </c>
      <c r="K23" s="10" t="s">
        <v>164</v>
      </c>
      <c r="L23" s="10" t="s">
        <v>49</v>
      </c>
      <c r="M23" s="10" t="s">
        <v>49</v>
      </c>
      <c r="N23" s="10" t="s">
        <v>49</v>
      </c>
      <c r="O23" s="10" t="s">
        <v>49</v>
      </c>
      <c r="P23" s="10" t="s">
        <v>49</v>
      </c>
      <c r="Q23" s="10" t="s">
        <v>49</v>
      </c>
      <c r="R23" s="10" t="s">
        <v>49</v>
      </c>
      <c r="S23" s="10" t="s">
        <v>49</v>
      </c>
      <c r="T23" s="10" t="s">
        <v>49</v>
      </c>
      <c r="U23" s="10" t="s">
        <v>49</v>
      </c>
      <c r="V23" s="10" t="s">
        <v>49</v>
      </c>
      <c r="W23" s="10" t="s">
        <v>49</v>
      </c>
      <c r="X23" s="10" t="s">
        <v>49</v>
      </c>
      <c r="Y23" s="10" t="s">
        <v>49</v>
      </c>
      <c r="Z23" s="10" t="s">
        <v>49</v>
      </c>
      <c r="AA23" s="10" t="s">
        <v>49</v>
      </c>
      <c r="AB23" s="10" t="s">
        <v>49</v>
      </c>
    </row>
    <row r="24" s="9" customFormat="1" customHeight="1" spans="1:28">
      <c r="A24" s="1" t="s">
        <v>165</v>
      </c>
      <c r="B24" s="3" t="s">
        <v>28</v>
      </c>
      <c r="C24" s="10"/>
      <c r="D24" s="10" t="s">
        <v>166</v>
      </c>
      <c r="E24" s="9" t="s">
        <v>136</v>
      </c>
      <c r="F24" s="19">
        <v>1625</v>
      </c>
      <c r="G24" s="6" t="s">
        <v>167</v>
      </c>
      <c r="H24" s="9" t="s">
        <v>96</v>
      </c>
      <c r="I24" s="10" t="s">
        <v>168</v>
      </c>
      <c r="J24" s="10" t="s">
        <v>169</v>
      </c>
      <c r="K24" s="10" t="s">
        <v>49</v>
      </c>
      <c r="L24" s="10" t="s">
        <v>49</v>
      </c>
      <c r="M24" s="10" t="s">
        <v>49</v>
      </c>
      <c r="N24" s="10" t="s">
        <v>49</v>
      </c>
      <c r="O24" s="10" t="s">
        <v>49</v>
      </c>
      <c r="P24" s="10" t="s">
        <v>49</v>
      </c>
      <c r="Q24" s="10" t="s">
        <v>49</v>
      </c>
      <c r="R24" s="10" t="s">
        <v>49</v>
      </c>
      <c r="S24" s="10" t="s">
        <v>49</v>
      </c>
      <c r="T24" s="10" t="s">
        <v>49</v>
      </c>
      <c r="U24" s="10" t="s">
        <v>49</v>
      </c>
      <c r="V24" s="10" t="s">
        <v>49</v>
      </c>
      <c r="W24" s="10" t="s">
        <v>49</v>
      </c>
      <c r="X24" s="10" t="s">
        <v>49</v>
      </c>
      <c r="Y24" s="10" t="s">
        <v>49</v>
      </c>
      <c r="Z24" s="10" t="s">
        <v>49</v>
      </c>
      <c r="AA24" s="10" t="s">
        <v>49</v>
      </c>
      <c r="AB24" s="10" t="s">
        <v>49</v>
      </c>
    </row>
    <row r="25" s="9" customFormat="1" customHeight="1" spans="1:28">
      <c r="A25" s="1" t="s">
        <v>170</v>
      </c>
      <c r="B25" s="3" t="s">
        <v>28</v>
      </c>
      <c r="C25" s="10"/>
      <c r="D25" s="10" t="s">
        <v>76</v>
      </c>
      <c r="E25" s="9" t="s">
        <v>136</v>
      </c>
      <c r="F25" s="19">
        <v>1623</v>
      </c>
      <c r="G25" s="6" t="s">
        <v>171</v>
      </c>
      <c r="H25" s="9" t="s">
        <v>96</v>
      </c>
      <c r="I25" s="9" t="s">
        <v>172</v>
      </c>
      <c r="J25" s="10" t="s">
        <v>173</v>
      </c>
      <c r="K25" s="10" t="s">
        <v>49</v>
      </c>
      <c r="L25" s="10" t="s">
        <v>49</v>
      </c>
      <c r="M25" s="10" t="s">
        <v>49</v>
      </c>
      <c r="N25" s="10" t="s">
        <v>49</v>
      </c>
      <c r="O25" s="10" t="s">
        <v>49</v>
      </c>
      <c r="P25" s="10" t="s">
        <v>49</v>
      </c>
      <c r="Q25" s="10" t="s">
        <v>49</v>
      </c>
      <c r="R25" s="10" t="s">
        <v>49</v>
      </c>
      <c r="S25" s="10" t="s">
        <v>49</v>
      </c>
      <c r="T25" s="10" t="s">
        <v>49</v>
      </c>
      <c r="U25" s="10" t="s">
        <v>49</v>
      </c>
      <c r="V25" s="10" t="s">
        <v>49</v>
      </c>
      <c r="W25" s="10" t="s">
        <v>49</v>
      </c>
      <c r="X25" s="10" t="s">
        <v>49</v>
      </c>
      <c r="Y25" s="10" t="s">
        <v>49</v>
      </c>
      <c r="Z25" s="10" t="s">
        <v>49</v>
      </c>
      <c r="AA25" s="10" t="s">
        <v>49</v>
      </c>
      <c r="AB25" s="10" t="s">
        <v>49</v>
      </c>
    </row>
    <row r="26" s="9" customFormat="1" customHeight="1" spans="1:28">
      <c r="A26" s="1" t="s">
        <v>174</v>
      </c>
      <c r="B26" s="3" t="s">
        <v>28</v>
      </c>
      <c r="C26" s="10"/>
      <c r="D26" s="10" t="s">
        <v>76</v>
      </c>
      <c r="E26" s="9" t="s">
        <v>136</v>
      </c>
      <c r="F26" s="19">
        <v>1624</v>
      </c>
      <c r="G26" s="6" t="s">
        <v>175</v>
      </c>
      <c r="H26" s="9" t="s">
        <v>96</v>
      </c>
      <c r="I26" s="10" t="s">
        <v>176</v>
      </c>
      <c r="J26" s="10" t="s">
        <v>173</v>
      </c>
      <c r="K26" s="10" t="s">
        <v>49</v>
      </c>
      <c r="L26" s="10" t="s">
        <v>49</v>
      </c>
      <c r="M26" s="10" t="s">
        <v>49</v>
      </c>
      <c r="N26" s="10" t="s">
        <v>49</v>
      </c>
      <c r="O26" s="10" t="s">
        <v>49</v>
      </c>
      <c r="P26" s="10" t="s">
        <v>49</v>
      </c>
      <c r="Q26" s="10" t="s">
        <v>49</v>
      </c>
      <c r="R26" s="10" t="s">
        <v>49</v>
      </c>
      <c r="S26" s="10" t="s">
        <v>49</v>
      </c>
      <c r="T26" s="10" t="s">
        <v>49</v>
      </c>
      <c r="U26" s="10" t="s">
        <v>49</v>
      </c>
      <c r="V26" s="10" t="s">
        <v>49</v>
      </c>
      <c r="W26" s="10" t="s">
        <v>49</v>
      </c>
      <c r="X26" s="10" t="s">
        <v>49</v>
      </c>
      <c r="Y26" s="10" t="s">
        <v>49</v>
      </c>
      <c r="Z26" s="10" t="s">
        <v>49</v>
      </c>
      <c r="AA26" s="10" t="s">
        <v>49</v>
      </c>
      <c r="AB26" s="10" t="s">
        <v>49</v>
      </c>
    </row>
    <row r="27" s="10" customFormat="1" customHeight="1" spans="1:28">
      <c r="A27" s="1" t="s">
        <v>177</v>
      </c>
      <c r="B27" s="3" t="s">
        <v>28</v>
      </c>
      <c r="C27" s="10"/>
      <c r="D27" s="10" t="s">
        <v>59</v>
      </c>
      <c r="E27" s="10" t="s">
        <v>60</v>
      </c>
      <c r="F27" s="10">
        <v>1616</v>
      </c>
      <c r="G27" s="10" t="s">
        <v>61</v>
      </c>
      <c r="H27" s="10" t="s">
        <v>83</v>
      </c>
      <c r="I27" s="10" t="s">
        <v>178</v>
      </c>
      <c r="J27" s="10" t="s">
        <v>179</v>
      </c>
      <c r="K27" s="10" t="s">
        <v>180</v>
      </c>
      <c r="L27" s="10" t="s">
        <v>181</v>
      </c>
      <c r="M27" s="10" t="s">
        <v>49</v>
      </c>
      <c r="N27" s="10" t="s">
        <v>49</v>
      </c>
      <c r="O27" s="10" t="s">
        <v>49</v>
      </c>
      <c r="P27" s="10" t="s">
        <v>49</v>
      </c>
      <c r="Q27" s="10" t="s">
        <v>49</v>
      </c>
      <c r="R27" s="10" t="s">
        <v>49</v>
      </c>
      <c r="S27" s="10" t="s">
        <v>49</v>
      </c>
      <c r="T27" s="10" t="s">
        <v>49</v>
      </c>
      <c r="U27" s="10" t="s">
        <v>49</v>
      </c>
      <c r="V27" s="10" t="s">
        <v>49</v>
      </c>
      <c r="W27" s="10" t="s">
        <v>49</v>
      </c>
      <c r="X27" s="10" t="s">
        <v>49</v>
      </c>
      <c r="Y27" s="10" t="s">
        <v>49</v>
      </c>
      <c r="Z27" s="10" t="s">
        <v>49</v>
      </c>
      <c r="AA27" s="10" t="s">
        <v>49</v>
      </c>
      <c r="AB27" s="10" t="s">
        <v>49</v>
      </c>
    </row>
    <row r="28" s="10" customFormat="1" customHeight="1" spans="1:28">
      <c r="A28" s="1" t="s">
        <v>182</v>
      </c>
      <c r="B28" s="3" t="s">
        <v>28</v>
      </c>
      <c r="C28" s="10"/>
      <c r="D28" s="10" t="s">
        <v>166</v>
      </c>
      <c r="E28" s="10" t="s">
        <v>60</v>
      </c>
      <c r="F28" s="10">
        <v>1616</v>
      </c>
      <c r="G28" s="10" t="s">
        <v>61</v>
      </c>
      <c r="H28" s="10">
        <v>2</v>
      </c>
      <c r="I28" s="10" t="s">
        <v>183</v>
      </c>
      <c r="J28" s="10" t="s">
        <v>184</v>
      </c>
      <c r="K28" s="10" t="s">
        <v>49</v>
      </c>
      <c r="L28" s="10" t="s">
        <v>49</v>
      </c>
      <c r="M28" s="10" t="s">
        <v>49</v>
      </c>
      <c r="N28" s="10" t="s">
        <v>49</v>
      </c>
      <c r="O28" s="10" t="s">
        <v>49</v>
      </c>
      <c r="P28" s="10" t="s">
        <v>49</v>
      </c>
      <c r="Q28" s="10" t="s">
        <v>49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49</v>
      </c>
      <c r="W28" s="10" t="s">
        <v>49</v>
      </c>
      <c r="X28" s="10" t="s">
        <v>49</v>
      </c>
      <c r="Y28" s="10" t="s">
        <v>49</v>
      </c>
      <c r="Z28" s="10" t="s">
        <v>49</v>
      </c>
      <c r="AA28" s="10" t="s">
        <v>49</v>
      </c>
      <c r="AB28" s="10" t="s">
        <v>49</v>
      </c>
    </row>
    <row r="29" s="10" customFormat="1" customHeight="1" spans="1:28">
      <c r="A29" s="1" t="s">
        <v>185</v>
      </c>
      <c r="B29" s="3" t="s">
        <v>28</v>
      </c>
      <c r="C29" s="10"/>
      <c r="D29" s="10" t="s">
        <v>166</v>
      </c>
      <c r="E29" s="10" t="s">
        <v>60</v>
      </c>
      <c r="F29" s="10">
        <v>1616</v>
      </c>
      <c r="G29" s="10" t="s">
        <v>61</v>
      </c>
      <c r="H29" s="10">
        <v>3</v>
      </c>
      <c r="I29" s="10" t="s">
        <v>186</v>
      </c>
      <c r="J29" s="10" t="s">
        <v>187</v>
      </c>
      <c r="K29" s="10" t="s">
        <v>188</v>
      </c>
      <c r="L29" s="10" t="s">
        <v>49</v>
      </c>
      <c r="M29" s="10" t="s">
        <v>49</v>
      </c>
      <c r="N29" s="10" t="s">
        <v>49</v>
      </c>
      <c r="O29" s="10" t="s">
        <v>49</v>
      </c>
      <c r="P29" s="10" t="s">
        <v>49</v>
      </c>
      <c r="Q29" s="10" t="s">
        <v>49</v>
      </c>
      <c r="R29" s="10" t="s">
        <v>49</v>
      </c>
      <c r="S29" s="10" t="s">
        <v>49</v>
      </c>
      <c r="T29" s="10" t="s">
        <v>49</v>
      </c>
      <c r="U29" s="10" t="s">
        <v>49</v>
      </c>
      <c r="V29" s="10" t="s">
        <v>49</v>
      </c>
      <c r="W29" s="10" t="s">
        <v>49</v>
      </c>
      <c r="X29" s="10" t="s">
        <v>49</v>
      </c>
      <c r="Y29" s="10" t="s">
        <v>49</v>
      </c>
      <c r="Z29" s="10" t="s">
        <v>49</v>
      </c>
      <c r="AA29" s="10" t="s">
        <v>49</v>
      </c>
      <c r="AB29" s="10" t="s">
        <v>49</v>
      </c>
    </row>
    <row r="30" s="8" customFormat="1" customHeight="1" spans="1:28">
      <c r="A30" s="20" t="s">
        <v>189</v>
      </c>
      <c r="B30" s="3" t="s">
        <v>28</v>
      </c>
      <c r="C30" s="11"/>
      <c r="D30" s="11" t="s">
        <v>59</v>
      </c>
      <c r="E30" s="8" t="s">
        <v>60</v>
      </c>
      <c r="F30" s="8">
        <v>1616</v>
      </c>
      <c r="G30" s="8" t="s">
        <v>61</v>
      </c>
      <c r="H30" s="8" t="s">
        <v>62</v>
      </c>
      <c r="I30" s="11" t="s">
        <v>63</v>
      </c>
      <c r="J30" s="11" t="s">
        <v>64</v>
      </c>
      <c r="K30" s="11" t="s">
        <v>65</v>
      </c>
      <c r="L30" s="11" t="s">
        <v>66</v>
      </c>
      <c r="M30" s="11" t="s">
        <v>67</v>
      </c>
      <c r="N30" s="11" t="s">
        <v>49</v>
      </c>
      <c r="O30" s="11" t="s">
        <v>49</v>
      </c>
      <c r="P30" s="11" t="s">
        <v>49</v>
      </c>
      <c r="Q30" s="11" t="s">
        <v>49</v>
      </c>
      <c r="R30" s="11" t="s">
        <v>49</v>
      </c>
      <c r="S30" s="11" t="s">
        <v>49</v>
      </c>
      <c r="T30" s="11" t="s">
        <v>49</v>
      </c>
      <c r="U30" s="11" t="s">
        <v>49</v>
      </c>
      <c r="V30" s="11" t="s">
        <v>49</v>
      </c>
      <c r="W30" s="11" t="s">
        <v>49</v>
      </c>
      <c r="X30" s="11" t="s">
        <v>49</v>
      </c>
      <c r="Y30" s="11" t="s">
        <v>49</v>
      </c>
      <c r="Z30" s="11" t="s">
        <v>49</v>
      </c>
      <c r="AA30" s="11" t="s">
        <v>49</v>
      </c>
      <c r="AB30" s="11" t="s">
        <v>49</v>
      </c>
    </row>
    <row r="31" s="11" customFormat="1" customHeight="1" spans="1:28">
      <c r="A31" s="20" t="s">
        <v>190</v>
      </c>
      <c r="B31" s="3" t="s">
        <v>28</v>
      </c>
      <c r="C31" s="11"/>
      <c r="D31" s="11" t="s">
        <v>59</v>
      </c>
      <c r="E31" s="11" t="s">
        <v>60</v>
      </c>
      <c r="F31" s="21">
        <v>1610</v>
      </c>
      <c r="G31" s="11" t="s">
        <v>191</v>
      </c>
      <c r="H31" s="11">
        <v>3</v>
      </c>
      <c r="I31" s="11" t="s">
        <v>192</v>
      </c>
      <c r="J31" s="11" t="s">
        <v>193</v>
      </c>
      <c r="K31" s="11" t="s">
        <v>194</v>
      </c>
      <c r="L31" s="11" t="s">
        <v>49</v>
      </c>
      <c r="M31" s="11" t="s">
        <v>49</v>
      </c>
      <c r="N31" s="11" t="s">
        <v>49</v>
      </c>
      <c r="O31" s="11" t="s">
        <v>49</v>
      </c>
      <c r="P31" s="11" t="s">
        <v>49</v>
      </c>
      <c r="Q31" s="11" t="s">
        <v>49</v>
      </c>
      <c r="R31" s="11" t="s">
        <v>49</v>
      </c>
      <c r="S31" s="11" t="s">
        <v>49</v>
      </c>
      <c r="T31" s="11" t="s">
        <v>49</v>
      </c>
      <c r="U31" s="11" t="s">
        <v>49</v>
      </c>
      <c r="V31" s="11" t="s">
        <v>49</v>
      </c>
      <c r="W31" s="11" t="s">
        <v>49</v>
      </c>
      <c r="X31" s="11" t="s">
        <v>49</v>
      </c>
      <c r="Y31" s="11" t="s">
        <v>49</v>
      </c>
      <c r="Z31" s="11" t="s">
        <v>49</v>
      </c>
      <c r="AA31" s="11" t="s">
        <v>49</v>
      </c>
      <c r="AB31" s="11" t="s">
        <v>49</v>
      </c>
    </row>
    <row r="32" s="6" customFormat="1" customHeight="1" spans="1:28">
      <c r="A32" s="22" t="s">
        <v>195</v>
      </c>
      <c r="B32" s="3" t="s">
        <v>28</v>
      </c>
      <c r="C32" s="17"/>
      <c r="D32" s="17" t="s">
        <v>115</v>
      </c>
      <c r="E32" s="6" t="s">
        <v>60</v>
      </c>
      <c r="F32" s="17">
        <v>1615</v>
      </c>
      <c r="G32" s="17" t="s">
        <v>196</v>
      </c>
      <c r="H32" s="6" t="s">
        <v>197</v>
      </c>
      <c r="I32" s="17" t="s">
        <v>198</v>
      </c>
      <c r="J32" s="17" t="s">
        <v>199</v>
      </c>
      <c r="K32" s="17" t="s">
        <v>200</v>
      </c>
      <c r="L32" s="17" t="s">
        <v>201</v>
      </c>
      <c r="M32" s="17" t="s">
        <v>202</v>
      </c>
      <c r="N32" s="17" t="s">
        <v>203</v>
      </c>
      <c r="O32" s="17" t="s">
        <v>49</v>
      </c>
      <c r="P32" s="17" t="s">
        <v>49</v>
      </c>
      <c r="Q32" s="17" t="s">
        <v>49</v>
      </c>
      <c r="R32" s="17" t="s">
        <v>49</v>
      </c>
      <c r="S32" s="17" t="s">
        <v>49</v>
      </c>
      <c r="T32" s="17" t="s">
        <v>49</v>
      </c>
      <c r="U32" s="17" t="s">
        <v>49</v>
      </c>
      <c r="V32" s="17" t="s">
        <v>49</v>
      </c>
      <c r="W32" s="17" t="s">
        <v>49</v>
      </c>
      <c r="X32" s="17" t="s">
        <v>49</v>
      </c>
      <c r="Y32" s="17" t="s">
        <v>49</v>
      </c>
      <c r="Z32" s="17" t="s">
        <v>49</v>
      </c>
      <c r="AA32" s="17" t="s">
        <v>49</v>
      </c>
      <c r="AB32" s="17" t="s">
        <v>49</v>
      </c>
    </row>
    <row r="33" s="6" customFormat="1" customHeight="1" spans="1:28">
      <c r="A33" s="22" t="s">
        <v>204</v>
      </c>
      <c r="B33" s="3" t="s">
        <v>28</v>
      </c>
      <c r="C33" s="17"/>
      <c r="D33" s="17" t="s">
        <v>76</v>
      </c>
      <c r="E33" s="6" t="s">
        <v>136</v>
      </c>
      <c r="F33" s="19">
        <v>1618</v>
      </c>
      <c r="G33" s="6" t="s">
        <v>137</v>
      </c>
      <c r="H33" s="6" t="s">
        <v>78</v>
      </c>
      <c r="I33" s="17" t="s">
        <v>138</v>
      </c>
      <c r="J33" s="17" t="s">
        <v>139</v>
      </c>
      <c r="K33" s="17" t="s">
        <v>140</v>
      </c>
      <c r="L33" s="17" t="s">
        <v>49</v>
      </c>
      <c r="M33" s="17" t="s">
        <v>49</v>
      </c>
      <c r="N33" s="17" t="s">
        <v>49</v>
      </c>
      <c r="O33" s="17" t="s">
        <v>49</v>
      </c>
      <c r="P33" s="17" t="s">
        <v>49</v>
      </c>
      <c r="Q33" s="17" t="s">
        <v>49</v>
      </c>
      <c r="R33" s="17" t="s">
        <v>49</v>
      </c>
      <c r="S33" s="17" t="s">
        <v>49</v>
      </c>
      <c r="T33" s="17" t="s">
        <v>49</v>
      </c>
      <c r="U33" s="17" t="s">
        <v>49</v>
      </c>
      <c r="V33" s="17" t="s">
        <v>49</v>
      </c>
      <c r="W33" s="17" t="s">
        <v>49</v>
      </c>
      <c r="X33" s="17" t="s">
        <v>49</v>
      </c>
      <c r="Y33" s="17" t="s">
        <v>49</v>
      </c>
      <c r="Z33" s="17" t="s">
        <v>49</v>
      </c>
      <c r="AA33" s="17" t="s">
        <v>49</v>
      </c>
      <c r="AB33" s="17" t="s">
        <v>49</v>
      </c>
    </row>
    <row r="34" s="6" customFormat="1" customHeight="1" spans="1:28">
      <c r="A34" s="22" t="s">
        <v>205</v>
      </c>
      <c r="B34" s="3" t="s">
        <v>28</v>
      </c>
      <c r="C34" s="17"/>
      <c r="D34" s="17" t="s">
        <v>141</v>
      </c>
      <c r="E34" s="6" t="s">
        <v>136</v>
      </c>
      <c r="F34" s="19">
        <v>1621</v>
      </c>
      <c r="G34" s="6" t="s">
        <v>142</v>
      </c>
      <c r="H34" s="6" t="s">
        <v>78</v>
      </c>
      <c r="I34" s="17" t="s">
        <v>143</v>
      </c>
      <c r="J34" s="17" t="s">
        <v>144</v>
      </c>
      <c r="K34" s="17" t="s">
        <v>145</v>
      </c>
      <c r="L34" s="17" t="s">
        <v>49</v>
      </c>
      <c r="M34" s="17" t="s">
        <v>49</v>
      </c>
      <c r="N34" s="17" t="s">
        <v>49</v>
      </c>
      <c r="O34" s="17" t="s">
        <v>49</v>
      </c>
      <c r="P34" s="17" t="s">
        <v>49</v>
      </c>
      <c r="Q34" s="17" t="s">
        <v>49</v>
      </c>
      <c r="R34" s="17" t="s">
        <v>49</v>
      </c>
      <c r="S34" s="17" t="s">
        <v>49</v>
      </c>
      <c r="T34" s="17" t="s">
        <v>49</v>
      </c>
      <c r="U34" s="17" t="s">
        <v>49</v>
      </c>
      <c r="V34" s="17" t="s">
        <v>49</v>
      </c>
      <c r="W34" s="17" t="s">
        <v>49</v>
      </c>
      <c r="X34" s="17" t="s">
        <v>49</v>
      </c>
      <c r="Y34" s="17" t="s">
        <v>49</v>
      </c>
      <c r="Z34" s="17" t="s">
        <v>49</v>
      </c>
      <c r="AA34" s="17" t="s">
        <v>49</v>
      </c>
      <c r="AB34" s="17" t="s">
        <v>49</v>
      </c>
    </row>
    <row r="35" s="6" customFormat="1" customHeight="1" spans="1:28">
      <c r="A35" s="22" t="s">
        <v>206</v>
      </c>
      <c r="B35" s="3" t="s">
        <v>28</v>
      </c>
      <c r="C35" s="17"/>
      <c r="D35" s="17" t="s">
        <v>141</v>
      </c>
      <c r="E35" s="6" t="s">
        <v>136</v>
      </c>
      <c r="F35" s="19">
        <v>1622</v>
      </c>
      <c r="G35" s="6" t="s">
        <v>147</v>
      </c>
      <c r="H35" s="6" t="s">
        <v>96</v>
      </c>
      <c r="I35" s="17" t="s">
        <v>148</v>
      </c>
      <c r="J35" s="17" t="s">
        <v>149</v>
      </c>
      <c r="K35" s="17" t="s">
        <v>49</v>
      </c>
      <c r="L35" s="17" t="s">
        <v>49</v>
      </c>
      <c r="M35" s="17" t="s">
        <v>49</v>
      </c>
      <c r="N35" s="17" t="s">
        <v>49</v>
      </c>
      <c r="O35" s="17" t="s">
        <v>49</v>
      </c>
      <c r="P35" s="17" t="s">
        <v>49</v>
      </c>
      <c r="Q35" s="17" t="s">
        <v>49</v>
      </c>
      <c r="R35" s="17" t="s">
        <v>49</v>
      </c>
      <c r="S35" s="17" t="s">
        <v>49</v>
      </c>
      <c r="T35" s="17" t="s">
        <v>49</v>
      </c>
      <c r="U35" s="17" t="s">
        <v>49</v>
      </c>
      <c r="V35" s="17" t="s">
        <v>49</v>
      </c>
      <c r="W35" s="17" t="s">
        <v>49</v>
      </c>
      <c r="X35" s="17" t="s">
        <v>49</v>
      </c>
      <c r="Y35" s="17" t="s">
        <v>49</v>
      </c>
      <c r="Z35" s="17" t="s">
        <v>49</v>
      </c>
      <c r="AA35" s="17" t="s">
        <v>49</v>
      </c>
      <c r="AB35" s="17" t="s">
        <v>49</v>
      </c>
    </row>
    <row r="36" s="6" customFormat="1" customHeight="1" spans="1:28">
      <c r="A36" s="22" t="s">
        <v>207</v>
      </c>
      <c r="B36" s="3" t="s">
        <v>28</v>
      </c>
      <c r="C36" s="17"/>
      <c r="D36" s="17" t="s">
        <v>141</v>
      </c>
      <c r="E36" s="6" t="s">
        <v>136</v>
      </c>
      <c r="F36" s="19">
        <v>1620</v>
      </c>
      <c r="G36" s="6" t="s">
        <v>151</v>
      </c>
      <c r="H36" s="6">
        <v>2</v>
      </c>
      <c r="I36" s="17" t="s">
        <v>152</v>
      </c>
      <c r="J36" s="17" t="s">
        <v>153</v>
      </c>
      <c r="K36" s="17" t="s">
        <v>49</v>
      </c>
      <c r="L36" s="17" t="s">
        <v>49</v>
      </c>
      <c r="M36" s="17" t="s">
        <v>49</v>
      </c>
      <c r="N36" s="17" t="s">
        <v>49</v>
      </c>
      <c r="O36" s="17" t="s">
        <v>49</v>
      </c>
      <c r="P36" s="17" t="s">
        <v>49</v>
      </c>
      <c r="Q36" s="17" t="s">
        <v>49</v>
      </c>
      <c r="R36" s="17" t="s">
        <v>49</v>
      </c>
      <c r="S36" s="17" t="s">
        <v>49</v>
      </c>
      <c r="T36" s="17" t="s">
        <v>49</v>
      </c>
      <c r="U36" s="17" t="s">
        <v>49</v>
      </c>
      <c r="V36" s="17" t="s">
        <v>49</v>
      </c>
      <c r="W36" s="17" t="s">
        <v>49</v>
      </c>
      <c r="X36" s="17" t="s">
        <v>49</v>
      </c>
      <c r="Y36" s="17" t="s">
        <v>49</v>
      </c>
      <c r="Z36" s="17" t="s">
        <v>49</v>
      </c>
      <c r="AA36" s="17" t="s">
        <v>49</v>
      </c>
      <c r="AB36" s="17" t="s">
        <v>49</v>
      </c>
    </row>
    <row r="37" s="6" customFormat="1" customHeight="1" spans="1:28">
      <c r="A37" s="22" t="s">
        <v>208</v>
      </c>
      <c r="B37" s="3" t="s">
        <v>28</v>
      </c>
      <c r="C37" s="17"/>
      <c r="D37" s="17" t="s">
        <v>155</v>
      </c>
      <c r="E37" s="6" t="s">
        <v>136</v>
      </c>
      <c r="F37" s="19">
        <v>1617</v>
      </c>
      <c r="G37" s="6" t="s">
        <v>156</v>
      </c>
      <c r="H37" s="6" t="s">
        <v>78</v>
      </c>
      <c r="I37" s="6" t="s">
        <v>157</v>
      </c>
      <c r="J37" s="6" t="s">
        <v>158</v>
      </c>
      <c r="K37" s="6" t="s">
        <v>159</v>
      </c>
      <c r="L37" s="6" t="s">
        <v>49</v>
      </c>
      <c r="M37" s="6" t="s">
        <v>49</v>
      </c>
      <c r="N37" s="17" t="s">
        <v>49</v>
      </c>
      <c r="O37" s="17" t="s">
        <v>49</v>
      </c>
      <c r="P37" s="17" t="s">
        <v>49</v>
      </c>
      <c r="Q37" s="17" t="s">
        <v>49</v>
      </c>
      <c r="R37" s="17" t="s">
        <v>49</v>
      </c>
      <c r="S37" s="17" t="s">
        <v>49</v>
      </c>
      <c r="T37" s="17" t="s">
        <v>49</v>
      </c>
      <c r="U37" s="17" t="s">
        <v>49</v>
      </c>
      <c r="V37" s="17" t="s">
        <v>49</v>
      </c>
      <c r="W37" s="17" t="s">
        <v>49</v>
      </c>
      <c r="X37" s="17" t="s">
        <v>49</v>
      </c>
      <c r="Y37" s="17" t="s">
        <v>49</v>
      </c>
      <c r="Z37" s="17" t="s">
        <v>49</v>
      </c>
      <c r="AA37" s="17" t="s">
        <v>49</v>
      </c>
      <c r="AB37" s="17" t="s">
        <v>49</v>
      </c>
    </row>
    <row r="38" s="6" customFormat="1" customHeight="1" spans="1:28">
      <c r="A38" s="22" t="s">
        <v>209</v>
      </c>
      <c r="B38" s="3" t="s">
        <v>28</v>
      </c>
      <c r="C38" s="17"/>
      <c r="D38" s="17" t="s">
        <v>76</v>
      </c>
      <c r="E38" s="6" t="s">
        <v>136</v>
      </c>
      <c r="F38" s="19">
        <v>1619</v>
      </c>
      <c r="G38" s="6" t="s">
        <v>161</v>
      </c>
      <c r="H38" s="6" t="s">
        <v>78</v>
      </c>
      <c r="I38" s="17" t="s">
        <v>162</v>
      </c>
      <c r="J38" s="17" t="s">
        <v>163</v>
      </c>
      <c r="K38" s="17" t="s">
        <v>164</v>
      </c>
      <c r="L38" s="17" t="s">
        <v>49</v>
      </c>
      <c r="M38" s="17" t="s">
        <v>49</v>
      </c>
      <c r="N38" s="17" t="s">
        <v>49</v>
      </c>
      <c r="O38" s="17" t="s">
        <v>49</v>
      </c>
      <c r="P38" s="17" t="s">
        <v>49</v>
      </c>
      <c r="Q38" s="17" t="s">
        <v>49</v>
      </c>
      <c r="R38" s="17" t="s">
        <v>49</v>
      </c>
      <c r="S38" s="17" t="s">
        <v>49</v>
      </c>
      <c r="T38" s="17" t="s">
        <v>49</v>
      </c>
      <c r="U38" s="17" t="s">
        <v>49</v>
      </c>
      <c r="V38" s="17" t="s">
        <v>49</v>
      </c>
      <c r="W38" s="17" t="s">
        <v>49</v>
      </c>
      <c r="X38" s="17" t="s">
        <v>49</v>
      </c>
      <c r="Y38" s="17" t="s">
        <v>49</v>
      </c>
      <c r="Z38" s="17" t="s">
        <v>49</v>
      </c>
      <c r="AA38" s="17" t="s">
        <v>49</v>
      </c>
      <c r="AB38" s="17" t="s">
        <v>49</v>
      </c>
    </row>
    <row r="39" s="6" customFormat="1" customHeight="1" spans="1:28">
      <c r="A39" s="22" t="s">
        <v>210</v>
      </c>
      <c r="B39" s="3" t="s">
        <v>28</v>
      </c>
      <c r="C39" s="17"/>
      <c r="D39" s="17" t="s">
        <v>166</v>
      </c>
      <c r="E39" s="6" t="s">
        <v>136</v>
      </c>
      <c r="F39" s="19">
        <v>1625</v>
      </c>
      <c r="G39" s="6" t="s">
        <v>167</v>
      </c>
      <c r="H39" s="6" t="s">
        <v>96</v>
      </c>
      <c r="I39" s="17" t="s">
        <v>168</v>
      </c>
      <c r="J39" s="17" t="s">
        <v>169</v>
      </c>
      <c r="K39" s="17" t="s">
        <v>49</v>
      </c>
      <c r="L39" s="17" t="s">
        <v>49</v>
      </c>
      <c r="M39" s="17" t="s">
        <v>49</v>
      </c>
      <c r="N39" s="17" t="s">
        <v>49</v>
      </c>
      <c r="O39" s="17" t="s">
        <v>49</v>
      </c>
      <c r="P39" s="17" t="s">
        <v>49</v>
      </c>
      <c r="Q39" s="17" t="s">
        <v>49</v>
      </c>
      <c r="R39" s="17" t="s">
        <v>49</v>
      </c>
      <c r="S39" s="17" t="s">
        <v>49</v>
      </c>
      <c r="T39" s="17" t="s">
        <v>49</v>
      </c>
      <c r="U39" s="17" t="s">
        <v>49</v>
      </c>
      <c r="V39" s="17" t="s">
        <v>49</v>
      </c>
      <c r="W39" s="17" t="s">
        <v>49</v>
      </c>
      <c r="X39" s="17" t="s">
        <v>49</v>
      </c>
      <c r="Y39" s="17" t="s">
        <v>49</v>
      </c>
      <c r="Z39" s="17" t="s">
        <v>49</v>
      </c>
      <c r="AA39" s="17" t="s">
        <v>49</v>
      </c>
      <c r="AB39" s="17" t="s">
        <v>49</v>
      </c>
    </row>
    <row r="40" s="6" customFormat="1" customHeight="1" spans="1:28">
      <c r="A40" s="22" t="s">
        <v>211</v>
      </c>
      <c r="B40" s="3" t="s">
        <v>28</v>
      </c>
      <c r="C40" s="17"/>
      <c r="D40" s="17" t="s">
        <v>76</v>
      </c>
      <c r="E40" s="6" t="s">
        <v>136</v>
      </c>
      <c r="F40" s="19">
        <v>1623</v>
      </c>
      <c r="G40" s="6" t="s">
        <v>171</v>
      </c>
      <c r="H40" s="6" t="s">
        <v>96</v>
      </c>
      <c r="I40" s="6" t="s">
        <v>172</v>
      </c>
      <c r="J40" s="17" t="s">
        <v>173</v>
      </c>
      <c r="K40" s="17" t="s">
        <v>49</v>
      </c>
      <c r="L40" s="17" t="s">
        <v>49</v>
      </c>
      <c r="M40" s="17" t="s">
        <v>49</v>
      </c>
      <c r="N40" s="17" t="s">
        <v>49</v>
      </c>
      <c r="O40" s="17" t="s">
        <v>49</v>
      </c>
      <c r="P40" s="17" t="s">
        <v>49</v>
      </c>
      <c r="Q40" s="17" t="s">
        <v>49</v>
      </c>
      <c r="R40" s="17" t="s">
        <v>49</v>
      </c>
      <c r="S40" s="17" t="s">
        <v>49</v>
      </c>
      <c r="T40" s="17" t="s">
        <v>49</v>
      </c>
      <c r="U40" s="17" t="s">
        <v>49</v>
      </c>
      <c r="V40" s="17" t="s">
        <v>49</v>
      </c>
      <c r="W40" s="17" t="s">
        <v>49</v>
      </c>
      <c r="X40" s="17" t="s">
        <v>49</v>
      </c>
      <c r="Y40" s="17" t="s">
        <v>49</v>
      </c>
      <c r="Z40" s="17" t="s">
        <v>49</v>
      </c>
      <c r="AA40" s="17" t="s">
        <v>49</v>
      </c>
      <c r="AB40" s="17" t="s">
        <v>49</v>
      </c>
    </row>
    <row r="41" s="6" customFormat="1" customHeight="1" spans="1:28">
      <c r="A41" s="22" t="s">
        <v>212</v>
      </c>
      <c r="B41" s="3" t="s">
        <v>28</v>
      </c>
      <c r="C41" s="17"/>
      <c r="D41" s="17" t="s">
        <v>76</v>
      </c>
      <c r="E41" s="6" t="s">
        <v>136</v>
      </c>
      <c r="F41" s="19">
        <v>1624</v>
      </c>
      <c r="G41" s="6" t="s">
        <v>175</v>
      </c>
      <c r="H41" s="6" t="s">
        <v>96</v>
      </c>
      <c r="I41" s="17" t="s">
        <v>176</v>
      </c>
      <c r="J41" s="17" t="s">
        <v>173</v>
      </c>
      <c r="K41" s="17" t="s">
        <v>49</v>
      </c>
      <c r="L41" s="17" t="s">
        <v>49</v>
      </c>
      <c r="M41" s="17" t="s">
        <v>49</v>
      </c>
      <c r="N41" s="17" t="s">
        <v>49</v>
      </c>
      <c r="O41" s="17" t="s">
        <v>49</v>
      </c>
      <c r="P41" s="17" t="s">
        <v>49</v>
      </c>
      <c r="Q41" s="17" t="s">
        <v>49</v>
      </c>
      <c r="R41" s="17" t="s">
        <v>49</v>
      </c>
      <c r="S41" s="17" t="s">
        <v>49</v>
      </c>
      <c r="T41" s="17" t="s">
        <v>49</v>
      </c>
      <c r="U41" s="17" t="s">
        <v>49</v>
      </c>
      <c r="V41" s="17" t="s">
        <v>49</v>
      </c>
      <c r="W41" s="17" t="s">
        <v>49</v>
      </c>
      <c r="X41" s="17" t="s">
        <v>49</v>
      </c>
      <c r="Y41" s="17" t="s">
        <v>49</v>
      </c>
      <c r="Z41" s="17" t="s">
        <v>49</v>
      </c>
      <c r="AA41" s="17" t="s">
        <v>49</v>
      </c>
      <c r="AB41" s="17" t="s">
        <v>49</v>
      </c>
    </row>
    <row r="42" s="6" customFormat="1" customHeight="1" spans="1:28">
      <c r="A42" s="22" t="s">
        <v>213</v>
      </c>
      <c r="B42" s="3" t="s">
        <v>28</v>
      </c>
      <c r="C42" s="17"/>
      <c r="D42" s="17" t="s">
        <v>166</v>
      </c>
      <c r="E42" s="6" t="s">
        <v>214</v>
      </c>
      <c r="F42" s="19">
        <v>1615</v>
      </c>
      <c r="G42" s="6" t="s">
        <v>196</v>
      </c>
      <c r="H42" s="6" t="s">
        <v>62</v>
      </c>
      <c r="I42" s="17" t="s">
        <v>215</v>
      </c>
      <c r="J42" s="17" t="s">
        <v>216</v>
      </c>
      <c r="K42" s="17" t="s">
        <v>217</v>
      </c>
      <c r="L42" s="17" t="s">
        <v>218</v>
      </c>
      <c r="M42" s="17" t="s">
        <v>219</v>
      </c>
      <c r="N42" s="17" t="s">
        <v>49</v>
      </c>
      <c r="O42" s="17" t="s">
        <v>49</v>
      </c>
      <c r="P42" s="17" t="s">
        <v>49</v>
      </c>
      <c r="Q42" s="17" t="s">
        <v>49</v>
      </c>
      <c r="R42" s="17" t="s">
        <v>49</v>
      </c>
      <c r="S42" s="17" t="s">
        <v>49</v>
      </c>
      <c r="T42" s="17" t="s">
        <v>49</v>
      </c>
      <c r="U42" s="17" t="s">
        <v>49</v>
      </c>
      <c r="V42" s="17" t="s">
        <v>49</v>
      </c>
      <c r="W42" s="17" t="s">
        <v>49</v>
      </c>
      <c r="X42" s="17" t="s">
        <v>49</v>
      </c>
      <c r="Y42" s="17" t="s">
        <v>49</v>
      </c>
      <c r="Z42" s="17" t="s">
        <v>49</v>
      </c>
      <c r="AA42" s="17" t="s">
        <v>49</v>
      </c>
      <c r="AB42" s="17" t="s">
        <v>49</v>
      </c>
    </row>
    <row r="43" s="6" customFormat="1" customHeight="1" spans="1:28">
      <c r="A43" s="22" t="s">
        <v>220</v>
      </c>
      <c r="B43" s="3" t="s">
        <v>28</v>
      </c>
      <c r="C43" s="17"/>
      <c r="D43" s="17" t="s">
        <v>166</v>
      </c>
      <c r="E43" s="6" t="s">
        <v>214</v>
      </c>
      <c r="F43" s="19">
        <v>1618</v>
      </c>
      <c r="G43" s="6" t="s">
        <v>137</v>
      </c>
      <c r="H43" s="6" t="s">
        <v>96</v>
      </c>
      <c r="I43" s="17" t="s">
        <v>221</v>
      </c>
      <c r="J43" s="17" t="s">
        <v>222</v>
      </c>
      <c r="K43" s="17" t="s">
        <v>49</v>
      </c>
      <c r="L43" s="17" t="s">
        <v>49</v>
      </c>
      <c r="M43" s="17" t="s">
        <v>49</v>
      </c>
      <c r="N43" s="17" t="s">
        <v>49</v>
      </c>
      <c r="O43" s="17" t="s">
        <v>49</v>
      </c>
      <c r="P43" s="17" t="s">
        <v>49</v>
      </c>
      <c r="Q43" s="17" t="s">
        <v>49</v>
      </c>
      <c r="R43" s="17" t="s">
        <v>49</v>
      </c>
      <c r="S43" s="17" t="s">
        <v>49</v>
      </c>
      <c r="T43" s="17" t="s">
        <v>49</v>
      </c>
      <c r="U43" s="17" t="s">
        <v>49</v>
      </c>
      <c r="V43" s="17" t="s">
        <v>49</v>
      </c>
      <c r="W43" s="17" t="s">
        <v>49</v>
      </c>
      <c r="X43" s="17" t="s">
        <v>49</v>
      </c>
      <c r="Y43" s="17" t="s">
        <v>49</v>
      </c>
      <c r="Z43" s="17" t="s">
        <v>49</v>
      </c>
      <c r="AA43" s="17" t="s">
        <v>49</v>
      </c>
      <c r="AB43" s="17" t="s">
        <v>49</v>
      </c>
    </row>
    <row r="44" s="6" customFormat="1" customHeight="1" spans="1:28">
      <c r="A44" s="22" t="s">
        <v>223</v>
      </c>
      <c r="B44" s="3" t="s">
        <v>28</v>
      </c>
      <c r="C44" s="17"/>
      <c r="D44" s="17" t="s">
        <v>166</v>
      </c>
      <c r="E44" s="6" t="s">
        <v>214</v>
      </c>
      <c r="F44" s="19">
        <v>1632</v>
      </c>
      <c r="G44" s="6" t="s">
        <v>224</v>
      </c>
      <c r="H44" s="6" t="s">
        <v>96</v>
      </c>
      <c r="I44" s="17" t="s">
        <v>225</v>
      </c>
      <c r="J44" s="17" t="s">
        <v>226</v>
      </c>
      <c r="K44" s="17" t="s">
        <v>49</v>
      </c>
      <c r="L44" s="17" t="s">
        <v>49</v>
      </c>
      <c r="M44" s="17" t="s">
        <v>49</v>
      </c>
      <c r="N44" s="17" t="s">
        <v>49</v>
      </c>
      <c r="O44" s="17" t="s">
        <v>49</v>
      </c>
      <c r="P44" s="17" t="s">
        <v>49</v>
      </c>
      <c r="Q44" s="17" t="s">
        <v>49</v>
      </c>
      <c r="R44" s="17" t="s">
        <v>49</v>
      </c>
      <c r="S44" s="17" t="s">
        <v>49</v>
      </c>
      <c r="T44" s="17" t="s">
        <v>49</v>
      </c>
      <c r="U44" s="17" t="s">
        <v>49</v>
      </c>
      <c r="V44" s="17" t="s">
        <v>49</v>
      </c>
      <c r="W44" s="17" t="s">
        <v>49</v>
      </c>
      <c r="X44" s="17" t="s">
        <v>49</v>
      </c>
      <c r="Y44" s="17" t="s">
        <v>49</v>
      </c>
      <c r="Z44" s="17" t="s">
        <v>49</v>
      </c>
      <c r="AA44" s="17" t="s">
        <v>49</v>
      </c>
      <c r="AB44" s="17" t="s">
        <v>49</v>
      </c>
    </row>
    <row r="45" s="6" customFormat="1" customHeight="1" spans="1:28">
      <c r="A45" s="22" t="s">
        <v>227</v>
      </c>
      <c r="B45" s="3" t="s">
        <v>28</v>
      </c>
      <c r="C45" s="17"/>
      <c r="D45" s="17" t="s">
        <v>166</v>
      </c>
      <c r="E45" s="6" t="s">
        <v>214</v>
      </c>
      <c r="F45" s="19">
        <v>1612</v>
      </c>
      <c r="G45" s="6" t="s">
        <v>228</v>
      </c>
      <c r="H45" s="6" t="s">
        <v>96</v>
      </c>
      <c r="I45" s="17" t="s">
        <v>229</v>
      </c>
      <c r="J45" s="17" t="s">
        <v>230</v>
      </c>
      <c r="K45" s="17" t="s">
        <v>49</v>
      </c>
      <c r="L45" s="17" t="s">
        <v>49</v>
      </c>
      <c r="M45" s="17" t="s">
        <v>49</v>
      </c>
      <c r="N45" s="17" t="s">
        <v>49</v>
      </c>
      <c r="O45" s="17" t="s">
        <v>49</v>
      </c>
      <c r="P45" s="17" t="s">
        <v>49</v>
      </c>
      <c r="Q45" s="17" t="s">
        <v>49</v>
      </c>
      <c r="R45" s="17" t="s">
        <v>49</v>
      </c>
      <c r="S45" s="17" t="s">
        <v>49</v>
      </c>
      <c r="T45" s="17" t="s">
        <v>49</v>
      </c>
      <c r="U45" s="17" t="s">
        <v>49</v>
      </c>
      <c r="V45" s="17" t="s">
        <v>49</v>
      </c>
      <c r="W45" s="17" t="s">
        <v>49</v>
      </c>
      <c r="X45" s="17" t="s">
        <v>49</v>
      </c>
      <c r="Y45" s="17" t="s">
        <v>49</v>
      </c>
      <c r="Z45" s="17" t="s">
        <v>49</v>
      </c>
      <c r="AA45" s="17" t="s">
        <v>49</v>
      </c>
      <c r="AB45" s="17" t="s">
        <v>49</v>
      </c>
    </row>
    <row r="46" s="6" customFormat="1" customHeight="1" spans="1:28">
      <c r="A46" s="22" t="s">
        <v>231</v>
      </c>
      <c r="B46" s="3" t="s">
        <v>28</v>
      </c>
      <c r="C46" s="17"/>
      <c r="D46" s="17" t="s">
        <v>166</v>
      </c>
      <c r="E46" s="6" t="s">
        <v>214</v>
      </c>
      <c r="F46" s="19">
        <v>9021</v>
      </c>
      <c r="G46" s="6" t="s">
        <v>232</v>
      </c>
      <c r="H46" s="6" t="s">
        <v>96</v>
      </c>
      <c r="I46" s="17" t="s">
        <v>221</v>
      </c>
      <c r="J46" s="17" t="s">
        <v>222</v>
      </c>
      <c r="K46" s="17" t="s">
        <v>49</v>
      </c>
      <c r="L46" s="17" t="s">
        <v>49</v>
      </c>
      <c r="M46" s="17" t="s">
        <v>49</v>
      </c>
      <c r="N46" s="17" t="s">
        <v>49</v>
      </c>
      <c r="O46" s="17" t="s">
        <v>49</v>
      </c>
      <c r="P46" s="17" t="s">
        <v>49</v>
      </c>
      <c r="Q46" s="17" t="s">
        <v>49</v>
      </c>
      <c r="R46" s="17" t="s">
        <v>49</v>
      </c>
      <c r="S46" s="17" t="s">
        <v>49</v>
      </c>
      <c r="T46" s="17" t="s">
        <v>49</v>
      </c>
      <c r="U46" s="17" t="s">
        <v>49</v>
      </c>
      <c r="V46" s="17" t="s">
        <v>49</v>
      </c>
      <c r="W46" s="17" t="s">
        <v>49</v>
      </c>
      <c r="X46" s="17" t="s">
        <v>49</v>
      </c>
      <c r="Y46" s="17" t="s">
        <v>49</v>
      </c>
      <c r="Z46" s="17" t="s">
        <v>49</v>
      </c>
      <c r="AA46" s="17" t="s">
        <v>49</v>
      </c>
      <c r="AB46" s="17" t="s">
        <v>49</v>
      </c>
    </row>
    <row r="47" s="6" customFormat="1" customHeight="1" spans="1:28">
      <c r="A47" s="22" t="s">
        <v>233</v>
      </c>
      <c r="B47" s="3" t="s">
        <v>28</v>
      </c>
      <c r="C47" s="17"/>
      <c r="D47" s="17" t="s">
        <v>166</v>
      </c>
      <c r="E47" s="6" t="s">
        <v>214</v>
      </c>
      <c r="F47" s="19">
        <v>1727</v>
      </c>
      <c r="G47" s="6" t="s">
        <v>232</v>
      </c>
      <c r="H47" s="6" t="s">
        <v>96</v>
      </c>
      <c r="I47" s="17" t="s">
        <v>221</v>
      </c>
      <c r="J47" s="17" t="s">
        <v>222</v>
      </c>
      <c r="K47" s="17" t="s">
        <v>49</v>
      </c>
      <c r="L47" s="17" t="s">
        <v>49</v>
      </c>
      <c r="M47" s="17" t="s">
        <v>49</v>
      </c>
      <c r="N47" s="17" t="s">
        <v>49</v>
      </c>
      <c r="O47" s="17" t="s">
        <v>49</v>
      </c>
      <c r="P47" s="17" t="s">
        <v>49</v>
      </c>
      <c r="Q47" s="17" t="s">
        <v>49</v>
      </c>
      <c r="R47" s="17" t="s">
        <v>49</v>
      </c>
      <c r="S47" s="17" t="s">
        <v>49</v>
      </c>
      <c r="T47" s="17" t="s">
        <v>49</v>
      </c>
      <c r="U47" s="17" t="s">
        <v>49</v>
      </c>
      <c r="V47" s="17" t="s">
        <v>49</v>
      </c>
      <c r="W47" s="17" t="s">
        <v>49</v>
      </c>
      <c r="X47" s="17" t="s">
        <v>49</v>
      </c>
      <c r="Y47" s="17" t="s">
        <v>49</v>
      </c>
      <c r="Z47" s="17" t="s">
        <v>49</v>
      </c>
      <c r="AA47" s="17" t="s">
        <v>49</v>
      </c>
      <c r="AB47" s="17" t="s">
        <v>49</v>
      </c>
    </row>
    <row r="48" customHeight="1" spans="4:6">
      <c r="D48" s="22"/>
      <c r="F48" s="22"/>
    </row>
    <row r="49" customHeight="1" spans="4:6">
      <c r="D49" s="22"/>
      <c r="F49" s="22"/>
    </row>
    <row r="50" customHeight="1" spans="4:6">
      <c r="D50" s="22"/>
      <c r="F50" s="22"/>
    </row>
    <row r="51" customHeight="1" spans="4:6">
      <c r="D51" s="22"/>
      <c r="F51" s="22"/>
    </row>
    <row r="52" customHeight="1" spans="4:6">
      <c r="D52" s="22"/>
      <c r="F52" s="22"/>
    </row>
    <row r="53" customHeight="1" spans="4:6">
      <c r="D53" s="22"/>
      <c r="F53" s="22"/>
    </row>
    <row r="54" customHeight="1" spans="4:6">
      <c r="D54" s="22"/>
      <c r="F54" s="2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O40" sqref="O40:V40"/>
    </sheetView>
  </sheetViews>
  <sheetFormatPr defaultColWidth="9" defaultRowHeight="14.4"/>
  <cols>
    <col min="1" max="2" width="8.12962962962963" customWidth="1"/>
    <col min="3" max="5" width="10" customWidth="1"/>
    <col min="6" max="6" width="11" customWidth="1"/>
    <col min="17" max="17" width="9.5" customWidth="1"/>
  </cols>
  <sheetData>
    <row r="1" spans="1:6">
      <c r="A1" t="s">
        <v>234</v>
      </c>
      <c r="B1" t="s">
        <v>235</v>
      </c>
      <c r="C1" t="s">
        <v>236</v>
      </c>
      <c r="D1" t="s">
        <v>237</v>
      </c>
      <c r="E1" t="s">
        <v>238</v>
      </c>
      <c r="F1" t="s">
        <v>239</v>
      </c>
    </row>
    <row r="2" spans="1:7">
      <c r="A2" s="2">
        <v>1090</v>
      </c>
      <c r="B2" s="2">
        <v>1444</v>
      </c>
      <c r="C2" s="2">
        <f>FLOOR(A2/16,1)</f>
        <v>68</v>
      </c>
      <c r="D2" s="2">
        <f>FLOOR(B2/16,1)</f>
        <v>90</v>
      </c>
      <c r="E2">
        <v>4000</v>
      </c>
      <c r="F2" t="str">
        <f>CONCATENATE(C2,",",D2,",",E2)</f>
        <v>68,90,4000</v>
      </c>
      <c r="G2" t="s">
        <v>240</v>
      </c>
    </row>
    <row r="3" spans="1:13">
      <c r="A3" s="2">
        <v>1132</v>
      </c>
      <c r="B3" s="2">
        <v>1310</v>
      </c>
      <c r="C3" s="2">
        <f t="shared" ref="C3:C9" si="0">FLOOR(A3/16,1)</f>
        <v>70</v>
      </c>
      <c r="D3" s="2">
        <f t="shared" ref="D3:D9" si="1">FLOOR(B3/16,1)</f>
        <v>81</v>
      </c>
      <c r="E3">
        <v>5000</v>
      </c>
      <c r="F3" t="str">
        <f t="shared" ref="F3:F21" si="2">CONCATENATE(C3,",",D3,",",E3)</f>
        <v>70,81,5000</v>
      </c>
      <c r="G3" t="s">
        <v>241</v>
      </c>
      <c r="M3">
        <v>4000</v>
      </c>
    </row>
    <row r="4" spans="1:33">
      <c r="A4" s="2">
        <v>1270</v>
      </c>
      <c r="B4" s="2">
        <v>1133</v>
      </c>
      <c r="C4" s="2">
        <f t="shared" ref="C4" si="3">FLOOR(A4/16,1)</f>
        <v>79</v>
      </c>
      <c r="D4" s="2">
        <f t="shared" ref="D4" si="4">FLOOR(B4/16,1)</f>
        <v>70</v>
      </c>
      <c r="E4">
        <v>2000</v>
      </c>
      <c r="F4" t="str">
        <f t="shared" si="2"/>
        <v>79,70,2000</v>
      </c>
      <c r="G4" t="s">
        <v>242</v>
      </c>
      <c r="I4" s="2"/>
      <c r="J4" s="2"/>
      <c r="K4" s="2"/>
      <c r="L4" s="2"/>
      <c r="Q4" s="2"/>
      <c r="R4" s="2"/>
      <c r="S4" s="2"/>
      <c r="T4" s="2"/>
      <c r="V4" s="2"/>
      <c r="Y4" s="2"/>
      <c r="Z4" s="2"/>
      <c r="AA4" s="2"/>
      <c r="AB4" s="2"/>
      <c r="AG4" s="2"/>
    </row>
    <row r="5" spans="1:7">
      <c r="A5" s="2">
        <v>1481</v>
      </c>
      <c r="B5" s="2">
        <v>738</v>
      </c>
      <c r="C5" s="2">
        <f t="shared" si="0"/>
        <v>92</v>
      </c>
      <c r="D5" s="2">
        <f t="shared" si="1"/>
        <v>46</v>
      </c>
      <c r="E5">
        <v>2000</v>
      </c>
      <c r="F5" t="str">
        <f t="shared" si="2"/>
        <v>92,46,2000</v>
      </c>
      <c r="G5" t="s">
        <v>243</v>
      </c>
    </row>
    <row r="6" spans="1:7">
      <c r="A6" s="2">
        <v>1111</v>
      </c>
      <c r="B6" s="2">
        <v>412</v>
      </c>
      <c r="C6" s="2">
        <f t="shared" si="0"/>
        <v>69</v>
      </c>
      <c r="D6" s="2">
        <f t="shared" si="1"/>
        <v>25</v>
      </c>
      <c r="E6">
        <v>2000</v>
      </c>
      <c r="F6" t="str">
        <f t="shared" si="2"/>
        <v>69,25,2000</v>
      </c>
      <c r="G6" t="s">
        <v>244</v>
      </c>
    </row>
    <row r="7" spans="1:13">
      <c r="A7" s="2">
        <v>816</v>
      </c>
      <c r="B7" s="2">
        <v>910</v>
      </c>
      <c r="C7" s="2">
        <f t="shared" si="0"/>
        <v>51</v>
      </c>
      <c r="D7" s="2">
        <f t="shared" si="1"/>
        <v>56</v>
      </c>
      <c r="E7">
        <v>2000</v>
      </c>
      <c r="F7" t="str">
        <f t="shared" ref="F7" si="5">CONCATENATE(C7,",",D7,",",E7)</f>
        <v>51,56,2000</v>
      </c>
      <c r="G7" t="s">
        <v>245</v>
      </c>
      <c r="M7">
        <v>5000</v>
      </c>
    </row>
    <row r="8" spans="1:7">
      <c r="A8" s="2">
        <v>412</v>
      </c>
      <c r="B8" s="2">
        <v>419</v>
      </c>
      <c r="C8" s="2">
        <f t="shared" si="0"/>
        <v>25</v>
      </c>
      <c r="D8" s="2">
        <f t="shared" si="1"/>
        <v>26</v>
      </c>
      <c r="E8">
        <v>5000</v>
      </c>
      <c r="F8" t="str">
        <f t="shared" si="2"/>
        <v>25,26,5000</v>
      </c>
      <c r="G8" t="s">
        <v>246</v>
      </c>
    </row>
    <row r="9" spans="1:7">
      <c r="A9" s="2">
        <v>247</v>
      </c>
      <c r="B9" s="2">
        <v>322</v>
      </c>
      <c r="C9" s="2">
        <f t="shared" si="0"/>
        <v>15</v>
      </c>
      <c r="D9" s="2">
        <f t="shared" si="1"/>
        <v>20</v>
      </c>
      <c r="E9">
        <v>0</v>
      </c>
      <c r="F9" t="str">
        <f t="shared" si="2"/>
        <v>15,20,0</v>
      </c>
      <c r="G9" t="s">
        <v>247</v>
      </c>
    </row>
    <row r="10" spans="1:7">
      <c r="A10" s="2"/>
      <c r="B10" s="2"/>
      <c r="C10" s="2"/>
      <c r="D10" s="2"/>
      <c r="F10" t="str">
        <f t="shared" si="2"/>
        <v>,,</v>
      </c>
      <c r="G10" t="s">
        <v>248</v>
      </c>
    </row>
    <row r="11" spans="1:7">
      <c r="A11" s="2"/>
      <c r="B11" s="2"/>
      <c r="C11" s="2"/>
      <c r="D11" s="2"/>
      <c r="F11" t="str">
        <f t="shared" si="2"/>
        <v>,,</v>
      </c>
      <c r="G11" t="s">
        <v>126</v>
      </c>
    </row>
    <row r="12" spans="1:7">
      <c r="A12" s="2"/>
      <c r="B12" s="2"/>
      <c r="C12" s="2"/>
      <c r="D12" s="2"/>
      <c r="F12" t="str">
        <f t="shared" si="2"/>
        <v>,,</v>
      </c>
      <c r="G12" t="s">
        <v>127</v>
      </c>
    </row>
    <row r="13" spans="1:7">
      <c r="A13" s="2"/>
      <c r="B13" s="2"/>
      <c r="C13" s="2"/>
      <c r="D13" s="2"/>
      <c r="F13" t="str">
        <f t="shared" si="2"/>
        <v>,,</v>
      </c>
      <c r="G13" t="s">
        <v>128</v>
      </c>
    </row>
    <row r="14" spans="1:13">
      <c r="A14" s="2"/>
      <c r="B14" s="2"/>
      <c r="C14" s="2"/>
      <c r="D14" s="2"/>
      <c r="F14" t="str">
        <f t="shared" si="2"/>
        <v>,,</v>
      </c>
      <c r="G14" t="s">
        <v>129</v>
      </c>
      <c r="M14">
        <v>2000</v>
      </c>
    </row>
    <row r="15" spans="1:7">
      <c r="A15" s="2"/>
      <c r="B15" s="2"/>
      <c r="C15" s="2"/>
      <c r="D15" s="2"/>
      <c r="F15" t="str">
        <f t="shared" si="2"/>
        <v>,,</v>
      </c>
      <c r="G15" t="s">
        <v>130</v>
      </c>
    </row>
    <row r="16" spans="1:7">
      <c r="A16" s="2"/>
      <c r="B16" s="2"/>
      <c r="C16" s="2"/>
      <c r="D16" s="2"/>
      <c r="F16" t="str">
        <f t="shared" si="2"/>
        <v>,,</v>
      </c>
      <c r="G16" t="s">
        <v>131</v>
      </c>
    </row>
    <row r="17" spans="1:7">
      <c r="A17" s="2"/>
      <c r="B17" s="2"/>
      <c r="C17" s="2"/>
      <c r="D17" s="2"/>
      <c r="F17" t="str">
        <f t="shared" si="2"/>
        <v>,,</v>
      </c>
      <c r="G17" t="s">
        <v>132</v>
      </c>
    </row>
    <row r="18" spans="1:13">
      <c r="A18" s="2"/>
      <c r="B18" s="2"/>
      <c r="C18" s="2"/>
      <c r="D18" s="2"/>
      <c r="F18" t="str">
        <f t="shared" si="2"/>
        <v>,,</v>
      </c>
      <c r="G18" t="s">
        <v>133</v>
      </c>
      <c r="M18">
        <v>2000</v>
      </c>
    </row>
    <row r="19" spans="1:7">
      <c r="A19" s="2"/>
      <c r="B19" s="2"/>
      <c r="C19" s="2"/>
      <c r="D19" s="2"/>
      <c r="F19" t="str">
        <f t="shared" si="2"/>
        <v>,,</v>
      </c>
      <c r="G19" t="s">
        <v>134</v>
      </c>
    </row>
    <row r="20" spans="1:7">
      <c r="A20" s="2"/>
      <c r="B20" s="2"/>
      <c r="C20" s="2"/>
      <c r="D20" s="2"/>
      <c r="F20" t="str">
        <f t="shared" si="2"/>
        <v>,,</v>
      </c>
      <c r="G20" t="s">
        <v>249</v>
      </c>
    </row>
    <row r="21" spans="1:7">
      <c r="A21" s="2"/>
      <c r="B21" s="2"/>
      <c r="C21" s="2"/>
      <c r="D21" s="2"/>
      <c r="F21" t="str">
        <f t="shared" si="2"/>
        <v>,,</v>
      </c>
      <c r="G21" t="s">
        <v>117</v>
      </c>
    </row>
    <row r="22" spans="1:4">
      <c r="A22" s="2"/>
      <c r="B22" s="2"/>
      <c r="C22" s="2"/>
      <c r="D22" s="2"/>
    </row>
    <row r="23" spans="13:13">
      <c r="M23">
        <v>2000</v>
      </c>
    </row>
    <row r="27" spans="15:18">
      <c r="O27" t="s">
        <v>109</v>
      </c>
      <c r="P27" t="s">
        <v>110</v>
      </c>
      <c r="Q27" t="s">
        <v>250</v>
      </c>
      <c r="R27" t="s">
        <v>112</v>
      </c>
    </row>
    <row r="28" spans="15:18">
      <c r="O28" t="s">
        <v>84</v>
      </c>
      <c r="P28" t="s">
        <v>85</v>
      </c>
      <c r="Q28" t="s">
        <v>86</v>
      </c>
      <c r="R28" t="s">
        <v>251</v>
      </c>
    </row>
    <row r="30" spans="15:17">
      <c r="O30" t="s">
        <v>89</v>
      </c>
      <c r="P30" t="s">
        <v>90</v>
      </c>
      <c r="Q30" t="s">
        <v>252</v>
      </c>
    </row>
    <row r="32" spans="9:16">
      <c r="I32" s="3"/>
      <c r="O32" t="s">
        <v>93</v>
      </c>
      <c r="P32" t="s">
        <v>253</v>
      </c>
    </row>
    <row r="33" spans="13:13">
      <c r="M33">
        <v>5000</v>
      </c>
    </row>
    <row r="34" spans="15:16">
      <c r="O34" t="s">
        <v>97</v>
      </c>
      <c r="P34" t="s">
        <v>254</v>
      </c>
    </row>
    <row r="36" spans="15:18">
      <c r="O36" t="s">
        <v>100</v>
      </c>
      <c r="P36" t="s">
        <v>101</v>
      </c>
      <c r="Q36" t="s">
        <v>255</v>
      </c>
      <c r="R36" t="s">
        <v>256</v>
      </c>
    </row>
    <row r="37" spans="12:12">
      <c r="L37" s="4"/>
    </row>
    <row r="38" spans="15:16">
      <c r="O38" t="s">
        <v>106</v>
      </c>
      <c r="P38" t="s">
        <v>257</v>
      </c>
    </row>
    <row r="39" spans="13:13">
      <c r="M39">
        <v>0</v>
      </c>
    </row>
    <row r="40" spans="15:33">
      <c r="O40" t="s">
        <v>240</v>
      </c>
      <c r="P40" t="s">
        <v>241</v>
      </c>
      <c r="Q40" t="s">
        <v>242</v>
      </c>
      <c r="R40" t="s">
        <v>243</v>
      </c>
      <c r="S40" t="s">
        <v>244</v>
      </c>
      <c r="T40" t="s">
        <v>245</v>
      </c>
      <c r="U40" t="s">
        <v>246</v>
      </c>
      <c r="V40" t="s">
        <v>247</v>
      </c>
      <c r="W40" t="s">
        <v>248</v>
      </c>
      <c r="X40" t="s">
        <v>126</v>
      </c>
      <c r="Y40" t="s">
        <v>127</v>
      </c>
      <c r="Z40" t="s">
        <v>128</v>
      </c>
      <c r="AA40" t="s">
        <v>129</v>
      </c>
      <c r="AB40" t="s">
        <v>130</v>
      </c>
      <c r="AC40" t="s">
        <v>131</v>
      </c>
      <c r="AD40" t="s">
        <v>132</v>
      </c>
      <c r="AE40" t="s">
        <v>133</v>
      </c>
      <c r="AF40" t="s">
        <v>134</v>
      </c>
      <c r="AG40" t="s">
        <v>134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3" sqref="B3"/>
    </sheetView>
  </sheetViews>
  <sheetFormatPr defaultColWidth="9" defaultRowHeight="14.4" outlineLevelCol="6"/>
  <sheetData>
    <row r="1" spans="1:7">
      <c r="A1" s="1" t="s">
        <v>135</v>
      </c>
      <c r="B1">
        <v>26</v>
      </c>
      <c r="C1">
        <v>27</v>
      </c>
      <c r="D1">
        <v>28</v>
      </c>
      <c r="E1" t="str">
        <f>CONCATENATE(A1,",",B1,",",C1,",",D1)</f>
        <v>17,26,27,28</v>
      </c>
      <c r="G1" t="s">
        <v>258</v>
      </c>
    </row>
    <row r="2" spans="1:7">
      <c r="A2" s="1" t="s">
        <v>116</v>
      </c>
      <c r="B2">
        <v>26</v>
      </c>
      <c r="C2">
        <v>27</v>
      </c>
      <c r="D2">
        <v>28</v>
      </c>
      <c r="E2" t="str">
        <f t="shared" ref="E2:E9" si="0">CONCATENATE(A2,",",B2,",",C2,",",D2)</f>
        <v>18,26,27,28</v>
      </c>
      <c r="G2" t="s">
        <v>259</v>
      </c>
    </row>
    <row r="3" spans="1:7">
      <c r="A3" s="1" t="s">
        <v>146</v>
      </c>
      <c r="B3">
        <v>26</v>
      </c>
      <c r="C3">
        <v>27</v>
      </c>
      <c r="D3">
        <v>28</v>
      </c>
      <c r="E3" t="str">
        <f t="shared" si="0"/>
        <v>19,26,27,28</v>
      </c>
      <c r="G3" t="s">
        <v>260</v>
      </c>
    </row>
    <row r="4" spans="1:7">
      <c r="A4" s="1" t="s">
        <v>150</v>
      </c>
      <c r="B4">
        <v>26</v>
      </c>
      <c r="C4">
        <v>27</v>
      </c>
      <c r="D4">
        <v>28</v>
      </c>
      <c r="E4" t="str">
        <f t="shared" si="0"/>
        <v>20,26,27,28</v>
      </c>
      <c r="G4" t="s">
        <v>261</v>
      </c>
    </row>
    <row r="5" spans="1:7">
      <c r="A5" s="1" t="s">
        <v>154</v>
      </c>
      <c r="B5">
        <v>26</v>
      </c>
      <c r="C5">
        <v>27</v>
      </c>
      <c r="D5">
        <v>28</v>
      </c>
      <c r="E5" t="str">
        <f t="shared" si="0"/>
        <v>21,26,27,28</v>
      </c>
      <c r="G5" t="s">
        <v>262</v>
      </c>
    </row>
    <row r="6" spans="1:7">
      <c r="A6" s="1" t="s">
        <v>160</v>
      </c>
      <c r="B6">
        <v>26</v>
      </c>
      <c r="C6">
        <v>27</v>
      </c>
      <c r="D6">
        <v>28</v>
      </c>
      <c r="E6" t="str">
        <f t="shared" si="0"/>
        <v>22,26,27,28</v>
      </c>
      <c r="G6" t="s">
        <v>263</v>
      </c>
    </row>
    <row r="7" spans="1:7">
      <c r="A7" s="1" t="s">
        <v>165</v>
      </c>
      <c r="B7">
        <v>26</v>
      </c>
      <c r="C7">
        <v>27</v>
      </c>
      <c r="D7">
        <v>28</v>
      </c>
      <c r="E7" t="str">
        <f t="shared" si="0"/>
        <v>23,26,27,28</v>
      </c>
      <c r="G7" t="s">
        <v>264</v>
      </c>
    </row>
    <row r="8" spans="1:7">
      <c r="A8" s="1" t="s">
        <v>170</v>
      </c>
      <c r="B8">
        <v>26</v>
      </c>
      <c r="C8">
        <v>27</v>
      </c>
      <c r="D8">
        <v>28</v>
      </c>
      <c r="E8" t="str">
        <f t="shared" si="0"/>
        <v>24,26,27,28</v>
      </c>
      <c r="G8" t="s">
        <v>265</v>
      </c>
    </row>
    <row r="9" spans="1:7">
      <c r="A9" s="1" t="s">
        <v>174</v>
      </c>
      <c r="B9">
        <v>26</v>
      </c>
      <c r="C9">
        <v>27</v>
      </c>
      <c r="D9">
        <v>28</v>
      </c>
      <c r="E9" t="str">
        <f t="shared" si="0"/>
        <v>25,26,27,28</v>
      </c>
      <c r="G9" t="s">
        <v>266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2006-09-16T00:00:00Z</dcterms:created>
  <dcterms:modified xsi:type="dcterms:W3CDTF">2025-10-24T20:15:37Z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D07DD1F21E9244F8A4308613D2E1B038</vt:lpwstr>
  </property>
</Properties>
</file>