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8095" windowHeight="12630" activeTab="11"/>
  </bookViews>
  <sheets>
    <sheet name="梦幻道具对照说明" sheetId="1" r:id="rId1"/>
    <sheet name="物品类型库" sheetId="2" r:id="rId2"/>
    <sheet name="养成规划" sheetId="3" r:id="rId3"/>
    <sheet name="道具产出规划" sheetId="4" r:id="rId4"/>
    <sheet name="道具消耗核算" sheetId="5" r:id="rId5"/>
    <sheet name="掉落规则说明" sheetId="6" r:id="rId6"/>
    <sheet name="职业日常" sheetId="7" r:id="rId7"/>
    <sheet name="日常副本" sheetId="8" r:id="rId8"/>
    <sheet name="英雄试炼" sheetId="9" r:id="rId9"/>
    <sheet name="冰封王座" sheetId="10" r:id="rId10"/>
    <sheet name="考古" sheetId="11" r:id="rId11"/>
    <sheet name="精英副本" sheetId="12" r:id="rId12"/>
    <sheet name="公会任务" sheetId="13" r:id="rId13"/>
    <sheet name="暗夜马戏团" sheetId="14" r:id="rId14"/>
    <sheet name="野外挂机" sheetId="15" r:id="rId15"/>
    <sheet name="经验道具" sheetId="16" r:id="rId16"/>
    <sheet name="分享" sheetId="17" r:id="rId17"/>
    <sheet name="帮助战斗" sheetId="18" r:id="rId18"/>
    <sheet name="魔像" sheetId="19" r:id="rId19"/>
    <sheet name="巨龙护卫" sheetId="20" r:id="rId20"/>
    <sheet name="巨龙" sheetId="21" r:id="rId21"/>
    <sheet name="古神" sheetId="22" r:id="rId22"/>
    <sheet name="艾泽拉斯地理探索" sheetId="23" r:id="rId23"/>
    <sheet name="艾泽拉斯百科竞赛" sheetId="24" r:id="rId24"/>
    <sheet name="职业闯关" sheetId="25" r:id="rId25"/>
    <sheet name="竞技场" sheetId="26" r:id="rId26"/>
    <sheet name="公会副本" sheetId="27" r:id="rId27"/>
    <sheet name="节日活动1" sheetId="28" r:id="rId28"/>
    <sheet name="节日活动2" sheetId="29" r:id="rId29"/>
    <sheet name="Sheet27" sheetId="30" r:id="rId30"/>
  </sheets>
  <calcPr calcId="124519"/>
  <fileRecoveryPr repairLoad="1"/>
</workbook>
</file>

<file path=xl/calcChain.xml><?xml version="1.0" encoding="utf-8"?>
<calcChain xmlns="http://schemas.openxmlformats.org/spreadsheetml/2006/main">
  <c r="C24" i="4"/>
  <c r="C21"/>
  <c r="C16"/>
  <c r="C10"/>
  <c r="C8"/>
  <c r="C6"/>
  <c r="C5"/>
  <c r="C117"/>
  <c r="C25"/>
  <c r="C3"/>
  <c r="C61"/>
  <c r="C60"/>
  <c r="C59"/>
  <c r="C58"/>
  <c r="C57"/>
  <c r="C46"/>
  <c r="C45"/>
  <c r="C44"/>
  <c r="C43"/>
  <c r="C42"/>
  <c r="C36"/>
  <c r="C35"/>
  <c r="C34"/>
  <c r="C89"/>
  <c r="C88"/>
  <c r="C87"/>
  <c r="C86"/>
  <c r="C85"/>
  <c r="C84"/>
  <c r="C56"/>
  <c r="C55"/>
  <c r="C41"/>
  <c r="C40"/>
  <c r="C32"/>
  <c r="C29"/>
  <c r="C26"/>
  <c r="C17"/>
  <c r="C15"/>
  <c r="C13"/>
  <c r="C116"/>
  <c r="C115"/>
  <c r="C27"/>
  <c r="C4"/>
  <c r="C11"/>
  <c r="C33"/>
  <c r="C14"/>
  <c r="C12"/>
  <c r="M20" i="24"/>
  <c r="M19"/>
  <c r="M18"/>
  <c r="M17"/>
  <c r="M16"/>
  <c r="M15"/>
  <c r="M14"/>
  <c r="M15" i="23"/>
  <c r="M14"/>
  <c r="M13"/>
  <c r="M12"/>
  <c r="M11"/>
  <c r="M10"/>
  <c r="M9"/>
  <c r="C23" i="4"/>
  <c r="T20" i="12"/>
  <c r="T19"/>
  <c r="T18"/>
  <c r="T15"/>
  <c r="T14"/>
  <c r="T13"/>
  <c r="T10"/>
  <c r="T9"/>
  <c r="AH30" i="11"/>
  <c r="AH29"/>
  <c r="AD29"/>
  <c r="Z29"/>
  <c r="V29"/>
  <c r="AH28"/>
  <c r="AD28"/>
  <c r="Z28"/>
  <c r="V28"/>
  <c r="AH27"/>
  <c r="AD27"/>
  <c r="Z27"/>
  <c r="V27"/>
  <c r="R27"/>
  <c r="AH26"/>
  <c r="AD26"/>
  <c r="Z26"/>
  <c r="V26"/>
  <c r="R26"/>
  <c r="AH25"/>
  <c r="AD25"/>
  <c r="Z25"/>
  <c r="V25"/>
  <c r="R25"/>
  <c r="AH24"/>
  <c r="AD24"/>
  <c r="Z24"/>
  <c r="V24"/>
  <c r="R24"/>
  <c r="H13"/>
  <c r="C28" i="4"/>
  <c r="C20"/>
  <c r="C9"/>
  <c r="C114"/>
  <c r="C102"/>
  <c r="C101"/>
  <c r="C100"/>
  <c r="C99"/>
  <c r="X150" i="6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3"/>
  <c r="X122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101"/>
  <c r="X100"/>
  <c r="X99"/>
  <c r="X98"/>
  <c r="X97"/>
  <c r="X96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C142" i="4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3"/>
  <c r="C112"/>
  <c r="C111"/>
  <c r="C110"/>
  <c r="C109"/>
  <c r="C108"/>
  <c r="C107"/>
  <c r="C106"/>
  <c r="C105"/>
  <c r="C104"/>
  <c r="C103"/>
  <c r="C98"/>
  <c r="C97"/>
  <c r="C96"/>
  <c r="C95"/>
  <c r="C94"/>
  <c r="C93"/>
  <c r="C92"/>
  <c r="C91"/>
  <c r="C90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54"/>
  <c r="C53"/>
  <c r="C52"/>
  <c r="C51"/>
  <c r="C50"/>
  <c r="C49"/>
  <c r="C48"/>
  <c r="C47"/>
  <c r="C39"/>
  <c r="C38"/>
  <c r="C37"/>
  <c r="C31"/>
  <c r="C30"/>
  <c r="C22"/>
  <c r="C19"/>
  <c r="C18"/>
  <c r="C7"/>
  <c r="C153" i="3"/>
  <c r="AA153"/>
  <c r="AK153"/>
  <c r="D26"/>
  <c r="AI153"/>
  <c r="AH153"/>
  <c r="D40"/>
  <c r="AG153"/>
  <c r="D39"/>
  <c r="AF153"/>
  <c r="D27"/>
  <c r="AE153"/>
  <c r="D36"/>
  <c r="AD153"/>
  <c r="D25"/>
  <c r="AC153"/>
  <c r="AB153"/>
  <c r="Y153"/>
  <c r="K153"/>
  <c r="W153"/>
  <c r="V153"/>
  <c r="U153"/>
  <c r="T153"/>
  <c r="G153"/>
  <c r="S153"/>
  <c r="R153"/>
  <c r="Q153"/>
  <c r="D153"/>
  <c r="P153"/>
  <c r="O153"/>
  <c r="C152"/>
  <c r="AA152"/>
  <c r="AK152"/>
  <c r="AI152"/>
  <c r="AH152"/>
  <c r="AG152"/>
  <c r="AF152"/>
  <c r="AE152"/>
  <c r="AD152"/>
  <c r="AC152"/>
  <c r="AB152"/>
  <c r="Y152"/>
  <c r="K152"/>
  <c r="W152"/>
  <c r="V152"/>
  <c r="U152"/>
  <c r="T152"/>
  <c r="G152"/>
  <c r="S152"/>
  <c r="R152"/>
  <c r="Q152"/>
  <c r="D152"/>
  <c r="P152"/>
  <c r="O152"/>
  <c r="C151"/>
  <c r="AA151"/>
  <c r="AK151"/>
  <c r="AI151"/>
  <c r="AH151"/>
  <c r="AG151"/>
  <c r="AF151"/>
  <c r="AE151"/>
  <c r="AD151"/>
  <c r="AC151"/>
  <c r="AB151"/>
  <c r="Y151"/>
  <c r="K151"/>
  <c r="W151"/>
  <c r="V151"/>
  <c r="U151"/>
  <c r="T151"/>
  <c r="G151"/>
  <c r="S151"/>
  <c r="R151"/>
  <c r="Q151"/>
  <c r="D151"/>
  <c r="P151"/>
  <c r="O151"/>
  <c r="C150"/>
  <c r="AA150"/>
  <c r="AK150"/>
  <c r="AI150"/>
  <c r="AH150"/>
  <c r="AG150"/>
  <c r="AF150"/>
  <c r="AE150"/>
  <c r="AD150"/>
  <c r="AC150"/>
  <c r="AB150"/>
  <c r="Y150"/>
  <c r="K150"/>
  <c r="W150"/>
  <c r="V150"/>
  <c r="U150"/>
  <c r="T150"/>
  <c r="G150"/>
  <c r="S150"/>
  <c r="R150"/>
  <c r="Q150"/>
  <c r="D150"/>
  <c r="P150"/>
  <c r="O150"/>
  <c r="C149"/>
  <c r="AA149"/>
  <c r="AK149"/>
  <c r="AI149"/>
  <c r="AH149"/>
  <c r="AG149"/>
  <c r="AF149"/>
  <c r="AE149"/>
  <c r="AD149"/>
  <c r="AC149"/>
  <c r="AB149"/>
  <c r="Y149"/>
  <c r="K149"/>
  <c r="W149"/>
  <c r="V149"/>
  <c r="U149"/>
  <c r="T149"/>
  <c r="G149"/>
  <c r="S149"/>
  <c r="R149"/>
  <c r="Q149"/>
  <c r="D149"/>
  <c r="P149"/>
  <c r="O149"/>
  <c r="C148"/>
  <c r="AA148"/>
  <c r="AK148"/>
  <c r="AI148"/>
  <c r="AH148"/>
  <c r="AG148"/>
  <c r="AF148"/>
  <c r="AE148"/>
  <c r="AD148"/>
  <c r="AC148"/>
  <c r="AB148"/>
  <c r="Y148"/>
  <c r="K148"/>
  <c r="W148"/>
  <c r="V148"/>
  <c r="U148"/>
  <c r="T148"/>
  <c r="G148"/>
  <c r="S148"/>
  <c r="R148"/>
  <c r="Q148"/>
  <c r="D148"/>
  <c r="P148"/>
  <c r="O148"/>
  <c r="C147"/>
  <c r="AA147"/>
  <c r="AK147"/>
  <c r="AI147"/>
  <c r="AH147"/>
  <c r="AG147"/>
  <c r="AF147"/>
  <c r="AE147"/>
  <c r="AD147"/>
  <c r="AC147"/>
  <c r="AB147"/>
  <c r="Y147"/>
  <c r="K147"/>
  <c r="W147"/>
  <c r="V147"/>
  <c r="U147"/>
  <c r="T147"/>
  <c r="G147"/>
  <c r="S147"/>
  <c r="R147"/>
  <c r="Q147"/>
  <c r="D147"/>
  <c r="P147"/>
  <c r="O147"/>
  <c r="C146"/>
  <c r="AA146"/>
  <c r="AK146"/>
  <c r="AI146"/>
  <c r="AH146"/>
  <c r="AG146"/>
  <c r="AF146"/>
  <c r="AE146"/>
  <c r="AD146"/>
  <c r="AC146"/>
  <c r="AB146"/>
  <c r="Y146"/>
  <c r="K146"/>
  <c r="W146"/>
  <c r="V146"/>
  <c r="U146"/>
  <c r="T146"/>
  <c r="G146"/>
  <c r="S146"/>
  <c r="R146"/>
  <c r="Q146"/>
  <c r="D146"/>
  <c r="P146"/>
  <c r="O146"/>
  <c r="C145"/>
  <c r="AA145"/>
  <c r="AK145"/>
  <c r="AI145"/>
  <c r="AH145"/>
  <c r="AG145"/>
  <c r="AF145"/>
  <c r="AE145"/>
  <c r="AD145"/>
  <c r="AC145"/>
  <c r="AB145"/>
  <c r="Y145"/>
  <c r="K145"/>
  <c r="W145"/>
  <c r="V145"/>
  <c r="U145"/>
  <c r="T145"/>
  <c r="G145"/>
  <c r="S145"/>
  <c r="R145"/>
  <c r="Q145"/>
  <c r="D145"/>
  <c r="P145"/>
  <c r="O145"/>
  <c r="C144"/>
  <c r="AA144"/>
  <c r="AK144"/>
  <c r="AI144"/>
  <c r="AH144"/>
  <c r="AG144"/>
  <c r="AF144"/>
  <c r="AE144"/>
  <c r="AD144"/>
  <c r="AC144"/>
  <c r="AB144"/>
  <c r="Y144"/>
  <c r="K144"/>
  <c r="W144"/>
  <c r="V144"/>
  <c r="U144"/>
  <c r="T144"/>
  <c r="G144"/>
  <c r="S144"/>
  <c r="R144"/>
  <c r="Q144"/>
  <c r="D144"/>
  <c r="P144"/>
  <c r="O144"/>
  <c r="C143"/>
  <c r="AA143"/>
  <c r="AK143"/>
  <c r="AI143"/>
  <c r="AH143"/>
  <c r="AG143"/>
  <c r="AF143"/>
  <c r="AE143"/>
  <c r="AD143"/>
  <c r="AC143"/>
  <c r="AB143"/>
  <c r="Y143"/>
  <c r="K143"/>
  <c r="W143"/>
  <c r="V143"/>
  <c r="U143"/>
  <c r="T143"/>
  <c r="G143"/>
  <c r="S143"/>
  <c r="R143"/>
  <c r="Q143"/>
  <c r="D143"/>
  <c r="P143"/>
  <c r="O143"/>
  <c r="C142"/>
  <c r="AA142"/>
  <c r="AK142"/>
  <c r="AI142"/>
  <c r="AH142"/>
  <c r="AG142"/>
  <c r="AF142"/>
  <c r="AE142"/>
  <c r="AD142"/>
  <c r="AC142"/>
  <c r="AB142"/>
  <c r="Y142"/>
  <c r="K142"/>
  <c r="W142"/>
  <c r="V142"/>
  <c r="U142"/>
  <c r="T142"/>
  <c r="G142"/>
  <c r="S142"/>
  <c r="R142"/>
  <c r="Q142"/>
  <c r="D142"/>
  <c r="P142"/>
  <c r="O142"/>
  <c r="C141"/>
  <c r="AA141"/>
  <c r="AK141"/>
  <c r="AI141"/>
  <c r="AH141"/>
  <c r="AG141"/>
  <c r="AF141"/>
  <c r="AE141"/>
  <c r="AD141"/>
  <c r="AC141"/>
  <c r="AB141"/>
  <c r="Y141"/>
  <c r="K141"/>
  <c r="W141"/>
  <c r="V141"/>
  <c r="U141"/>
  <c r="T141"/>
  <c r="G141"/>
  <c r="S141"/>
  <c r="R141"/>
  <c r="Q141"/>
  <c r="D141"/>
  <c r="P141"/>
  <c r="O141"/>
  <c r="C140"/>
  <c r="AA140"/>
  <c r="AK140"/>
  <c r="AI140"/>
  <c r="AH140"/>
  <c r="AG140"/>
  <c r="AF140"/>
  <c r="AE140"/>
  <c r="AD140"/>
  <c r="AC140"/>
  <c r="AB140"/>
  <c r="Y140"/>
  <c r="K140"/>
  <c r="W140"/>
  <c r="V140"/>
  <c r="U140"/>
  <c r="T140"/>
  <c r="G140"/>
  <c r="S140"/>
  <c r="R140"/>
  <c r="Q140"/>
  <c r="D140"/>
  <c r="P140"/>
  <c r="O140"/>
  <c r="C139"/>
  <c r="AA139"/>
  <c r="AK139"/>
  <c r="AI139"/>
  <c r="AH139"/>
  <c r="AG139"/>
  <c r="AF139"/>
  <c r="AE139"/>
  <c r="AD139"/>
  <c r="AC139"/>
  <c r="AB139"/>
  <c r="Y139"/>
  <c r="K139"/>
  <c r="W139"/>
  <c r="V139"/>
  <c r="U139"/>
  <c r="T139"/>
  <c r="G139"/>
  <c r="S139"/>
  <c r="R139"/>
  <c r="Q139"/>
  <c r="D139"/>
  <c r="P139"/>
  <c r="O139"/>
  <c r="C138"/>
  <c r="AA138"/>
  <c r="AK138"/>
  <c r="AI138"/>
  <c r="AH138"/>
  <c r="AG138"/>
  <c r="AF138"/>
  <c r="AE138"/>
  <c r="AD138"/>
  <c r="AC138"/>
  <c r="AB138"/>
  <c r="Y138"/>
  <c r="K138"/>
  <c r="W138"/>
  <c r="V138"/>
  <c r="U138"/>
  <c r="T138"/>
  <c r="G138"/>
  <c r="S138"/>
  <c r="R138"/>
  <c r="Q138"/>
  <c r="D138"/>
  <c r="P138"/>
  <c r="O138"/>
  <c r="C137"/>
  <c r="AA137"/>
  <c r="AK137"/>
  <c r="AI137"/>
  <c r="AH137"/>
  <c r="AG137"/>
  <c r="AF137"/>
  <c r="AE137"/>
  <c r="AD137"/>
  <c r="AC137"/>
  <c r="AB137"/>
  <c r="Y137"/>
  <c r="K137"/>
  <c r="W137"/>
  <c r="V137"/>
  <c r="U137"/>
  <c r="T137"/>
  <c r="G137"/>
  <c r="S137"/>
  <c r="R137"/>
  <c r="Q137"/>
  <c r="D137"/>
  <c r="P137"/>
  <c r="O137"/>
  <c r="C136"/>
  <c r="AA136"/>
  <c r="AK136"/>
  <c r="AI136"/>
  <c r="AH136"/>
  <c r="AG136"/>
  <c r="AF136"/>
  <c r="AE136"/>
  <c r="AD136"/>
  <c r="AC136"/>
  <c r="AB136"/>
  <c r="Y136"/>
  <c r="K136"/>
  <c r="W136"/>
  <c r="V136"/>
  <c r="U136"/>
  <c r="T136"/>
  <c r="G136"/>
  <c r="S136"/>
  <c r="R136"/>
  <c r="Q136"/>
  <c r="D136"/>
  <c r="P136"/>
  <c r="O136"/>
  <c r="C135"/>
  <c r="AA135"/>
  <c r="AK135"/>
  <c r="AI135"/>
  <c r="AH135"/>
  <c r="AG135"/>
  <c r="AF135"/>
  <c r="AE135"/>
  <c r="AD135"/>
  <c r="AC135"/>
  <c r="AB135"/>
  <c r="Y135"/>
  <c r="K135"/>
  <c r="W135"/>
  <c r="V135"/>
  <c r="U135"/>
  <c r="T135"/>
  <c r="G135"/>
  <c r="S135"/>
  <c r="R135"/>
  <c r="Q135"/>
  <c r="D135"/>
  <c r="P135"/>
  <c r="O135"/>
  <c r="C134"/>
  <c r="AA134"/>
  <c r="AK134"/>
  <c r="AI134"/>
  <c r="AH134"/>
  <c r="AG134"/>
  <c r="AF134"/>
  <c r="AE134"/>
  <c r="AD134"/>
  <c r="AC134"/>
  <c r="AB134"/>
  <c r="Y134"/>
  <c r="K134"/>
  <c r="W134"/>
  <c r="V134"/>
  <c r="U134"/>
  <c r="T134"/>
  <c r="G134"/>
  <c r="S134"/>
  <c r="R134"/>
  <c r="Q134"/>
  <c r="D134"/>
  <c r="P134"/>
  <c r="O134"/>
  <c r="C133"/>
  <c r="AA133"/>
  <c r="AK133"/>
  <c r="AI133"/>
  <c r="AH133"/>
  <c r="AG133"/>
  <c r="AF133"/>
  <c r="AE133"/>
  <c r="AD133"/>
  <c r="AC133"/>
  <c r="AB133"/>
  <c r="Y133"/>
  <c r="K133"/>
  <c r="W133"/>
  <c r="V133"/>
  <c r="U133"/>
  <c r="T133"/>
  <c r="G133"/>
  <c r="S133"/>
  <c r="R133"/>
  <c r="Q133"/>
  <c r="D133"/>
  <c r="P133"/>
  <c r="O133"/>
  <c r="C132"/>
  <c r="AA132"/>
  <c r="AK132"/>
  <c r="AI132"/>
  <c r="AH132"/>
  <c r="AG132"/>
  <c r="AF132"/>
  <c r="AE132"/>
  <c r="AD132"/>
  <c r="AC132"/>
  <c r="AB132"/>
  <c r="Y132"/>
  <c r="K132"/>
  <c r="W132"/>
  <c r="V132"/>
  <c r="U132"/>
  <c r="T132"/>
  <c r="G132"/>
  <c r="S132"/>
  <c r="R132"/>
  <c r="Q132"/>
  <c r="D132"/>
  <c r="P132"/>
  <c r="O132"/>
  <c r="C131"/>
  <c r="AA131"/>
  <c r="AK131"/>
  <c r="AI131"/>
  <c r="AH131"/>
  <c r="AG131"/>
  <c r="AF131"/>
  <c r="AE131"/>
  <c r="AD131"/>
  <c r="AC131"/>
  <c r="AB131"/>
  <c r="Y131"/>
  <c r="K131"/>
  <c r="W131"/>
  <c r="V131"/>
  <c r="U131"/>
  <c r="T131"/>
  <c r="G131"/>
  <c r="S131"/>
  <c r="R131"/>
  <c r="Q131"/>
  <c r="D131"/>
  <c r="P131"/>
  <c r="O131"/>
  <c r="C130"/>
  <c r="AA130"/>
  <c r="AK130"/>
  <c r="AI130"/>
  <c r="AH130"/>
  <c r="AG130"/>
  <c r="AF130"/>
  <c r="AE130"/>
  <c r="AD130"/>
  <c r="AC130"/>
  <c r="AB130"/>
  <c r="Y130"/>
  <c r="K130"/>
  <c r="W130"/>
  <c r="V130"/>
  <c r="U130"/>
  <c r="T130"/>
  <c r="G130"/>
  <c r="S130"/>
  <c r="R130"/>
  <c r="Q130"/>
  <c r="D130"/>
  <c r="P130"/>
  <c r="O130"/>
  <c r="C129"/>
  <c r="AA129"/>
  <c r="AK129"/>
  <c r="AI129"/>
  <c r="AH129"/>
  <c r="AG129"/>
  <c r="AF129"/>
  <c r="AE129"/>
  <c r="AD129"/>
  <c r="AC129"/>
  <c r="AB129"/>
  <c r="Y129"/>
  <c r="K129"/>
  <c r="W129"/>
  <c r="V129"/>
  <c r="U129"/>
  <c r="T129"/>
  <c r="G129"/>
  <c r="S129"/>
  <c r="R129"/>
  <c r="Q129"/>
  <c r="D129"/>
  <c r="P129"/>
  <c r="O129"/>
  <c r="C128"/>
  <c r="AA128"/>
  <c r="AK128"/>
  <c r="AI128"/>
  <c r="AH128"/>
  <c r="AG128"/>
  <c r="AF128"/>
  <c r="AE128"/>
  <c r="AD128"/>
  <c r="AC128"/>
  <c r="AB128"/>
  <c r="Y128"/>
  <c r="K128"/>
  <c r="W128"/>
  <c r="V128"/>
  <c r="U128"/>
  <c r="T128"/>
  <c r="G128"/>
  <c r="S128"/>
  <c r="R128"/>
  <c r="Q128"/>
  <c r="D128"/>
  <c r="P128"/>
  <c r="O128"/>
  <c r="C127"/>
  <c r="AA127"/>
  <c r="AK127"/>
  <c r="AI127"/>
  <c r="AH127"/>
  <c r="AG127"/>
  <c r="AF127"/>
  <c r="AE127"/>
  <c r="AD127"/>
  <c r="AC127"/>
  <c r="AB127"/>
  <c r="Y127"/>
  <c r="K127"/>
  <c r="W127"/>
  <c r="V127"/>
  <c r="U127"/>
  <c r="T127"/>
  <c r="G127"/>
  <c r="S127"/>
  <c r="R127"/>
  <c r="Q127"/>
  <c r="D127"/>
  <c r="P127"/>
  <c r="O127"/>
  <c r="C126"/>
  <c r="AA126"/>
  <c r="AK126"/>
  <c r="AI126"/>
  <c r="AH126"/>
  <c r="AG126"/>
  <c r="AF126"/>
  <c r="AE126"/>
  <c r="AD126"/>
  <c r="AC126"/>
  <c r="AB126"/>
  <c r="Y126"/>
  <c r="K126"/>
  <c r="W126"/>
  <c r="V126"/>
  <c r="U126"/>
  <c r="T126"/>
  <c r="G126"/>
  <c r="S126"/>
  <c r="R126"/>
  <c r="Q126"/>
  <c r="D126"/>
  <c r="P126"/>
  <c r="O126"/>
  <c r="C125"/>
  <c r="AA125"/>
  <c r="AK125"/>
  <c r="AI125"/>
  <c r="AH125"/>
  <c r="AG125"/>
  <c r="AF125"/>
  <c r="AE125"/>
  <c r="AD125"/>
  <c r="AC125"/>
  <c r="AB125"/>
  <c r="Y125"/>
  <c r="K125"/>
  <c r="W125"/>
  <c r="V125"/>
  <c r="U125"/>
  <c r="T125"/>
  <c r="G125"/>
  <c r="S125"/>
  <c r="R125"/>
  <c r="Q125"/>
  <c r="D125"/>
  <c r="P125"/>
  <c r="O125"/>
  <c r="C124"/>
  <c r="AA124"/>
  <c r="AK124"/>
  <c r="AI124"/>
  <c r="AH124"/>
  <c r="AG124"/>
  <c r="AF124"/>
  <c r="AE124"/>
  <c r="AD124"/>
  <c r="AC124"/>
  <c r="AB124"/>
  <c r="Y124"/>
  <c r="K124"/>
  <c r="W124"/>
  <c r="V124"/>
  <c r="U124"/>
  <c r="T124"/>
  <c r="G124"/>
  <c r="S124"/>
  <c r="R124"/>
  <c r="Q124"/>
  <c r="D124"/>
  <c r="P124"/>
  <c r="O124"/>
  <c r="C123"/>
  <c r="AA123"/>
  <c r="AK123"/>
  <c r="AI123"/>
  <c r="AH123"/>
  <c r="AG123"/>
  <c r="AF123"/>
  <c r="AE123"/>
  <c r="AD123"/>
  <c r="AC123"/>
  <c r="AB123"/>
  <c r="Y123"/>
  <c r="K123"/>
  <c r="W123"/>
  <c r="V123"/>
  <c r="U123"/>
  <c r="T123"/>
  <c r="G123"/>
  <c r="S123"/>
  <c r="R123"/>
  <c r="Q123"/>
  <c r="D123"/>
  <c r="P123"/>
  <c r="O123"/>
  <c r="C122"/>
  <c r="AA122"/>
  <c r="AK122"/>
  <c r="AI122"/>
  <c r="AH122"/>
  <c r="AG122"/>
  <c r="AF122"/>
  <c r="AE122"/>
  <c r="AD122"/>
  <c r="AC122"/>
  <c r="AB122"/>
  <c r="Y122"/>
  <c r="K122"/>
  <c r="W122"/>
  <c r="V122"/>
  <c r="U122"/>
  <c r="T122"/>
  <c r="G122"/>
  <c r="S122"/>
  <c r="R122"/>
  <c r="Q122"/>
  <c r="D122"/>
  <c r="P122"/>
  <c r="O122"/>
  <c r="C121"/>
  <c r="AA121"/>
  <c r="AK121"/>
  <c r="AI121"/>
  <c r="AH121"/>
  <c r="AG121"/>
  <c r="AF121"/>
  <c r="AE121"/>
  <c r="AD121"/>
  <c r="AC121"/>
  <c r="AB121"/>
  <c r="Y121"/>
  <c r="K121"/>
  <c r="W121"/>
  <c r="V121"/>
  <c r="U121"/>
  <c r="T121"/>
  <c r="G121"/>
  <c r="S121"/>
  <c r="R121"/>
  <c r="Q121"/>
  <c r="D121"/>
  <c r="P121"/>
  <c r="O121"/>
  <c r="C120"/>
  <c r="AA120"/>
  <c r="AK120"/>
  <c r="AI120"/>
  <c r="AH120"/>
  <c r="AG120"/>
  <c r="AF120"/>
  <c r="AE120"/>
  <c r="AD120"/>
  <c r="AC120"/>
  <c r="AB120"/>
  <c r="Y120"/>
  <c r="K120"/>
  <c r="W120"/>
  <c r="V120"/>
  <c r="U120"/>
  <c r="T120"/>
  <c r="G120"/>
  <c r="S120"/>
  <c r="R120"/>
  <c r="Q120"/>
  <c r="D120"/>
  <c r="P120"/>
  <c r="O120"/>
  <c r="C119"/>
  <c r="AA119"/>
  <c r="AK119"/>
  <c r="AI119"/>
  <c r="AH119"/>
  <c r="AG119"/>
  <c r="AF119"/>
  <c r="AE119"/>
  <c r="AD119"/>
  <c r="AC119"/>
  <c r="AB119"/>
  <c r="Y119"/>
  <c r="K119"/>
  <c r="W119"/>
  <c r="V119"/>
  <c r="U119"/>
  <c r="T119"/>
  <c r="G119"/>
  <c r="S119"/>
  <c r="R119"/>
  <c r="Q119"/>
  <c r="D119"/>
  <c r="P119"/>
  <c r="O119"/>
  <c r="C118"/>
  <c r="AA118"/>
  <c r="AK118"/>
  <c r="AI118"/>
  <c r="AH118"/>
  <c r="AG118"/>
  <c r="AF118"/>
  <c r="AE118"/>
  <c r="AD118"/>
  <c r="AC118"/>
  <c r="AB118"/>
  <c r="Y118"/>
  <c r="K118"/>
  <c r="W118"/>
  <c r="V118"/>
  <c r="U118"/>
  <c r="T118"/>
  <c r="G118"/>
  <c r="S118"/>
  <c r="R118"/>
  <c r="Q118"/>
  <c r="D118"/>
  <c r="P118"/>
  <c r="O118"/>
  <c r="C117"/>
  <c r="AA117"/>
  <c r="AK117"/>
  <c r="AI117"/>
  <c r="AH117"/>
  <c r="AG117"/>
  <c r="AF117"/>
  <c r="AE117"/>
  <c r="AD117"/>
  <c r="AC117"/>
  <c r="AB117"/>
  <c r="Y117"/>
  <c r="K117"/>
  <c r="W117"/>
  <c r="V117"/>
  <c r="U117"/>
  <c r="T117"/>
  <c r="G117"/>
  <c r="S117"/>
  <c r="R117"/>
  <c r="Q117"/>
  <c r="D117"/>
  <c r="P117"/>
  <c r="O117"/>
  <c r="C116"/>
  <c r="AA116"/>
  <c r="AK116"/>
  <c r="AI116"/>
  <c r="AH116"/>
  <c r="AG116"/>
  <c r="AF116"/>
  <c r="AE116"/>
  <c r="AD116"/>
  <c r="AC116"/>
  <c r="AB116"/>
  <c r="Y116"/>
  <c r="K116"/>
  <c r="W116"/>
  <c r="V116"/>
  <c r="U116"/>
  <c r="T116"/>
  <c r="G116"/>
  <c r="S116"/>
  <c r="R116"/>
  <c r="Q116"/>
  <c r="D116"/>
  <c r="P116"/>
  <c r="O116"/>
  <c r="C115"/>
  <c r="AA115"/>
  <c r="AK115"/>
  <c r="AI115"/>
  <c r="AH115"/>
  <c r="AG115"/>
  <c r="AF115"/>
  <c r="AE115"/>
  <c r="AD115"/>
  <c r="AC115"/>
  <c r="AB115"/>
  <c r="Y115"/>
  <c r="K115"/>
  <c r="W115"/>
  <c r="V115"/>
  <c r="U115"/>
  <c r="T115"/>
  <c r="G115"/>
  <c r="S115"/>
  <c r="R115"/>
  <c r="Q115"/>
  <c r="D115"/>
  <c r="P115"/>
  <c r="O115"/>
  <c r="C114"/>
  <c r="AA114"/>
  <c r="AK114"/>
  <c r="AI114"/>
  <c r="AH114"/>
  <c r="AG114"/>
  <c r="AF114"/>
  <c r="AE114"/>
  <c r="AD114"/>
  <c r="AC114"/>
  <c r="AB114"/>
  <c r="Y114"/>
  <c r="K114"/>
  <c r="W114"/>
  <c r="V114"/>
  <c r="U114"/>
  <c r="T114"/>
  <c r="G114"/>
  <c r="S114"/>
  <c r="R114"/>
  <c r="Q114"/>
  <c r="D114"/>
  <c r="P114"/>
  <c r="O114"/>
  <c r="C113"/>
  <c r="AA113"/>
  <c r="AK113"/>
  <c r="AI113"/>
  <c r="AH113"/>
  <c r="AG113"/>
  <c r="AF113"/>
  <c r="AE113"/>
  <c r="AD113"/>
  <c r="AC113"/>
  <c r="AB113"/>
  <c r="Y113"/>
  <c r="K113"/>
  <c r="W113"/>
  <c r="V113"/>
  <c r="U113"/>
  <c r="T113"/>
  <c r="G113"/>
  <c r="S113"/>
  <c r="R113"/>
  <c r="Q113"/>
  <c r="D113"/>
  <c r="P113"/>
  <c r="O113"/>
  <c r="C112"/>
  <c r="AA112"/>
  <c r="AK112"/>
  <c r="AI112"/>
  <c r="AH112"/>
  <c r="AG112"/>
  <c r="AF112"/>
  <c r="AE112"/>
  <c r="AD112"/>
  <c r="AC112"/>
  <c r="AB112"/>
  <c r="Y112"/>
  <c r="K112"/>
  <c r="W112"/>
  <c r="V112"/>
  <c r="U112"/>
  <c r="T112"/>
  <c r="G112"/>
  <c r="S112"/>
  <c r="R112"/>
  <c r="Q112"/>
  <c r="D112"/>
  <c r="P112"/>
  <c r="O112"/>
  <c r="C111"/>
  <c r="AA111"/>
  <c r="AK111"/>
  <c r="AI111"/>
  <c r="AH111"/>
  <c r="AG111"/>
  <c r="AF111"/>
  <c r="AE111"/>
  <c r="AD111"/>
  <c r="AC111"/>
  <c r="AB111"/>
  <c r="Y111"/>
  <c r="K111"/>
  <c r="W111"/>
  <c r="V111"/>
  <c r="U111"/>
  <c r="T111"/>
  <c r="G111"/>
  <c r="S111"/>
  <c r="R111"/>
  <c r="Q111"/>
  <c r="D111"/>
  <c r="P111"/>
  <c r="O111"/>
  <c r="C110"/>
  <c r="AA110"/>
  <c r="AK110"/>
  <c r="AI110"/>
  <c r="AH110"/>
  <c r="AG110"/>
  <c r="AF110"/>
  <c r="AE110"/>
  <c r="AD110"/>
  <c r="AC110"/>
  <c r="AB110"/>
  <c r="Y110"/>
  <c r="K110"/>
  <c r="W110"/>
  <c r="V110"/>
  <c r="U110"/>
  <c r="T110"/>
  <c r="G110"/>
  <c r="S110"/>
  <c r="R110"/>
  <c r="Q110"/>
  <c r="D110"/>
  <c r="P110"/>
  <c r="O110"/>
  <c r="C109"/>
  <c r="AA109"/>
  <c r="AK109"/>
  <c r="AI109"/>
  <c r="AH109"/>
  <c r="AG109"/>
  <c r="AF109"/>
  <c r="AE109"/>
  <c r="AD109"/>
  <c r="AC109"/>
  <c r="AB109"/>
  <c r="Y109"/>
  <c r="K109"/>
  <c r="W109"/>
  <c r="V109"/>
  <c r="U109"/>
  <c r="T109"/>
  <c r="G109"/>
  <c r="S109"/>
  <c r="R109"/>
  <c r="Q109"/>
  <c r="D109"/>
  <c r="P109"/>
  <c r="O109"/>
  <c r="C108"/>
  <c r="AA108"/>
  <c r="AK108"/>
  <c r="AI108"/>
  <c r="AH108"/>
  <c r="AG108"/>
  <c r="AF108"/>
  <c r="AE108"/>
  <c r="AD108"/>
  <c r="AC108"/>
  <c r="AB108"/>
  <c r="Y108"/>
  <c r="K108"/>
  <c r="W108"/>
  <c r="V108"/>
  <c r="U108"/>
  <c r="T108"/>
  <c r="G108"/>
  <c r="S108"/>
  <c r="R108"/>
  <c r="Q108"/>
  <c r="D108"/>
  <c r="P108"/>
  <c r="O108"/>
  <c r="C107"/>
  <c r="AA107"/>
  <c r="AK107"/>
  <c r="AI107"/>
  <c r="AH107"/>
  <c r="AG107"/>
  <c r="AF107"/>
  <c r="AE107"/>
  <c r="AD107"/>
  <c r="AC107"/>
  <c r="AB107"/>
  <c r="Y107"/>
  <c r="K107"/>
  <c r="W107"/>
  <c r="V107"/>
  <c r="U107"/>
  <c r="T107"/>
  <c r="G107"/>
  <c r="S107"/>
  <c r="R107"/>
  <c r="Q107"/>
  <c r="D107"/>
  <c r="P107"/>
  <c r="O107"/>
  <c r="C106"/>
  <c r="AA106"/>
  <c r="AK106"/>
  <c r="AI106"/>
  <c r="AH106"/>
  <c r="AG106"/>
  <c r="AF106"/>
  <c r="AE106"/>
  <c r="AD106"/>
  <c r="AC106"/>
  <c r="AB106"/>
  <c r="Y106"/>
  <c r="K106"/>
  <c r="W106"/>
  <c r="V106"/>
  <c r="U106"/>
  <c r="T106"/>
  <c r="G106"/>
  <c r="S106"/>
  <c r="R106"/>
  <c r="Q106"/>
  <c r="D106"/>
  <c r="P106"/>
  <c r="O106"/>
  <c r="C105"/>
  <c r="AA105"/>
  <c r="AK105"/>
  <c r="AI105"/>
  <c r="AH105"/>
  <c r="AG105"/>
  <c r="AF105"/>
  <c r="AE105"/>
  <c r="AD105"/>
  <c r="AC105"/>
  <c r="AB105"/>
  <c r="Y105"/>
  <c r="K105"/>
  <c r="W105"/>
  <c r="V105"/>
  <c r="U105"/>
  <c r="T105"/>
  <c r="G105"/>
  <c r="S105"/>
  <c r="R105"/>
  <c r="Q105"/>
  <c r="D105"/>
  <c r="P105"/>
  <c r="O105"/>
  <c r="C104"/>
  <c r="AA104"/>
  <c r="AK104"/>
  <c r="AI104"/>
  <c r="AH104"/>
  <c r="AG104"/>
  <c r="AF104"/>
  <c r="AE104"/>
  <c r="AD104"/>
  <c r="AC104"/>
  <c r="AB104"/>
  <c r="Y104"/>
  <c r="K104"/>
  <c r="W104"/>
  <c r="V104"/>
  <c r="U104"/>
  <c r="T104"/>
  <c r="G104"/>
  <c r="S104"/>
  <c r="R104"/>
  <c r="Q104"/>
  <c r="D104"/>
  <c r="P104"/>
  <c r="O104"/>
  <c r="C103"/>
  <c r="AA103"/>
  <c r="AK103"/>
  <c r="AI103"/>
  <c r="AH103"/>
  <c r="AG103"/>
  <c r="AF103"/>
  <c r="AE103"/>
  <c r="AD103"/>
  <c r="AC103"/>
  <c r="AB103"/>
  <c r="Y103"/>
  <c r="K103"/>
  <c r="W103"/>
  <c r="V103"/>
  <c r="U103"/>
  <c r="T103"/>
  <c r="G103"/>
  <c r="S103"/>
  <c r="R103"/>
  <c r="Q103"/>
  <c r="D103"/>
  <c r="P103"/>
  <c r="O103"/>
  <c r="C102"/>
  <c r="AA102"/>
  <c r="AK102"/>
  <c r="AI102"/>
  <c r="AH102"/>
  <c r="AG102"/>
  <c r="AF102"/>
  <c r="AE102"/>
  <c r="AD102"/>
  <c r="AC102"/>
  <c r="AB102"/>
  <c r="Y102"/>
  <c r="K102"/>
  <c r="W102"/>
  <c r="V102"/>
  <c r="U102"/>
  <c r="T102"/>
  <c r="G102"/>
  <c r="S102"/>
  <c r="R102"/>
  <c r="Q102"/>
  <c r="D102"/>
  <c r="P102"/>
  <c r="O102"/>
  <c r="C101"/>
  <c r="AA101"/>
  <c r="AK101"/>
  <c r="AI101"/>
  <c r="AH101"/>
  <c r="AG101"/>
  <c r="AF101"/>
  <c r="AE101"/>
  <c r="AD101"/>
  <c r="AC101"/>
  <c r="AB101"/>
  <c r="Y101"/>
  <c r="K101"/>
  <c r="W101"/>
  <c r="V101"/>
  <c r="U101"/>
  <c r="T101"/>
  <c r="G101"/>
  <c r="S101"/>
  <c r="R101"/>
  <c r="Q101"/>
  <c r="D101"/>
  <c r="P101"/>
  <c r="O101"/>
  <c r="C100"/>
  <c r="AA100"/>
  <c r="AK100"/>
  <c r="AI100"/>
  <c r="AH100"/>
  <c r="AG100"/>
  <c r="AF100"/>
  <c r="AE100"/>
  <c r="AD100"/>
  <c r="AC100"/>
  <c r="AB100"/>
  <c r="Y100"/>
  <c r="K100"/>
  <c r="W100"/>
  <c r="V100"/>
  <c r="U100"/>
  <c r="T100"/>
  <c r="G100"/>
  <c r="S100"/>
  <c r="R100"/>
  <c r="Q100"/>
  <c r="D100"/>
  <c r="P100"/>
  <c r="O100"/>
  <c r="C99"/>
  <c r="AA99"/>
  <c r="AK99"/>
  <c r="AI99"/>
  <c r="AH99"/>
  <c r="AG99"/>
  <c r="AF99"/>
  <c r="AE99"/>
  <c r="AD99"/>
  <c r="AC99"/>
  <c r="AB99"/>
  <c r="Y99"/>
  <c r="K99"/>
  <c r="W99"/>
  <c r="V99"/>
  <c r="U99"/>
  <c r="T99"/>
  <c r="G99"/>
  <c r="S99"/>
  <c r="R99"/>
  <c r="Q99"/>
  <c r="D99"/>
  <c r="P99"/>
  <c r="O99"/>
  <c r="C98"/>
  <c r="AA98"/>
  <c r="AK98"/>
  <c r="AI98"/>
  <c r="AH98"/>
  <c r="AG98"/>
  <c r="AF98"/>
  <c r="AE98"/>
  <c r="AD98"/>
  <c r="AC98"/>
  <c r="AB98"/>
  <c r="Y98"/>
  <c r="K98"/>
  <c r="W98"/>
  <c r="V98"/>
  <c r="U98"/>
  <c r="T98"/>
  <c r="G98"/>
  <c r="S98"/>
  <c r="R98"/>
  <c r="Q98"/>
  <c r="D98"/>
  <c r="P98"/>
  <c r="O98"/>
  <c r="C97"/>
  <c r="AA97"/>
  <c r="AK97"/>
  <c r="AI97"/>
  <c r="AH97"/>
  <c r="AG97"/>
  <c r="AF97"/>
  <c r="AE97"/>
  <c r="AD97"/>
  <c r="AC97"/>
  <c r="AB97"/>
  <c r="Y97"/>
  <c r="K97"/>
  <c r="W97"/>
  <c r="V97"/>
  <c r="U97"/>
  <c r="T97"/>
  <c r="G97"/>
  <c r="S97"/>
  <c r="R97"/>
  <c r="Q97"/>
  <c r="D97"/>
  <c r="P97"/>
  <c r="O97"/>
  <c r="C96"/>
  <c r="AA96"/>
  <c r="AK96"/>
  <c r="AI96"/>
  <c r="AH96"/>
  <c r="AG96"/>
  <c r="AF96"/>
  <c r="AE96"/>
  <c r="AD96"/>
  <c r="AC96"/>
  <c r="AB96"/>
  <c r="Y96"/>
  <c r="K96"/>
  <c r="W96"/>
  <c r="V96"/>
  <c r="U96"/>
  <c r="T96"/>
  <c r="G96"/>
  <c r="S96"/>
  <c r="R96"/>
  <c r="Q96"/>
  <c r="D96"/>
  <c r="P96"/>
  <c r="O96"/>
  <c r="C95"/>
  <c r="AA95"/>
  <c r="AK95"/>
  <c r="AI95"/>
  <c r="AH95"/>
  <c r="AG95"/>
  <c r="AF95"/>
  <c r="AE95"/>
  <c r="AD95"/>
  <c r="AC95"/>
  <c r="AB95"/>
  <c r="Y95"/>
  <c r="K95"/>
  <c r="W95"/>
  <c r="V95"/>
  <c r="U95"/>
  <c r="T95"/>
  <c r="G95"/>
  <c r="S95"/>
  <c r="R95"/>
  <c r="Q95"/>
  <c r="D95"/>
  <c r="P95"/>
  <c r="O95"/>
  <c r="C94"/>
  <c r="AA94"/>
  <c r="AK94"/>
  <c r="AI94"/>
  <c r="AH94"/>
  <c r="AG94"/>
  <c r="AF94"/>
  <c r="AE94"/>
  <c r="AD94"/>
  <c r="AC94"/>
  <c r="AB94"/>
  <c r="Y94"/>
  <c r="K94"/>
  <c r="W94"/>
  <c r="V94"/>
  <c r="U94"/>
  <c r="T94"/>
  <c r="G94"/>
  <c r="S94"/>
  <c r="R94"/>
  <c r="Q94"/>
  <c r="D94"/>
  <c r="P94"/>
  <c r="O94"/>
  <c r="C93"/>
  <c r="AA93"/>
  <c r="AK93"/>
  <c r="AI93"/>
  <c r="AH93"/>
  <c r="AG93"/>
  <c r="AF93"/>
  <c r="AE93"/>
  <c r="AD93"/>
  <c r="AC93"/>
  <c r="AB93"/>
  <c r="Y93"/>
  <c r="K93"/>
  <c r="W93"/>
  <c r="V93"/>
  <c r="U93"/>
  <c r="T93"/>
  <c r="G93"/>
  <c r="S93"/>
  <c r="R93"/>
  <c r="Q93"/>
  <c r="D93"/>
  <c r="P93"/>
  <c r="O93"/>
  <c r="C92"/>
  <c r="AA92"/>
  <c r="AK92"/>
  <c r="AI92"/>
  <c r="AH92"/>
  <c r="AG92"/>
  <c r="AF92"/>
  <c r="AE92"/>
  <c r="AD92"/>
  <c r="AC92"/>
  <c r="AB92"/>
  <c r="Y92"/>
  <c r="K92"/>
  <c r="W92"/>
  <c r="V92"/>
  <c r="U92"/>
  <c r="T92"/>
  <c r="G92"/>
  <c r="S92"/>
  <c r="R92"/>
  <c r="Q92"/>
  <c r="D92"/>
  <c r="P92"/>
  <c r="O92"/>
  <c r="C91"/>
  <c r="AA91"/>
  <c r="AK91"/>
  <c r="AI91"/>
  <c r="AH91"/>
  <c r="AG91"/>
  <c r="AF91"/>
  <c r="AE91"/>
  <c r="AD91"/>
  <c r="AC91"/>
  <c r="AB91"/>
  <c r="Y91"/>
  <c r="K91"/>
  <c r="W91"/>
  <c r="V91"/>
  <c r="U91"/>
  <c r="T91"/>
  <c r="G91"/>
  <c r="S91"/>
  <c r="R91"/>
  <c r="Q91"/>
  <c r="D91"/>
  <c r="P91"/>
  <c r="O91"/>
  <c r="C90"/>
  <c r="AA90"/>
  <c r="AK90"/>
  <c r="AI90"/>
  <c r="AH90"/>
  <c r="AG90"/>
  <c r="AF90"/>
  <c r="AE90"/>
  <c r="AD90"/>
  <c r="AC90"/>
  <c r="AB90"/>
  <c r="Y90"/>
  <c r="K90"/>
  <c r="W90"/>
  <c r="V90"/>
  <c r="U90"/>
  <c r="T90"/>
  <c r="G90"/>
  <c r="S90"/>
  <c r="R90"/>
  <c r="Q90"/>
  <c r="D90"/>
  <c r="P90"/>
  <c r="O90"/>
  <c r="C89"/>
  <c r="AA89"/>
  <c r="AK89"/>
  <c r="AI89"/>
  <c r="AH89"/>
  <c r="AG89"/>
  <c r="AF89"/>
  <c r="AE89"/>
  <c r="AD89"/>
  <c r="AC89"/>
  <c r="AB89"/>
  <c r="Y89"/>
  <c r="K89"/>
  <c r="W89"/>
  <c r="V89"/>
  <c r="U89"/>
  <c r="T89"/>
  <c r="G89"/>
  <c r="S89"/>
  <c r="R89"/>
  <c r="Q89"/>
  <c r="D89"/>
  <c r="P89"/>
  <c r="O89"/>
  <c r="C88"/>
  <c r="AA88"/>
  <c r="AK88"/>
  <c r="AI88"/>
  <c r="AH88"/>
  <c r="AG88"/>
  <c r="AF88"/>
  <c r="AE88"/>
  <c r="AD88"/>
  <c r="AC88"/>
  <c r="AB88"/>
  <c r="Y88"/>
  <c r="K88"/>
  <c r="W88"/>
  <c r="V88"/>
  <c r="U88"/>
  <c r="T88"/>
  <c r="G88"/>
  <c r="S88"/>
  <c r="R88"/>
  <c r="Q88"/>
  <c r="D88"/>
  <c r="P88"/>
  <c r="O88"/>
  <c r="C87"/>
  <c r="AA87"/>
  <c r="AK87"/>
  <c r="AI87"/>
  <c r="AH87"/>
  <c r="AG87"/>
  <c r="AF87"/>
  <c r="AE87"/>
  <c r="AD87"/>
  <c r="AC87"/>
  <c r="AB87"/>
  <c r="Y87"/>
  <c r="K87"/>
  <c r="W87"/>
  <c r="V87"/>
  <c r="U87"/>
  <c r="T87"/>
  <c r="G87"/>
  <c r="S87"/>
  <c r="R87"/>
  <c r="Q87"/>
  <c r="D87"/>
  <c r="P87"/>
  <c r="O87"/>
  <c r="C86"/>
  <c r="AA86"/>
  <c r="AK86"/>
  <c r="AI86"/>
  <c r="AH86"/>
  <c r="AG86"/>
  <c r="AF86"/>
  <c r="AE86"/>
  <c r="AD86"/>
  <c r="AC86"/>
  <c r="AB86"/>
  <c r="Y86"/>
  <c r="K86"/>
  <c r="W86"/>
  <c r="V86"/>
  <c r="U86"/>
  <c r="T86"/>
  <c r="G86"/>
  <c r="S86"/>
  <c r="R86"/>
  <c r="Q86"/>
  <c r="D86"/>
  <c r="P86"/>
  <c r="O86"/>
  <c r="C85"/>
  <c r="AA85"/>
  <c r="AK85"/>
  <c r="AI85"/>
  <c r="AH85"/>
  <c r="AG85"/>
  <c r="AF85"/>
  <c r="AE85"/>
  <c r="AD85"/>
  <c r="AC85"/>
  <c r="AB85"/>
  <c r="Y85"/>
  <c r="K85"/>
  <c r="W85"/>
  <c r="V85"/>
  <c r="U85"/>
  <c r="T85"/>
  <c r="G85"/>
  <c r="S85"/>
  <c r="R85"/>
  <c r="Q85"/>
  <c r="D85"/>
  <c r="P85"/>
  <c r="O85"/>
  <c r="C84"/>
  <c r="AA84"/>
  <c r="AK84"/>
  <c r="AI84"/>
  <c r="AH84"/>
  <c r="AG84"/>
  <c r="AF84"/>
  <c r="AE84"/>
  <c r="AD84"/>
  <c r="AC84"/>
  <c r="AB84"/>
  <c r="Y84"/>
  <c r="K84"/>
  <c r="W84"/>
  <c r="V84"/>
  <c r="U84"/>
  <c r="T84"/>
  <c r="G84"/>
  <c r="S84"/>
  <c r="R84"/>
  <c r="Q84"/>
  <c r="D84"/>
  <c r="P84"/>
  <c r="O84"/>
  <c r="C83"/>
  <c r="AA83"/>
  <c r="AK83"/>
  <c r="AI83"/>
  <c r="AH83"/>
  <c r="AG83"/>
  <c r="AF83"/>
  <c r="AE83"/>
  <c r="AD83"/>
  <c r="AC83"/>
  <c r="AB83"/>
  <c r="Y83"/>
  <c r="K83"/>
  <c r="W83"/>
  <c r="V83"/>
  <c r="U83"/>
  <c r="T83"/>
  <c r="G83"/>
  <c r="S83"/>
  <c r="R83"/>
  <c r="Q83"/>
  <c r="D83"/>
  <c r="P83"/>
  <c r="O83"/>
  <c r="C82"/>
  <c r="AA82"/>
  <c r="AK82"/>
  <c r="AI82"/>
  <c r="AH82"/>
  <c r="AG82"/>
  <c r="AF82"/>
  <c r="AE82"/>
  <c r="AD82"/>
  <c r="AC82"/>
  <c r="AB82"/>
  <c r="Y82"/>
  <c r="K82"/>
  <c r="W82"/>
  <c r="V82"/>
  <c r="U82"/>
  <c r="T82"/>
  <c r="G82"/>
  <c r="S82"/>
  <c r="R82"/>
  <c r="Q82"/>
  <c r="D82"/>
  <c r="P82"/>
  <c r="O82"/>
  <c r="C81"/>
  <c r="AA81"/>
  <c r="AK81"/>
  <c r="AI81"/>
  <c r="AH81"/>
  <c r="AG81"/>
  <c r="AF81"/>
  <c r="AE81"/>
  <c r="AD81"/>
  <c r="AC81"/>
  <c r="AB81"/>
  <c r="Y81"/>
  <c r="K81"/>
  <c r="W81"/>
  <c r="V81"/>
  <c r="U81"/>
  <c r="T81"/>
  <c r="G81"/>
  <c r="S81"/>
  <c r="R81"/>
  <c r="Q81"/>
  <c r="D81"/>
  <c r="P81"/>
  <c r="O81"/>
  <c r="C80"/>
  <c r="AA80"/>
  <c r="AK80"/>
  <c r="AI80"/>
  <c r="AH80"/>
  <c r="AG80"/>
  <c r="AF80"/>
  <c r="AE80"/>
  <c r="AD80"/>
  <c r="AC80"/>
  <c r="AB80"/>
  <c r="Y80"/>
  <c r="K80"/>
  <c r="W80"/>
  <c r="V80"/>
  <c r="U80"/>
  <c r="T80"/>
  <c r="G80"/>
  <c r="S80"/>
  <c r="R80"/>
  <c r="Q80"/>
  <c r="D80"/>
  <c r="P80"/>
  <c r="O80"/>
  <c r="C79"/>
  <c r="AA79"/>
  <c r="AK79"/>
  <c r="AI79"/>
  <c r="AH79"/>
  <c r="AG79"/>
  <c r="AF79"/>
  <c r="AE79"/>
  <c r="AD79"/>
  <c r="AC79"/>
  <c r="AB79"/>
  <c r="Y79"/>
  <c r="K79"/>
  <c r="W79"/>
  <c r="V79"/>
  <c r="U79"/>
  <c r="T79"/>
  <c r="G79"/>
  <c r="S79"/>
  <c r="R79"/>
  <c r="Q79"/>
  <c r="D79"/>
  <c r="P79"/>
  <c r="O79"/>
  <c r="C78"/>
  <c r="AA78"/>
  <c r="AK78"/>
  <c r="AI78"/>
  <c r="AH78"/>
  <c r="AG78"/>
  <c r="AF78"/>
  <c r="AE78"/>
  <c r="AD78"/>
  <c r="AC78"/>
  <c r="AB78"/>
  <c r="Y78"/>
  <c r="K78"/>
  <c r="W78"/>
  <c r="V78"/>
  <c r="U78"/>
  <c r="T78"/>
  <c r="G78"/>
  <c r="S78"/>
  <c r="R78"/>
  <c r="Q78"/>
  <c r="D78"/>
  <c r="P78"/>
  <c r="O78"/>
  <c r="C77"/>
  <c r="AA77"/>
  <c r="AK77"/>
  <c r="AI77"/>
  <c r="AH77"/>
  <c r="AG77"/>
  <c r="AF77"/>
  <c r="AE77"/>
  <c r="AD77"/>
  <c r="AC77"/>
  <c r="AB77"/>
  <c r="Y77"/>
  <c r="K77"/>
  <c r="W77"/>
  <c r="V77"/>
  <c r="U77"/>
  <c r="T77"/>
  <c r="G77"/>
  <c r="S77"/>
  <c r="R77"/>
  <c r="Q77"/>
  <c r="D77"/>
  <c r="P77"/>
  <c r="O77"/>
  <c r="C76"/>
  <c r="AA76"/>
  <c r="AK76"/>
  <c r="AI76"/>
  <c r="AH76"/>
  <c r="AG76"/>
  <c r="AF76"/>
  <c r="AE76"/>
  <c r="AD76"/>
  <c r="AC76"/>
  <c r="AB76"/>
  <c r="Y76"/>
  <c r="K76"/>
  <c r="W76"/>
  <c r="V76"/>
  <c r="U76"/>
  <c r="T76"/>
  <c r="G76"/>
  <c r="S76"/>
  <c r="R76"/>
  <c r="Q76"/>
  <c r="D76"/>
  <c r="P76"/>
  <c r="O76"/>
  <c r="C75"/>
  <c r="AA75"/>
  <c r="AK75"/>
  <c r="AI75"/>
  <c r="AH75"/>
  <c r="AG75"/>
  <c r="AF75"/>
  <c r="AE75"/>
  <c r="AD75"/>
  <c r="AC75"/>
  <c r="AB75"/>
  <c r="Y75"/>
  <c r="K75"/>
  <c r="W75"/>
  <c r="V75"/>
  <c r="U75"/>
  <c r="T75"/>
  <c r="G75"/>
  <c r="S75"/>
  <c r="R75"/>
  <c r="Q75"/>
  <c r="D75"/>
  <c r="P75"/>
  <c r="O75"/>
  <c r="C74"/>
  <c r="AA74"/>
  <c r="AK74"/>
  <c r="AI74"/>
  <c r="AH74"/>
  <c r="AG74"/>
  <c r="AF74"/>
  <c r="AE74"/>
  <c r="AD74"/>
  <c r="AC74"/>
  <c r="AB74"/>
  <c r="Y74"/>
  <c r="K74"/>
  <c r="W74"/>
  <c r="V74"/>
  <c r="U74"/>
  <c r="T74"/>
  <c r="G74"/>
  <c r="S74"/>
  <c r="R74"/>
  <c r="Q74"/>
  <c r="D74"/>
  <c r="P74"/>
  <c r="O74"/>
  <c r="C73"/>
  <c r="AA73"/>
  <c r="AK73"/>
  <c r="AI73"/>
  <c r="AH73"/>
  <c r="AG73"/>
  <c r="AF73"/>
  <c r="AE73"/>
  <c r="AD73"/>
  <c r="AC73"/>
  <c r="AB73"/>
  <c r="Y73"/>
  <c r="K73"/>
  <c r="W73"/>
  <c r="V73"/>
  <c r="U73"/>
  <c r="T73"/>
  <c r="G73"/>
  <c r="S73"/>
  <c r="R73"/>
  <c r="Q73"/>
  <c r="D73"/>
  <c r="P73"/>
  <c r="O73"/>
  <c r="C72"/>
  <c r="AA72"/>
  <c r="AK72"/>
  <c r="AI72"/>
  <c r="AH72"/>
  <c r="AG72"/>
  <c r="AF72"/>
  <c r="AE72"/>
  <c r="AD72"/>
  <c r="AC72"/>
  <c r="AB72"/>
  <c r="Y72"/>
  <c r="K72"/>
  <c r="W72"/>
  <c r="V72"/>
  <c r="U72"/>
  <c r="T72"/>
  <c r="G72"/>
  <c r="S72"/>
  <c r="R72"/>
  <c r="Q72"/>
  <c r="D72"/>
  <c r="P72"/>
  <c r="O72"/>
  <c r="C71"/>
  <c r="AA71"/>
  <c r="AK71"/>
  <c r="AI71"/>
  <c r="AH71"/>
  <c r="AG71"/>
  <c r="AF71"/>
  <c r="AE71"/>
  <c r="AD71"/>
  <c r="AC71"/>
  <c r="AB71"/>
  <c r="Y71"/>
  <c r="K71"/>
  <c r="W71"/>
  <c r="V71"/>
  <c r="U71"/>
  <c r="T71"/>
  <c r="G71"/>
  <c r="S71"/>
  <c r="R71"/>
  <c r="Q71"/>
  <c r="D71"/>
  <c r="P71"/>
  <c r="O71"/>
  <c r="C70"/>
  <c r="AA70"/>
  <c r="AK70"/>
  <c r="AI70"/>
  <c r="AH70"/>
  <c r="AG70"/>
  <c r="AF70"/>
  <c r="AE70"/>
  <c r="AD70"/>
  <c r="AC70"/>
  <c r="AB70"/>
  <c r="Y70"/>
  <c r="K70"/>
  <c r="W70"/>
  <c r="V70"/>
  <c r="U70"/>
  <c r="T70"/>
  <c r="G70"/>
  <c r="S70"/>
  <c r="R70"/>
  <c r="Q70"/>
  <c r="D70"/>
  <c r="P70"/>
  <c r="O70"/>
  <c r="C69"/>
  <c r="AA69"/>
  <c r="AK69"/>
  <c r="AI69"/>
  <c r="AH69"/>
  <c r="AG69"/>
  <c r="AF69"/>
  <c r="AE69"/>
  <c r="AD69"/>
  <c r="AC69"/>
  <c r="AB69"/>
  <c r="Y69"/>
  <c r="K69"/>
  <c r="W69"/>
  <c r="V69"/>
  <c r="U69"/>
  <c r="T69"/>
  <c r="G69"/>
  <c r="S69"/>
  <c r="R69"/>
  <c r="Q69"/>
  <c r="D69"/>
  <c r="P69"/>
  <c r="O69"/>
  <c r="C68"/>
  <c r="AA68"/>
  <c r="AK68"/>
  <c r="AI68"/>
  <c r="AH68"/>
  <c r="AG68"/>
  <c r="AF68"/>
  <c r="AE68"/>
  <c r="AD68"/>
  <c r="AC68"/>
  <c r="AB68"/>
  <c r="Y68"/>
  <c r="K68"/>
  <c r="W68"/>
  <c r="V68"/>
  <c r="U68"/>
  <c r="T68"/>
  <c r="G68"/>
  <c r="S68"/>
  <c r="R68"/>
  <c r="Q68"/>
  <c r="D68"/>
  <c r="P68"/>
  <c r="O68"/>
  <c r="C67"/>
  <c r="AA67"/>
  <c r="AK67"/>
  <c r="AI67"/>
  <c r="AH67"/>
  <c r="AG67"/>
  <c r="AF67"/>
  <c r="AE67"/>
  <c r="AD67"/>
  <c r="AC67"/>
  <c r="AB67"/>
  <c r="Y67"/>
  <c r="K67"/>
  <c r="W67"/>
  <c r="V67"/>
  <c r="U67"/>
  <c r="T67"/>
  <c r="G67"/>
  <c r="S67"/>
  <c r="R67"/>
  <c r="Q67"/>
  <c r="D67"/>
  <c r="P67"/>
  <c r="O67"/>
  <c r="C66"/>
  <c r="AA66"/>
  <c r="AK66"/>
  <c r="AI66"/>
  <c r="AH66"/>
  <c r="AG66"/>
  <c r="AF66"/>
  <c r="AE66"/>
  <c r="AD66"/>
  <c r="AC66"/>
  <c r="AB66"/>
  <c r="Y66"/>
  <c r="K66"/>
  <c r="W66"/>
  <c r="V66"/>
  <c r="U66"/>
  <c r="T66"/>
  <c r="G66"/>
  <c r="S66"/>
  <c r="R66"/>
  <c r="Q66"/>
  <c r="D66"/>
  <c r="P66"/>
  <c r="O66"/>
  <c r="C65"/>
  <c r="AA65"/>
  <c r="AK65"/>
  <c r="AI65"/>
  <c r="AH65"/>
  <c r="AG65"/>
  <c r="AF65"/>
  <c r="AE65"/>
  <c r="AD65"/>
  <c r="AC65"/>
  <c r="AB65"/>
  <c r="Y65"/>
  <c r="K65"/>
  <c r="W65"/>
  <c r="V65"/>
  <c r="U65"/>
  <c r="T65"/>
  <c r="G65"/>
  <c r="S65"/>
  <c r="R65"/>
  <c r="Q65"/>
  <c r="D65"/>
  <c r="P65"/>
  <c r="O65"/>
  <c r="C64"/>
  <c r="AA64"/>
  <c r="AK64"/>
  <c r="AI64"/>
  <c r="AH64"/>
  <c r="AG64"/>
  <c r="AF64"/>
  <c r="AE64"/>
  <c r="AD64"/>
  <c r="AC64"/>
  <c r="AB64"/>
  <c r="Y64"/>
  <c r="K64"/>
  <c r="W64"/>
  <c r="V64"/>
  <c r="U64"/>
  <c r="T64"/>
  <c r="G64"/>
  <c r="S64"/>
  <c r="R64"/>
  <c r="Q64"/>
  <c r="D64"/>
  <c r="P64"/>
  <c r="O64"/>
  <c r="C63"/>
  <c r="AA63"/>
  <c r="AK63"/>
  <c r="AI63"/>
  <c r="AH63"/>
  <c r="AG63"/>
  <c r="AF63"/>
  <c r="AE63"/>
  <c r="AD63"/>
  <c r="AC63"/>
  <c r="AB63"/>
  <c r="Y63"/>
  <c r="K63"/>
  <c r="W63"/>
  <c r="V63"/>
  <c r="U63"/>
  <c r="T63"/>
  <c r="G63"/>
  <c r="S63"/>
  <c r="R63"/>
  <c r="Q63"/>
  <c r="D63"/>
  <c r="P63"/>
  <c r="O63"/>
  <c r="C62"/>
  <c r="AA62"/>
  <c r="AK62"/>
  <c r="AI62"/>
  <c r="AH62"/>
  <c r="AG62"/>
  <c r="AF62"/>
  <c r="AE62"/>
  <c r="AD62"/>
  <c r="AC62"/>
  <c r="AB62"/>
  <c r="Y62"/>
  <c r="K62"/>
  <c r="W62"/>
  <c r="V62"/>
  <c r="U62"/>
  <c r="T62"/>
  <c r="G62"/>
  <c r="S62"/>
  <c r="R62"/>
  <c r="Q62"/>
  <c r="D62"/>
  <c r="P62"/>
  <c r="O62"/>
  <c r="C61"/>
  <c r="AA61"/>
  <c r="AK61"/>
  <c r="AI61"/>
  <c r="AH61"/>
  <c r="AG61"/>
  <c r="AF61"/>
  <c r="AE61"/>
  <c r="AD61"/>
  <c r="AC61"/>
  <c r="AB61"/>
  <c r="Y61"/>
  <c r="K61"/>
  <c r="W61"/>
  <c r="V61"/>
  <c r="U61"/>
  <c r="T61"/>
  <c r="G61"/>
  <c r="S61"/>
  <c r="R61"/>
  <c r="Q61"/>
  <c r="D61"/>
  <c r="P61"/>
  <c r="O61"/>
  <c r="C60"/>
  <c r="AA60"/>
  <c r="AK60"/>
  <c r="AI60"/>
  <c r="AH60"/>
  <c r="AG60"/>
  <c r="AF60"/>
  <c r="AE60"/>
  <c r="AD60"/>
  <c r="AC60"/>
  <c r="AB60"/>
  <c r="Y60"/>
  <c r="K60"/>
  <c r="W60"/>
  <c r="V60"/>
  <c r="U60"/>
  <c r="T60"/>
  <c r="G60"/>
  <c r="S60"/>
  <c r="R60"/>
  <c r="Q60"/>
  <c r="D60"/>
  <c r="P60"/>
  <c r="O60"/>
  <c r="C59"/>
  <c r="AA59"/>
  <c r="AK59"/>
  <c r="AI59"/>
  <c r="AH59"/>
  <c r="AG59"/>
  <c r="AF59"/>
  <c r="AE59"/>
  <c r="AD59"/>
  <c r="AC59"/>
  <c r="AB59"/>
  <c r="Y59"/>
  <c r="K59"/>
  <c r="W59"/>
  <c r="V59"/>
  <c r="U59"/>
  <c r="T59"/>
  <c r="G59"/>
  <c r="S59"/>
  <c r="R59"/>
  <c r="Q59"/>
  <c r="D59"/>
  <c r="P59"/>
  <c r="O59"/>
  <c r="C58"/>
  <c r="AA58"/>
  <c r="AK58"/>
  <c r="AI58"/>
  <c r="AH58"/>
  <c r="AG58"/>
  <c r="AF58"/>
  <c r="AE58"/>
  <c r="AD58"/>
  <c r="AC58"/>
  <c r="AB58"/>
  <c r="Y58"/>
  <c r="K58"/>
  <c r="W58"/>
  <c r="V58"/>
  <c r="U58"/>
  <c r="T58"/>
  <c r="G58"/>
  <c r="S58"/>
  <c r="R58"/>
  <c r="Q58"/>
  <c r="D58"/>
  <c r="P58"/>
  <c r="O58"/>
  <c r="C57"/>
  <c r="AA57"/>
  <c r="AK57"/>
  <c r="AI57"/>
  <c r="AH57"/>
  <c r="AG57"/>
  <c r="AF57"/>
  <c r="AE57"/>
  <c r="AD57"/>
  <c r="AC57"/>
  <c r="AB57"/>
  <c r="Y57"/>
  <c r="K57"/>
  <c r="W57"/>
  <c r="V57"/>
  <c r="U57"/>
  <c r="T57"/>
  <c r="G57"/>
  <c r="S57"/>
  <c r="R57"/>
  <c r="Q57"/>
  <c r="D57"/>
  <c r="P57"/>
  <c r="O57"/>
  <c r="C56"/>
  <c r="AA56"/>
  <c r="AK56"/>
  <c r="AI56"/>
  <c r="AH56"/>
  <c r="AG56"/>
  <c r="AF56"/>
  <c r="AE56"/>
  <c r="AD56"/>
  <c r="AC56"/>
  <c r="AB56"/>
  <c r="Y56"/>
  <c r="K56"/>
  <c r="W56"/>
  <c r="V56"/>
  <c r="U56"/>
  <c r="T56"/>
  <c r="G56"/>
  <c r="S56"/>
  <c r="R56"/>
  <c r="Q56"/>
  <c r="D56"/>
  <c r="P56"/>
  <c r="O56"/>
  <c r="C55"/>
  <c r="AA55"/>
  <c r="AK55"/>
  <c r="AI55"/>
  <c r="AH55"/>
  <c r="AG55"/>
  <c r="AF55"/>
  <c r="AE55"/>
  <c r="AD55"/>
  <c r="AC55"/>
  <c r="AB55"/>
  <c r="Y55"/>
  <c r="K55"/>
  <c r="W55"/>
  <c r="V55"/>
  <c r="U55"/>
  <c r="T55"/>
  <c r="G55"/>
  <c r="S55"/>
  <c r="R55"/>
  <c r="Q55"/>
  <c r="D55"/>
  <c r="P55"/>
  <c r="O55"/>
  <c r="C54"/>
  <c r="AA54"/>
  <c r="AK54"/>
  <c r="AI54"/>
  <c r="AH54"/>
  <c r="AG54"/>
  <c r="AF54"/>
  <c r="AE54"/>
  <c r="AD54"/>
  <c r="AC54"/>
  <c r="AB54"/>
  <c r="Y54"/>
  <c r="K54"/>
  <c r="W54"/>
  <c r="V54"/>
  <c r="U54"/>
  <c r="T54"/>
  <c r="G54"/>
  <c r="S54"/>
  <c r="R54"/>
  <c r="Q54"/>
  <c r="D54"/>
  <c r="P54"/>
  <c r="O54"/>
  <c r="C53"/>
  <c r="AA53"/>
  <c r="AK53"/>
  <c r="AI53"/>
  <c r="AH53"/>
  <c r="AG53"/>
  <c r="AF53"/>
  <c r="AE53"/>
  <c r="AD53"/>
  <c r="AC53"/>
  <c r="AB53"/>
  <c r="Y53"/>
  <c r="K53"/>
  <c r="W53"/>
  <c r="V53"/>
  <c r="U53"/>
  <c r="T53"/>
  <c r="G53"/>
  <c r="S53"/>
  <c r="R53"/>
  <c r="Q53"/>
  <c r="D53"/>
  <c r="P53"/>
  <c r="O53"/>
  <c r="C52"/>
  <c r="AA52"/>
  <c r="AK52"/>
  <c r="AI52"/>
  <c r="AH52"/>
  <c r="AG52"/>
  <c r="AF52"/>
  <c r="AE52"/>
  <c r="AD52"/>
  <c r="AC52"/>
  <c r="AB52"/>
  <c r="Y52"/>
  <c r="K52"/>
  <c r="W52"/>
  <c r="V52"/>
  <c r="U52"/>
  <c r="T52"/>
  <c r="S52"/>
  <c r="R52"/>
  <c r="Q52"/>
  <c r="D52"/>
  <c r="P52"/>
  <c r="O52"/>
  <c r="C51"/>
  <c r="AA51"/>
  <c r="AK51"/>
  <c r="AI51"/>
  <c r="AH51"/>
  <c r="AG51"/>
  <c r="AF51"/>
  <c r="AE51"/>
  <c r="AD51"/>
  <c r="AC51"/>
  <c r="AB51"/>
  <c r="Y51"/>
  <c r="K51"/>
  <c r="W51"/>
  <c r="V51"/>
  <c r="U51"/>
  <c r="T51"/>
  <c r="S51"/>
  <c r="R51"/>
  <c r="Q51"/>
  <c r="D51"/>
  <c r="P51"/>
  <c r="O51"/>
  <c r="C50"/>
  <c r="AA50"/>
  <c r="AK50"/>
  <c r="AI50"/>
  <c r="AH50"/>
  <c r="AG50"/>
  <c r="AF50"/>
  <c r="AE50"/>
  <c r="AD50"/>
  <c r="AC50"/>
  <c r="AB50"/>
  <c r="Y50"/>
  <c r="K50"/>
  <c r="W50"/>
  <c r="V50"/>
  <c r="U50"/>
  <c r="T50"/>
  <c r="S50"/>
  <c r="R50"/>
  <c r="Q50"/>
  <c r="D50"/>
  <c r="P50"/>
  <c r="O50"/>
  <c r="C49"/>
  <c r="AA49"/>
  <c r="AK49"/>
  <c r="AI49"/>
  <c r="AH49"/>
  <c r="AG49"/>
  <c r="AF49"/>
  <c r="AE49"/>
  <c r="AD49"/>
  <c r="AC49"/>
  <c r="AB49"/>
  <c r="Y49"/>
  <c r="K49"/>
  <c r="W49"/>
  <c r="V49"/>
  <c r="U49"/>
  <c r="T49"/>
  <c r="S49"/>
  <c r="R49"/>
  <c r="Q49"/>
  <c r="D49"/>
  <c r="P49"/>
  <c r="O49"/>
  <c r="C48"/>
  <c r="AA48"/>
  <c r="AK48"/>
  <c r="AI48"/>
  <c r="AH48"/>
  <c r="AG48"/>
  <c r="AF48"/>
  <c r="AE48"/>
  <c r="AD48"/>
  <c r="AC48"/>
  <c r="AB48"/>
  <c r="Y48"/>
  <c r="K48"/>
  <c r="W48"/>
  <c r="V48"/>
  <c r="U48"/>
  <c r="T48"/>
  <c r="S48"/>
  <c r="R48"/>
  <c r="Q48"/>
  <c r="D48"/>
  <c r="P48"/>
  <c r="O48"/>
  <c r="C47"/>
  <c r="AA47"/>
  <c r="AK47"/>
  <c r="AI47"/>
  <c r="AH47"/>
  <c r="AG47"/>
  <c r="AF47"/>
  <c r="AE47"/>
  <c r="AD47"/>
  <c r="AC47"/>
  <c r="AB47"/>
  <c r="Y47"/>
  <c r="K47"/>
  <c r="W47"/>
  <c r="V47"/>
  <c r="U47"/>
  <c r="T47"/>
  <c r="S47"/>
  <c r="R47"/>
  <c r="Q47"/>
  <c r="D47"/>
  <c r="P47"/>
  <c r="O47"/>
  <c r="C46"/>
  <c r="AA46"/>
  <c r="AK46"/>
  <c r="AI46"/>
  <c r="AH46"/>
  <c r="AG46"/>
  <c r="AF46"/>
  <c r="AE46"/>
  <c r="AD46"/>
  <c r="AC46"/>
  <c r="AB46"/>
  <c r="Y46"/>
  <c r="K46"/>
  <c r="W46"/>
  <c r="V46"/>
  <c r="U46"/>
  <c r="T46"/>
  <c r="S46"/>
  <c r="R46"/>
  <c r="Q46"/>
  <c r="D46"/>
  <c r="P46"/>
  <c r="O46"/>
  <c r="C45"/>
  <c r="AA45"/>
  <c r="AK45"/>
  <c r="AI45"/>
  <c r="AH45"/>
  <c r="AG45"/>
  <c r="AF45"/>
  <c r="AE45"/>
  <c r="AD45"/>
  <c r="AC45"/>
  <c r="AB45"/>
  <c r="Y45"/>
  <c r="K45"/>
  <c r="W45"/>
  <c r="V45"/>
  <c r="U45"/>
  <c r="T45"/>
  <c r="S45"/>
  <c r="R45"/>
  <c r="Q45"/>
  <c r="D45"/>
  <c r="P45"/>
  <c r="O45"/>
  <c r="C44"/>
  <c r="AA44"/>
  <c r="AK44"/>
  <c r="AI44"/>
  <c r="AH44"/>
  <c r="AG44"/>
  <c r="AF44"/>
  <c r="AE44"/>
  <c r="AD44"/>
  <c r="AC44"/>
  <c r="AB44"/>
  <c r="Y44"/>
  <c r="K44"/>
  <c r="W44"/>
  <c r="V44"/>
  <c r="U44"/>
  <c r="T44"/>
  <c r="S44"/>
  <c r="R44"/>
  <c r="Q44"/>
  <c r="D44"/>
  <c r="P44"/>
  <c r="O44"/>
  <c r="C43"/>
  <c r="AA43"/>
  <c r="AK43"/>
  <c r="AI43"/>
  <c r="AH43"/>
  <c r="AG43"/>
  <c r="AF43"/>
  <c r="AE43"/>
  <c r="AD43"/>
  <c r="AC43"/>
  <c r="AB43"/>
  <c r="Y43"/>
  <c r="K43"/>
  <c r="W43"/>
  <c r="V43"/>
  <c r="U43"/>
  <c r="T43"/>
  <c r="S43"/>
  <c r="R43"/>
  <c r="Q43"/>
  <c r="D43"/>
  <c r="P43"/>
  <c r="O43"/>
  <c r="C42"/>
  <c r="AA42"/>
  <c r="AK42"/>
  <c r="AI42"/>
  <c r="AH42"/>
  <c r="AG42"/>
  <c r="AF42"/>
  <c r="AE42"/>
  <c r="AD42"/>
  <c r="AC42"/>
  <c r="AB42"/>
  <c r="Y42"/>
  <c r="K42"/>
  <c r="W42"/>
  <c r="V42"/>
  <c r="U42"/>
  <c r="T42"/>
  <c r="S42"/>
  <c r="R42"/>
  <c r="Q42"/>
  <c r="D42"/>
  <c r="P42"/>
  <c r="O42"/>
  <c r="C41"/>
  <c r="AA41"/>
  <c r="AK41"/>
  <c r="AI41"/>
  <c r="AH41"/>
  <c r="AG41"/>
  <c r="AF41"/>
  <c r="AE41"/>
  <c r="AD41"/>
  <c r="AC41"/>
  <c r="AB41"/>
  <c r="Y41"/>
  <c r="K41"/>
  <c r="W41"/>
  <c r="V41"/>
  <c r="U41"/>
  <c r="T41"/>
  <c r="S41"/>
  <c r="R41"/>
  <c r="Q41"/>
  <c r="D41"/>
  <c r="P41"/>
  <c r="O41"/>
  <c r="C40"/>
  <c r="AA40"/>
  <c r="AK40"/>
  <c r="AI40"/>
  <c r="AH40"/>
  <c r="AG40"/>
  <c r="AF40"/>
  <c r="AE40"/>
  <c r="AD40"/>
  <c r="AC40"/>
  <c r="AB40"/>
  <c r="Y40"/>
  <c r="K40"/>
  <c r="W40"/>
  <c r="V40"/>
  <c r="U40"/>
  <c r="T40"/>
  <c r="S40"/>
  <c r="R40"/>
  <c r="Q40"/>
  <c r="P40"/>
  <c r="O40"/>
  <c r="C39"/>
  <c r="AA39"/>
  <c r="AK39"/>
  <c r="AI39"/>
  <c r="AH39"/>
  <c r="AG39"/>
  <c r="AF39"/>
  <c r="AE39"/>
  <c r="AD39"/>
  <c r="AC39"/>
  <c r="AB39"/>
  <c r="Y39"/>
  <c r="K39"/>
  <c r="W39"/>
  <c r="V39"/>
  <c r="U39"/>
  <c r="T39"/>
  <c r="S39"/>
  <c r="R39"/>
  <c r="Q39"/>
  <c r="P39"/>
  <c r="O39"/>
  <c r="C38"/>
  <c r="AA38"/>
  <c r="AK38"/>
  <c r="AI38"/>
  <c r="AH38"/>
  <c r="AG38"/>
  <c r="AF38"/>
  <c r="AE38"/>
  <c r="AD38"/>
  <c r="AC38"/>
  <c r="AB38"/>
  <c r="Y38"/>
  <c r="K38"/>
  <c r="W38"/>
  <c r="V38"/>
  <c r="U38"/>
  <c r="T38"/>
  <c r="S38"/>
  <c r="R38"/>
  <c r="Q38"/>
  <c r="D38"/>
  <c r="P38"/>
  <c r="O38"/>
  <c r="C37"/>
  <c r="AA37"/>
  <c r="AK37"/>
  <c r="AI37"/>
  <c r="AH37"/>
  <c r="AG37"/>
  <c r="AF37"/>
  <c r="AE37"/>
  <c r="AD37"/>
  <c r="AC37"/>
  <c r="AB37"/>
  <c r="Y37"/>
  <c r="W37"/>
  <c r="V37"/>
  <c r="U37"/>
  <c r="T37"/>
  <c r="S37"/>
  <c r="R37"/>
  <c r="Q37"/>
  <c r="D37"/>
  <c r="P37"/>
  <c r="O37"/>
  <c r="C36"/>
  <c r="AA36"/>
  <c r="AK36"/>
  <c r="AI36"/>
  <c r="AH36"/>
  <c r="AG36"/>
  <c r="AF36"/>
  <c r="AE36"/>
  <c r="AD36"/>
  <c r="AC36"/>
  <c r="AB36"/>
  <c r="Y36"/>
  <c r="W36"/>
  <c r="V36"/>
  <c r="U36"/>
  <c r="T36"/>
  <c r="S36"/>
  <c r="R36"/>
  <c r="Q36"/>
  <c r="P36"/>
  <c r="O36"/>
  <c r="C35"/>
  <c r="AA35"/>
  <c r="AK35"/>
  <c r="AI35"/>
  <c r="AH35"/>
  <c r="AG35"/>
  <c r="AF35"/>
  <c r="AE35"/>
  <c r="AD35"/>
  <c r="AC35"/>
  <c r="AB35"/>
  <c r="Y35"/>
  <c r="W35"/>
  <c r="V35"/>
  <c r="U35"/>
  <c r="T35"/>
  <c r="S35"/>
  <c r="R35"/>
  <c r="Q35"/>
  <c r="D35"/>
  <c r="P35"/>
  <c r="O35"/>
  <c r="C34"/>
  <c r="AA34"/>
  <c r="AK34"/>
  <c r="AI34"/>
  <c r="AH34"/>
  <c r="AG34"/>
  <c r="AF34"/>
  <c r="AE34"/>
  <c r="AD34"/>
  <c r="AC34"/>
  <c r="AB34"/>
  <c r="Y34"/>
  <c r="W34"/>
  <c r="V34"/>
  <c r="U34"/>
  <c r="T34"/>
  <c r="S34"/>
  <c r="R34"/>
  <c r="Q34"/>
  <c r="D34"/>
  <c r="P34"/>
  <c r="O34"/>
  <c r="C33"/>
  <c r="AA33"/>
  <c r="AK33"/>
  <c r="AI33"/>
  <c r="AH33"/>
  <c r="AG33"/>
  <c r="AF33"/>
  <c r="AE33"/>
  <c r="AD33"/>
  <c r="AC33"/>
  <c r="AB33"/>
  <c r="Y33"/>
  <c r="W33"/>
  <c r="V33"/>
  <c r="U33"/>
  <c r="T33"/>
  <c r="S33"/>
  <c r="R33"/>
  <c r="Q33"/>
  <c r="D33"/>
  <c r="P33"/>
  <c r="O33"/>
  <c r="C32"/>
  <c r="AA32"/>
  <c r="AK32"/>
  <c r="AI32"/>
  <c r="AH32"/>
  <c r="AG32"/>
  <c r="AF32"/>
  <c r="AE32"/>
  <c r="AD32"/>
  <c r="AC32"/>
  <c r="AB32"/>
  <c r="Y32"/>
  <c r="W32"/>
  <c r="V32"/>
  <c r="U32"/>
  <c r="T32"/>
  <c r="S32"/>
  <c r="R32"/>
  <c r="Q32"/>
  <c r="D32"/>
  <c r="P32"/>
  <c r="O32"/>
  <c r="C31"/>
  <c r="AA31"/>
  <c r="AK31"/>
  <c r="AI31"/>
  <c r="AH31"/>
  <c r="AG31"/>
  <c r="AF31"/>
  <c r="AE31"/>
  <c r="AD31"/>
  <c r="AC31"/>
  <c r="AB31"/>
  <c r="Y31"/>
  <c r="W31"/>
  <c r="V31"/>
  <c r="U31"/>
  <c r="T31"/>
  <c r="S31"/>
  <c r="R31"/>
  <c r="Q31"/>
  <c r="D31"/>
  <c r="P31"/>
  <c r="O31"/>
  <c r="C30"/>
  <c r="AA30"/>
  <c r="AK30"/>
  <c r="AI30"/>
  <c r="AH30"/>
  <c r="AG30"/>
  <c r="AF30"/>
  <c r="AE30"/>
  <c r="AD30"/>
  <c r="AC30"/>
  <c r="AB30"/>
  <c r="Y30"/>
  <c r="W30"/>
  <c r="V30"/>
  <c r="U30"/>
  <c r="T30"/>
  <c r="S30"/>
  <c r="R30"/>
  <c r="Q30"/>
  <c r="D30"/>
  <c r="P30"/>
  <c r="O30"/>
  <c r="C29"/>
  <c r="AA29"/>
  <c r="AK29"/>
  <c r="AI29"/>
  <c r="AH29"/>
  <c r="AG29"/>
  <c r="AF29"/>
  <c r="AE29"/>
  <c r="AD29"/>
  <c r="AC29"/>
  <c r="AB29"/>
  <c r="Y29"/>
  <c r="W29"/>
  <c r="V29"/>
  <c r="U29"/>
  <c r="T29"/>
  <c r="S29"/>
  <c r="R29"/>
  <c r="Q29"/>
  <c r="D29"/>
  <c r="P29"/>
  <c r="O29"/>
  <c r="C28"/>
  <c r="AA28"/>
  <c r="AK28"/>
  <c r="AI28"/>
  <c r="AH28"/>
  <c r="AG28"/>
  <c r="AF28"/>
  <c r="AE28"/>
  <c r="AD28"/>
  <c r="AC28"/>
  <c r="AB28"/>
  <c r="Y28"/>
  <c r="W28"/>
  <c r="V28"/>
  <c r="U28"/>
  <c r="T28"/>
  <c r="S28"/>
  <c r="R28"/>
  <c r="Q28"/>
  <c r="D28"/>
  <c r="P28"/>
  <c r="O28"/>
  <c r="C27"/>
  <c r="AA27"/>
  <c r="AK27"/>
  <c r="AI27"/>
  <c r="AH27"/>
  <c r="AG27"/>
  <c r="AF27"/>
  <c r="AE27"/>
  <c r="AD27"/>
  <c r="AC27"/>
  <c r="AB27"/>
  <c r="Y27"/>
  <c r="W27"/>
  <c r="V27"/>
  <c r="U27"/>
  <c r="T27"/>
  <c r="S27"/>
  <c r="R27"/>
  <c r="Q27"/>
  <c r="P27"/>
  <c r="O27"/>
  <c r="C26"/>
  <c r="AA26"/>
  <c r="AK26"/>
  <c r="AI26"/>
  <c r="AH26"/>
  <c r="AG26"/>
  <c r="AF26"/>
  <c r="AE26"/>
  <c r="AD26"/>
  <c r="AC26"/>
  <c r="AB26"/>
  <c r="Y26"/>
  <c r="W26"/>
  <c r="V26"/>
  <c r="U26"/>
  <c r="T26"/>
  <c r="S26"/>
  <c r="R26"/>
  <c r="Q26"/>
  <c r="P26"/>
  <c r="O26"/>
  <c r="C25"/>
  <c r="AA25"/>
  <c r="AK25"/>
  <c r="AI25"/>
  <c r="AH25"/>
  <c r="AG25"/>
  <c r="AF25"/>
  <c r="AE25"/>
  <c r="AD25"/>
  <c r="AC25"/>
  <c r="AB25"/>
  <c r="Y25"/>
  <c r="W25"/>
  <c r="V25"/>
  <c r="U25"/>
  <c r="T25"/>
  <c r="S25"/>
  <c r="R25"/>
  <c r="Q25"/>
  <c r="P25"/>
  <c r="O25"/>
  <c r="C24"/>
  <c r="AA24"/>
  <c r="AK24"/>
  <c r="AI24"/>
  <c r="AH24"/>
  <c r="AG24"/>
  <c r="AF24"/>
  <c r="AE24"/>
  <c r="AD24"/>
  <c r="AC24"/>
  <c r="AB24"/>
  <c r="Y24"/>
  <c r="W24"/>
  <c r="V24"/>
  <c r="U24"/>
  <c r="T24"/>
  <c r="S24"/>
  <c r="R24"/>
  <c r="Q24"/>
  <c r="D24"/>
  <c r="P24"/>
  <c r="O24"/>
  <c r="C23"/>
  <c r="AA23"/>
  <c r="AK23"/>
  <c r="AI23"/>
  <c r="AH23"/>
  <c r="AG23"/>
  <c r="AF23"/>
  <c r="AE23"/>
  <c r="AD23"/>
  <c r="AC23"/>
  <c r="AB23"/>
  <c r="Y23"/>
  <c r="W23"/>
  <c r="V23"/>
  <c r="U23"/>
  <c r="T23"/>
  <c r="S23"/>
  <c r="R23"/>
  <c r="Q23"/>
  <c r="D23"/>
  <c r="P23"/>
  <c r="O23"/>
  <c r="C22"/>
  <c r="AA22"/>
  <c r="AK22"/>
  <c r="AI22"/>
  <c r="AH22"/>
  <c r="AG22"/>
  <c r="AF22"/>
  <c r="AE22"/>
  <c r="AD22"/>
  <c r="AC22"/>
  <c r="AB22"/>
  <c r="Y22"/>
  <c r="W22"/>
  <c r="V22"/>
  <c r="U22"/>
  <c r="T22"/>
  <c r="S22"/>
  <c r="R22"/>
  <c r="Q22"/>
  <c r="D22"/>
  <c r="P22"/>
  <c r="O22"/>
  <c r="C21"/>
  <c r="AA21"/>
  <c r="AK21"/>
  <c r="AI21"/>
  <c r="AH21"/>
  <c r="AG21"/>
  <c r="AF21"/>
  <c r="AE21"/>
  <c r="AD21"/>
  <c r="AC21"/>
  <c r="AB21"/>
  <c r="Y21"/>
  <c r="W21"/>
  <c r="V21"/>
  <c r="U21"/>
  <c r="T21"/>
  <c r="S21"/>
  <c r="R21"/>
  <c r="Q21"/>
  <c r="D21"/>
  <c r="P21"/>
  <c r="O21"/>
  <c r="C20"/>
  <c r="AA20"/>
  <c r="AK20"/>
  <c r="AI20"/>
  <c r="AH20"/>
  <c r="AG20"/>
  <c r="AF20"/>
  <c r="AE20"/>
  <c r="AD20"/>
  <c r="AC20"/>
  <c r="AB20"/>
  <c r="Y20"/>
  <c r="W20"/>
  <c r="V20"/>
  <c r="U20"/>
  <c r="T20"/>
  <c r="S20"/>
  <c r="R20"/>
  <c r="Q20"/>
  <c r="D20"/>
  <c r="P20"/>
  <c r="O20"/>
  <c r="C19"/>
  <c r="AA19"/>
  <c r="AK19"/>
  <c r="AI19"/>
  <c r="AH19"/>
  <c r="AG19"/>
  <c r="AF19"/>
  <c r="AE19"/>
  <c r="AD19"/>
  <c r="AC19"/>
  <c r="AB19"/>
  <c r="Y19"/>
  <c r="W19"/>
  <c r="V19"/>
  <c r="U19"/>
  <c r="T19"/>
  <c r="S19"/>
  <c r="R19"/>
  <c r="Q19"/>
  <c r="D19"/>
  <c r="P19"/>
  <c r="O19"/>
  <c r="C18"/>
  <c r="AA18"/>
  <c r="AK18"/>
  <c r="AI18"/>
  <c r="AH18"/>
  <c r="AG18"/>
  <c r="AF18"/>
  <c r="AE18"/>
  <c r="AD18"/>
  <c r="AC18"/>
  <c r="AB18"/>
  <c r="Y18"/>
  <c r="W18"/>
  <c r="V18"/>
  <c r="U18"/>
  <c r="T18"/>
  <c r="S18"/>
  <c r="R18"/>
  <c r="Q18"/>
  <c r="D18"/>
  <c r="P18"/>
  <c r="O18"/>
  <c r="C17"/>
  <c r="AA17"/>
  <c r="AK17"/>
  <c r="AI17"/>
  <c r="AH17"/>
  <c r="AG17"/>
  <c r="AF17"/>
  <c r="AE17"/>
  <c r="AD17"/>
  <c r="AC17"/>
  <c r="AB17"/>
  <c r="Y17"/>
  <c r="W17"/>
  <c r="V17"/>
  <c r="U17"/>
  <c r="T17"/>
  <c r="S17"/>
  <c r="R17"/>
  <c r="Q17"/>
  <c r="D17"/>
  <c r="P17"/>
  <c r="O17"/>
  <c r="C16"/>
  <c r="AA16"/>
  <c r="AK16"/>
  <c r="AI16"/>
  <c r="AH16"/>
  <c r="AG16"/>
  <c r="AF16"/>
  <c r="AE16"/>
  <c r="AD16"/>
  <c r="AC16"/>
  <c r="AB16"/>
  <c r="Y16"/>
  <c r="W16"/>
  <c r="V16"/>
  <c r="U16"/>
  <c r="T16"/>
  <c r="S16"/>
  <c r="R16"/>
  <c r="Q16"/>
  <c r="D16"/>
  <c r="P16"/>
  <c r="O16"/>
  <c r="C15"/>
  <c r="AA15"/>
  <c r="AK15"/>
  <c r="AI15"/>
  <c r="AH15"/>
  <c r="AG15"/>
  <c r="AF15"/>
  <c r="AE15"/>
  <c r="AD15"/>
  <c r="AC15"/>
  <c r="AB15"/>
  <c r="Y15"/>
  <c r="W15"/>
  <c r="V15"/>
  <c r="U15"/>
  <c r="T15"/>
  <c r="S15"/>
  <c r="R15"/>
  <c r="Q15"/>
  <c r="D15"/>
  <c r="P15"/>
  <c r="O15"/>
  <c r="C14"/>
  <c r="AA14"/>
  <c r="AK14"/>
  <c r="AI14"/>
  <c r="AH14"/>
  <c r="AG14"/>
  <c r="AF14"/>
  <c r="AE14"/>
  <c r="AD14"/>
  <c r="AC14"/>
  <c r="AB14"/>
  <c r="Y14"/>
  <c r="W14"/>
  <c r="V14"/>
  <c r="U14"/>
  <c r="T14"/>
  <c r="S14"/>
  <c r="R14"/>
  <c r="Q14"/>
  <c r="D14"/>
  <c r="P14"/>
  <c r="O14"/>
  <c r="C13"/>
  <c r="AA13"/>
  <c r="AK13"/>
  <c r="AI13"/>
  <c r="AH13"/>
  <c r="AG13"/>
  <c r="AF13"/>
  <c r="AE13"/>
  <c r="AD13"/>
  <c r="AC13"/>
  <c r="AB13"/>
  <c r="Y13"/>
  <c r="W13"/>
  <c r="V13"/>
  <c r="U13"/>
  <c r="T13"/>
  <c r="S13"/>
  <c r="R13"/>
  <c r="Q13"/>
  <c r="D13"/>
  <c r="P13"/>
  <c r="O13"/>
  <c r="C12"/>
  <c r="AA12"/>
  <c r="AK12"/>
  <c r="AI12"/>
  <c r="AH12"/>
  <c r="AG12"/>
  <c r="AF12"/>
  <c r="AE12"/>
  <c r="AD12"/>
  <c r="AC12"/>
  <c r="AB12"/>
  <c r="Y12"/>
  <c r="W12"/>
  <c r="V12"/>
  <c r="U12"/>
  <c r="T12"/>
  <c r="S12"/>
  <c r="R12"/>
  <c r="Q12"/>
  <c r="D12"/>
  <c r="P12"/>
  <c r="O12"/>
  <c r="C11"/>
  <c r="AA11"/>
  <c r="AK11"/>
  <c r="AI11"/>
  <c r="AH11"/>
  <c r="AG11"/>
  <c r="AF11"/>
  <c r="AE11"/>
  <c r="AD11"/>
  <c r="AC11"/>
  <c r="AB11"/>
  <c r="Y11"/>
  <c r="W11"/>
  <c r="V11"/>
  <c r="U11"/>
  <c r="T11"/>
  <c r="S11"/>
  <c r="R11"/>
  <c r="Q11"/>
  <c r="D11"/>
  <c r="P11"/>
  <c r="O11"/>
  <c r="C10"/>
  <c r="AA10"/>
  <c r="AK10"/>
  <c r="AI10"/>
  <c r="AH10"/>
  <c r="AG10"/>
  <c r="AF10"/>
  <c r="AE10"/>
  <c r="AD10"/>
  <c r="AC10"/>
  <c r="AB10"/>
  <c r="Y10"/>
  <c r="W10"/>
  <c r="V10"/>
  <c r="U10"/>
  <c r="T10"/>
  <c r="S10"/>
  <c r="R10"/>
  <c r="Q10"/>
  <c r="D10"/>
  <c r="P10"/>
  <c r="O10"/>
  <c r="C9"/>
  <c r="AA9"/>
  <c r="AK9"/>
  <c r="AI9"/>
  <c r="AH9"/>
  <c r="AG9"/>
  <c r="AF9"/>
  <c r="AE9"/>
  <c r="AD9"/>
  <c r="AC9"/>
  <c r="AB9"/>
  <c r="Y9"/>
  <c r="W9"/>
  <c r="V9"/>
  <c r="U9"/>
  <c r="T9"/>
  <c r="S9"/>
  <c r="R9"/>
  <c r="Q9"/>
  <c r="D9"/>
  <c r="P9"/>
  <c r="O9"/>
  <c r="C8"/>
  <c r="AA8"/>
  <c r="AK8"/>
  <c r="AI8"/>
  <c r="AH8"/>
  <c r="AG8"/>
  <c r="AF8"/>
  <c r="AE8"/>
  <c r="AD8"/>
  <c r="AC8"/>
  <c r="AB8"/>
  <c r="Y8"/>
  <c r="W8"/>
  <c r="V8"/>
  <c r="U8"/>
  <c r="T8"/>
  <c r="S8"/>
  <c r="R8"/>
  <c r="Q8"/>
  <c r="D8"/>
  <c r="P8"/>
  <c r="O8"/>
  <c r="C7"/>
  <c r="AA7"/>
  <c r="AK7"/>
  <c r="AI7"/>
  <c r="AH7"/>
  <c r="AG7"/>
  <c r="AF7"/>
  <c r="AE7"/>
  <c r="AD7"/>
  <c r="AC7"/>
  <c r="AB7"/>
  <c r="Y7"/>
  <c r="W7"/>
  <c r="V7"/>
  <c r="U7"/>
  <c r="T7"/>
  <c r="S7"/>
  <c r="R7"/>
  <c r="Q7"/>
  <c r="D7"/>
  <c r="P7"/>
  <c r="O7"/>
  <c r="C6"/>
  <c r="AA6"/>
  <c r="AK6"/>
  <c r="AI6"/>
  <c r="AH6"/>
  <c r="AG6"/>
  <c r="AF6"/>
  <c r="AE6"/>
  <c r="AD6"/>
  <c r="AC6"/>
  <c r="AB6"/>
  <c r="Y6"/>
  <c r="W6"/>
  <c r="V6"/>
  <c r="U6"/>
  <c r="T6"/>
  <c r="S6"/>
  <c r="R6"/>
  <c r="Q6"/>
  <c r="D6"/>
  <c r="P6"/>
  <c r="O6"/>
  <c r="C5"/>
  <c r="AA5"/>
  <c r="AK5"/>
  <c r="AI5"/>
  <c r="AH5"/>
  <c r="AG5"/>
  <c r="AF5"/>
  <c r="AE5"/>
  <c r="AD5"/>
  <c r="AC5"/>
  <c r="AB5"/>
  <c r="Y5"/>
  <c r="W5"/>
  <c r="V5"/>
  <c r="U5"/>
  <c r="T5"/>
  <c r="S5"/>
  <c r="R5"/>
  <c r="Q5"/>
  <c r="D5"/>
  <c r="P5"/>
  <c r="O5"/>
  <c r="C4"/>
  <c r="AA4"/>
  <c r="AK4"/>
  <c r="AI4"/>
  <c r="AH4"/>
  <c r="AG4"/>
  <c r="AF4"/>
  <c r="AE4"/>
  <c r="AD4"/>
  <c r="AC4"/>
  <c r="AB4"/>
  <c r="Y4"/>
  <c r="W4"/>
  <c r="V4"/>
  <c r="U4"/>
  <c r="T4"/>
  <c r="S4"/>
  <c r="R4"/>
  <c r="Q4"/>
  <c r="D4"/>
  <c r="P4"/>
  <c r="O4"/>
  <c r="AB114" i="2"/>
  <c r="AB115"/>
  <c r="AB116"/>
  <c r="AB117"/>
  <c r="AB118"/>
  <c r="AB119"/>
  <c r="AB120"/>
  <c r="AB121"/>
  <c r="AB122"/>
  <c r="AB123"/>
  <c r="AB124"/>
  <c r="AB125"/>
  <c r="AB126"/>
  <c r="AB127"/>
  <c r="AB142"/>
  <c r="AB157"/>
  <c r="AB172"/>
  <c r="AB187"/>
  <c r="AA114"/>
  <c r="AA115"/>
  <c r="AA116"/>
  <c r="AA117"/>
  <c r="AA118"/>
  <c r="AA119"/>
  <c r="AA120"/>
  <c r="AA121"/>
  <c r="AA122"/>
  <c r="AA123"/>
  <c r="AA124"/>
  <c r="AA125"/>
  <c r="AA126"/>
  <c r="AA127"/>
  <c r="AA142"/>
  <c r="AA157"/>
  <c r="AA172"/>
  <c r="AA187"/>
  <c r="Z114"/>
  <c r="Z115"/>
  <c r="Z116"/>
  <c r="Z117"/>
  <c r="Z118"/>
  <c r="Z119"/>
  <c r="Z120"/>
  <c r="Z121"/>
  <c r="Z122"/>
  <c r="Z123"/>
  <c r="Z124"/>
  <c r="Z125"/>
  <c r="Z126"/>
  <c r="Z127"/>
  <c r="Z142"/>
  <c r="Z157"/>
  <c r="Z172"/>
  <c r="Z187"/>
  <c r="Y114"/>
  <c r="Y115"/>
  <c r="Y116"/>
  <c r="Y117"/>
  <c r="Y118"/>
  <c r="Y119"/>
  <c r="Y120"/>
  <c r="Y121"/>
  <c r="Y122"/>
  <c r="Y123"/>
  <c r="Y124"/>
  <c r="Y125"/>
  <c r="Y126"/>
  <c r="Y127"/>
  <c r="Y142"/>
  <c r="Y157"/>
  <c r="Y172"/>
  <c r="Y187"/>
  <c r="X114"/>
  <c r="X115"/>
  <c r="X116"/>
  <c r="X117"/>
  <c r="X118"/>
  <c r="X119"/>
  <c r="X120"/>
  <c r="X121"/>
  <c r="X122"/>
  <c r="X123"/>
  <c r="X124"/>
  <c r="X125"/>
  <c r="X126"/>
  <c r="X127"/>
  <c r="X142"/>
  <c r="X157"/>
  <c r="X172"/>
  <c r="X187"/>
  <c r="W114"/>
  <c r="W115"/>
  <c r="W116"/>
  <c r="W117"/>
  <c r="W118"/>
  <c r="W119"/>
  <c r="W120"/>
  <c r="W121"/>
  <c r="W122"/>
  <c r="W123"/>
  <c r="W124"/>
  <c r="W125"/>
  <c r="W126"/>
  <c r="W127"/>
  <c r="W142"/>
  <c r="W157"/>
  <c r="W172"/>
  <c r="W187"/>
  <c r="V114"/>
  <c r="V115"/>
  <c r="V116"/>
  <c r="V117"/>
  <c r="V118"/>
  <c r="V119"/>
  <c r="V120"/>
  <c r="V121"/>
  <c r="V122"/>
  <c r="V123"/>
  <c r="V124"/>
  <c r="V125"/>
  <c r="V126"/>
  <c r="V127"/>
  <c r="V142"/>
  <c r="V157"/>
  <c r="V172"/>
  <c r="V187"/>
  <c r="U114"/>
  <c r="U115"/>
  <c r="U116"/>
  <c r="U117"/>
  <c r="U118"/>
  <c r="U119"/>
  <c r="U120"/>
  <c r="U121"/>
  <c r="U122"/>
  <c r="U123"/>
  <c r="U124"/>
  <c r="U125"/>
  <c r="U126"/>
  <c r="U127"/>
  <c r="U142"/>
  <c r="U157"/>
  <c r="U172"/>
  <c r="U187"/>
  <c r="T114"/>
  <c r="T115"/>
  <c r="T116"/>
  <c r="T117"/>
  <c r="T118"/>
  <c r="T119"/>
  <c r="T120"/>
  <c r="T121"/>
  <c r="T122"/>
  <c r="T123"/>
  <c r="T124"/>
  <c r="T125"/>
  <c r="T126"/>
  <c r="T127"/>
  <c r="T142"/>
  <c r="T157"/>
  <c r="T172"/>
  <c r="T187"/>
  <c r="S114"/>
  <c r="S115"/>
  <c r="S116"/>
  <c r="S117"/>
  <c r="S118"/>
  <c r="S119"/>
  <c r="S120"/>
  <c r="S121"/>
  <c r="S122"/>
  <c r="S123"/>
  <c r="S124"/>
  <c r="S125"/>
  <c r="S126"/>
  <c r="S127"/>
  <c r="S142"/>
  <c r="S157"/>
  <c r="S172"/>
  <c r="S187"/>
  <c r="R114"/>
  <c r="R115"/>
  <c r="R116"/>
  <c r="R117"/>
  <c r="R118"/>
  <c r="R119"/>
  <c r="R120"/>
  <c r="R121"/>
  <c r="R122"/>
  <c r="R123"/>
  <c r="R124"/>
  <c r="R125"/>
  <c r="R126"/>
  <c r="R127"/>
  <c r="R142"/>
  <c r="R157"/>
  <c r="R172"/>
  <c r="R187"/>
  <c r="Q114"/>
  <c r="Q115"/>
  <c r="Q116"/>
  <c r="Q117"/>
  <c r="Q118"/>
  <c r="Q119"/>
  <c r="Q120"/>
  <c r="Q121"/>
  <c r="Q122"/>
  <c r="Q123"/>
  <c r="Q124"/>
  <c r="Q125"/>
  <c r="Q126"/>
  <c r="Q127"/>
  <c r="Q142"/>
  <c r="Q157"/>
  <c r="Q172"/>
  <c r="Q187"/>
  <c r="P114"/>
  <c r="P115"/>
  <c r="P116"/>
  <c r="P117"/>
  <c r="P118"/>
  <c r="P119"/>
  <c r="P120"/>
  <c r="P121"/>
  <c r="P122"/>
  <c r="P123"/>
  <c r="P124"/>
  <c r="P125"/>
  <c r="P126"/>
  <c r="P127"/>
  <c r="P142"/>
  <c r="P157"/>
  <c r="P172"/>
  <c r="P187"/>
  <c r="O114"/>
  <c r="O115"/>
  <c r="O116"/>
  <c r="O117"/>
  <c r="O118"/>
  <c r="O119"/>
  <c r="O120"/>
  <c r="O121"/>
  <c r="O122"/>
  <c r="O123"/>
  <c r="O124"/>
  <c r="O125"/>
  <c r="O126"/>
  <c r="O127"/>
  <c r="O142"/>
  <c r="O157"/>
  <c r="O172"/>
  <c r="O187"/>
  <c r="N114"/>
  <c r="N115"/>
  <c r="N116"/>
  <c r="N117"/>
  <c r="N118"/>
  <c r="N119"/>
  <c r="N120"/>
  <c r="N121"/>
  <c r="N122"/>
  <c r="N123"/>
  <c r="N124"/>
  <c r="N125"/>
  <c r="N126"/>
  <c r="N127"/>
  <c r="N142"/>
  <c r="N157"/>
  <c r="N172"/>
  <c r="N187"/>
  <c r="M114"/>
  <c r="M115"/>
  <c r="M116"/>
  <c r="M117"/>
  <c r="M118"/>
  <c r="M119"/>
  <c r="M120"/>
  <c r="M121"/>
  <c r="M122"/>
  <c r="M123"/>
  <c r="M124"/>
  <c r="M125"/>
  <c r="M126"/>
  <c r="M127"/>
  <c r="M142"/>
  <c r="M157"/>
  <c r="M172"/>
  <c r="M187"/>
  <c r="L114"/>
  <c r="L115"/>
  <c r="L116"/>
  <c r="L117"/>
  <c r="L118"/>
  <c r="L119"/>
  <c r="L120"/>
  <c r="L121"/>
  <c r="L122"/>
  <c r="L123"/>
  <c r="L124"/>
  <c r="L125"/>
  <c r="L126"/>
  <c r="L127"/>
  <c r="L142"/>
  <c r="L157"/>
  <c r="L172"/>
  <c r="L187"/>
  <c r="K114"/>
  <c r="K115"/>
  <c r="K116"/>
  <c r="K117"/>
  <c r="K118"/>
  <c r="K119"/>
  <c r="K120"/>
  <c r="K121"/>
  <c r="K122"/>
  <c r="K123"/>
  <c r="K124"/>
  <c r="K125"/>
  <c r="K126"/>
  <c r="K127"/>
  <c r="K142"/>
  <c r="K157"/>
  <c r="K172"/>
  <c r="K187"/>
  <c r="J114"/>
  <c r="J115"/>
  <c r="J116"/>
  <c r="J117"/>
  <c r="J118"/>
  <c r="J119"/>
  <c r="J120"/>
  <c r="J121"/>
  <c r="J122"/>
  <c r="J123"/>
  <c r="J124"/>
  <c r="J125"/>
  <c r="J126"/>
  <c r="J127"/>
  <c r="J142"/>
  <c r="J157"/>
  <c r="J172"/>
  <c r="J187"/>
  <c r="I114"/>
  <c r="I115"/>
  <c r="I116"/>
  <c r="I117"/>
  <c r="I118"/>
  <c r="I119"/>
  <c r="I120"/>
  <c r="I121"/>
  <c r="I122"/>
  <c r="I123"/>
  <c r="I124"/>
  <c r="I125"/>
  <c r="I126"/>
  <c r="I127"/>
  <c r="I142"/>
  <c r="I157"/>
  <c r="I172"/>
  <c r="I187"/>
  <c r="H114"/>
  <c r="H115"/>
  <c r="H116"/>
  <c r="H117"/>
  <c r="H118"/>
  <c r="H119"/>
  <c r="H120"/>
  <c r="H121"/>
  <c r="H122"/>
  <c r="H123"/>
  <c r="H124"/>
  <c r="H125"/>
  <c r="H126"/>
  <c r="H127"/>
  <c r="H142"/>
  <c r="H157"/>
  <c r="H172"/>
  <c r="H187"/>
  <c r="G114"/>
  <c r="G115"/>
  <c r="G116"/>
  <c r="G117"/>
  <c r="G118"/>
  <c r="G119"/>
  <c r="G120"/>
  <c r="G121"/>
  <c r="G122"/>
  <c r="G123"/>
  <c r="G124"/>
  <c r="G125"/>
  <c r="G126"/>
  <c r="G127"/>
  <c r="G142"/>
  <c r="G157"/>
  <c r="G172"/>
  <c r="G187"/>
  <c r="F114"/>
  <c r="F115"/>
  <c r="F116"/>
  <c r="F117"/>
  <c r="F118"/>
  <c r="F119"/>
  <c r="F120"/>
  <c r="F121"/>
  <c r="F122"/>
  <c r="F123"/>
  <c r="F124"/>
  <c r="F125"/>
  <c r="F126"/>
  <c r="F127"/>
  <c r="F142"/>
  <c r="F157"/>
  <c r="F172"/>
  <c r="F187"/>
  <c r="E114"/>
  <c r="E115"/>
  <c r="E116"/>
  <c r="E117"/>
  <c r="E118"/>
  <c r="E119"/>
  <c r="E120"/>
  <c r="E121"/>
  <c r="E122"/>
  <c r="E123"/>
  <c r="E124"/>
  <c r="E125"/>
  <c r="E126"/>
  <c r="E127"/>
  <c r="E142"/>
  <c r="E157"/>
  <c r="E172"/>
  <c r="E187"/>
  <c r="D114"/>
  <c r="D115"/>
  <c r="D116"/>
  <c r="D117"/>
  <c r="D118"/>
  <c r="D119"/>
  <c r="D120"/>
  <c r="D121"/>
  <c r="D122"/>
  <c r="D123"/>
  <c r="D124"/>
  <c r="D125"/>
  <c r="D126"/>
  <c r="D127"/>
  <c r="D142"/>
  <c r="D157"/>
  <c r="D172"/>
  <c r="D187"/>
  <c r="C114"/>
  <c r="C115"/>
  <c r="C116"/>
  <c r="C117"/>
  <c r="C118"/>
  <c r="C119"/>
  <c r="C120"/>
  <c r="C121"/>
  <c r="C122"/>
  <c r="C123"/>
  <c r="C124"/>
  <c r="C125"/>
  <c r="C126"/>
  <c r="C127"/>
  <c r="C142"/>
  <c r="C157"/>
  <c r="C172"/>
  <c r="C187"/>
  <c r="AB141"/>
  <c r="AB156"/>
  <c r="AB171"/>
  <c r="AB186"/>
  <c r="AA141"/>
  <c r="AA156"/>
  <c r="AA171"/>
  <c r="AA186"/>
  <c r="Z141"/>
  <c r="Z156"/>
  <c r="Z171"/>
  <c r="Z186"/>
  <c r="Y141"/>
  <c r="Y156"/>
  <c r="Y171"/>
  <c r="Y186"/>
  <c r="X141"/>
  <c r="X156"/>
  <c r="X171"/>
  <c r="X186"/>
  <c r="W141"/>
  <c r="W156"/>
  <c r="W171"/>
  <c r="W186"/>
  <c r="V141"/>
  <c r="V156"/>
  <c r="V171"/>
  <c r="V186"/>
  <c r="U141"/>
  <c r="U156"/>
  <c r="U171"/>
  <c r="U186"/>
  <c r="T141"/>
  <c r="T156"/>
  <c r="T171"/>
  <c r="T186"/>
  <c r="S141"/>
  <c r="S156"/>
  <c r="S171"/>
  <c r="S186"/>
  <c r="R141"/>
  <c r="R156"/>
  <c r="R171"/>
  <c r="R186"/>
  <c r="Q141"/>
  <c r="Q156"/>
  <c r="Q171"/>
  <c r="Q186"/>
  <c r="P141"/>
  <c r="P156"/>
  <c r="P171"/>
  <c r="P186"/>
  <c r="O141"/>
  <c r="O156"/>
  <c r="O171"/>
  <c r="O186"/>
  <c r="N141"/>
  <c r="N156"/>
  <c r="N171"/>
  <c r="N186"/>
  <c r="M141"/>
  <c r="M156"/>
  <c r="M171"/>
  <c r="M186"/>
  <c r="L141"/>
  <c r="L156"/>
  <c r="L171"/>
  <c r="L186"/>
  <c r="K141"/>
  <c r="K156"/>
  <c r="K171"/>
  <c r="K186"/>
  <c r="J141"/>
  <c r="J156"/>
  <c r="J171"/>
  <c r="J186"/>
  <c r="I141"/>
  <c r="I156"/>
  <c r="I171"/>
  <c r="I186"/>
  <c r="H141"/>
  <c r="H156"/>
  <c r="H171"/>
  <c r="H186"/>
  <c r="G141"/>
  <c r="G156"/>
  <c r="G171"/>
  <c r="G186"/>
  <c r="F141"/>
  <c r="F156"/>
  <c r="F171"/>
  <c r="F186"/>
  <c r="E141"/>
  <c r="E156"/>
  <c r="E171"/>
  <c r="E186"/>
  <c r="D141"/>
  <c r="D156"/>
  <c r="D171"/>
  <c r="D186"/>
  <c r="C141"/>
  <c r="C156"/>
  <c r="C171"/>
  <c r="C186"/>
  <c r="AB140"/>
  <c r="AB155"/>
  <c r="AB170"/>
  <c r="AB185"/>
  <c r="AA140"/>
  <c r="AA155"/>
  <c r="AA170"/>
  <c r="AA185"/>
  <c r="Z140"/>
  <c r="Z155"/>
  <c r="Z170"/>
  <c r="Z185"/>
  <c r="Y140"/>
  <c r="Y155"/>
  <c r="Y170"/>
  <c r="Y185"/>
  <c r="X140"/>
  <c r="X155"/>
  <c r="X170"/>
  <c r="X185"/>
  <c r="W140"/>
  <c r="W155"/>
  <c r="W170"/>
  <c r="W185"/>
  <c r="V140"/>
  <c r="V155"/>
  <c r="V170"/>
  <c r="V185"/>
  <c r="U140"/>
  <c r="U155"/>
  <c r="U170"/>
  <c r="U185"/>
  <c r="T140"/>
  <c r="T155"/>
  <c r="T170"/>
  <c r="T185"/>
  <c r="S140"/>
  <c r="S155"/>
  <c r="S170"/>
  <c r="S185"/>
  <c r="R140"/>
  <c r="R155"/>
  <c r="R170"/>
  <c r="R185"/>
  <c r="Q140"/>
  <c r="Q155"/>
  <c r="Q170"/>
  <c r="Q185"/>
  <c r="P140"/>
  <c r="P155"/>
  <c r="P170"/>
  <c r="P185"/>
  <c r="O140"/>
  <c r="O155"/>
  <c r="O170"/>
  <c r="O185"/>
  <c r="N140"/>
  <c r="N155"/>
  <c r="N170"/>
  <c r="N185"/>
  <c r="M140"/>
  <c r="M155"/>
  <c r="M170"/>
  <c r="M185"/>
  <c r="L140"/>
  <c r="L155"/>
  <c r="L170"/>
  <c r="L185"/>
  <c r="K140"/>
  <c r="K155"/>
  <c r="K170"/>
  <c r="K185"/>
  <c r="J140"/>
  <c r="J155"/>
  <c r="J170"/>
  <c r="J185"/>
  <c r="I140"/>
  <c r="I155"/>
  <c r="I170"/>
  <c r="I185"/>
  <c r="H140"/>
  <c r="H155"/>
  <c r="H170"/>
  <c r="H185"/>
  <c r="G140"/>
  <c r="G155"/>
  <c r="G170"/>
  <c r="G185"/>
  <c r="F140"/>
  <c r="F155"/>
  <c r="F170"/>
  <c r="F185"/>
  <c r="E140"/>
  <c r="E155"/>
  <c r="E170"/>
  <c r="E185"/>
  <c r="D140"/>
  <c r="D155"/>
  <c r="D170"/>
  <c r="D185"/>
  <c r="C140"/>
  <c r="C155"/>
  <c r="C170"/>
  <c r="C185"/>
  <c r="AB139"/>
  <c r="AB154"/>
  <c r="AB169"/>
  <c r="AB184"/>
  <c r="AA139"/>
  <c r="AA154"/>
  <c r="AA169"/>
  <c r="AA184"/>
  <c r="Z139"/>
  <c r="Z154"/>
  <c r="Z169"/>
  <c r="Z184"/>
  <c r="Y139"/>
  <c r="Y154"/>
  <c r="Y169"/>
  <c r="Y184"/>
  <c r="X139"/>
  <c r="X154"/>
  <c r="X169"/>
  <c r="X184"/>
  <c r="W139"/>
  <c r="W154"/>
  <c r="W169"/>
  <c r="W184"/>
  <c r="V139"/>
  <c r="V154"/>
  <c r="V169"/>
  <c r="V184"/>
  <c r="U139"/>
  <c r="U154"/>
  <c r="U169"/>
  <c r="U184"/>
  <c r="T139"/>
  <c r="T154"/>
  <c r="T169"/>
  <c r="T184"/>
  <c r="S139"/>
  <c r="S154"/>
  <c r="S169"/>
  <c r="S184"/>
  <c r="R139"/>
  <c r="R154"/>
  <c r="R169"/>
  <c r="R184"/>
  <c r="Q139"/>
  <c r="Q154"/>
  <c r="Q169"/>
  <c r="Q184"/>
  <c r="P139"/>
  <c r="P154"/>
  <c r="P169"/>
  <c r="P184"/>
  <c r="O139"/>
  <c r="O154"/>
  <c r="O169"/>
  <c r="O184"/>
  <c r="N139"/>
  <c r="N154"/>
  <c r="N169"/>
  <c r="N184"/>
  <c r="M139"/>
  <c r="M154"/>
  <c r="M169"/>
  <c r="M184"/>
  <c r="L139"/>
  <c r="L154"/>
  <c r="L169"/>
  <c r="L184"/>
  <c r="K139"/>
  <c r="K154"/>
  <c r="K169"/>
  <c r="K184"/>
  <c r="J139"/>
  <c r="J154"/>
  <c r="J169"/>
  <c r="J184"/>
  <c r="I139"/>
  <c r="I154"/>
  <c r="I169"/>
  <c r="I184"/>
  <c r="H139"/>
  <c r="H154"/>
  <c r="H169"/>
  <c r="H184"/>
  <c r="G139"/>
  <c r="G154"/>
  <c r="G169"/>
  <c r="G184"/>
  <c r="F139"/>
  <c r="F154"/>
  <c r="F169"/>
  <c r="F184"/>
  <c r="E139"/>
  <c r="E154"/>
  <c r="E169"/>
  <c r="E184"/>
  <c r="D139"/>
  <c r="D154"/>
  <c r="D169"/>
  <c r="D184"/>
  <c r="C139"/>
  <c r="C154"/>
  <c r="C169"/>
  <c r="C184"/>
  <c r="AB138"/>
  <c r="AB153"/>
  <c r="AB168"/>
  <c r="AB183"/>
  <c r="AA138"/>
  <c r="AA153"/>
  <c r="AA168"/>
  <c r="AA183"/>
  <c r="Z138"/>
  <c r="Z153"/>
  <c r="Z168"/>
  <c r="Z183"/>
  <c r="Y138"/>
  <c r="Y153"/>
  <c r="Y168"/>
  <c r="Y183"/>
  <c r="X138"/>
  <c r="X153"/>
  <c r="X168"/>
  <c r="X183"/>
  <c r="W138"/>
  <c r="W153"/>
  <c r="W168"/>
  <c r="W183"/>
  <c r="V138"/>
  <c r="V153"/>
  <c r="V168"/>
  <c r="V183"/>
  <c r="U138"/>
  <c r="U153"/>
  <c r="U168"/>
  <c r="U183"/>
  <c r="T138"/>
  <c r="T153"/>
  <c r="T168"/>
  <c r="T183"/>
  <c r="S138"/>
  <c r="S153"/>
  <c r="S168"/>
  <c r="S183"/>
  <c r="R138"/>
  <c r="R153"/>
  <c r="R168"/>
  <c r="R183"/>
  <c r="Q138"/>
  <c r="Q153"/>
  <c r="Q168"/>
  <c r="Q183"/>
  <c r="P138"/>
  <c r="P153"/>
  <c r="P168"/>
  <c r="P183"/>
  <c r="O138"/>
  <c r="O153"/>
  <c r="O168"/>
  <c r="O183"/>
  <c r="N138"/>
  <c r="N153"/>
  <c r="N168"/>
  <c r="N183"/>
  <c r="M138"/>
  <c r="M153"/>
  <c r="M168"/>
  <c r="M183"/>
  <c r="L138"/>
  <c r="L153"/>
  <c r="L168"/>
  <c r="L183"/>
  <c r="K138"/>
  <c r="K153"/>
  <c r="K168"/>
  <c r="K183"/>
  <c r="J138"/>
  <c r="J153"/>
  <c r="J168"/>
  <c r="J183"/>
  <c r="I138"/>
  <c r="I153"/>
  <c r="I168"/>
  <c r="I183"/>
  <c r="H138"/>
  <c r="H153"/>
  <c r="H168"/>
  <c r="H183"/>
  <c r="G138"/>
  <c r="G153"/>
  <c r="G168"/>
  <c r="G183"/>
  <c r="F138"/>
  <c r="F153"/>
  <c r="F168"/>
  <c r="F183"/>
  <c r="E138"/>
  <c r="E153"/>
  <c r="E168"/>
  <c r="E183"/>
  <c r="D138"/>
  <c r="D153"/>
  <c r="D168"/>
  <c r="D183"/>
  <c r="C138"/>
  <c r="C153"/>
  <c r="C168"/>
  <c r="C183"/>
  <c r="AB137"/>
  <c r="AB152"/>
  <c r="AB167"/>
  <c r="AB182"/>
  <c r="AA137"/>
  <c r="AA152"/>
  <c r="AA167"/>
  <c r="AA182"/>
  <c r="Z137"/>
  <c r="Z152"/>
  <c r="Z167"/>
  <c r="Z182"/>
  <c r="Y137"/>
  <c r="Y152"/>
  <c r="Y167"/>
  <c r="Y182"/>
  <c r="X137"/>
  <c r="X152"/>
  <c r="X167"/>
  <c r="X182"/>
  <c r="W137"/>
  <c r="W152"/>
  <c r="W167"/>
  <c r="W182"/>
  <c r="V137"/>
  <c r="V152"/>
  <c r="V167"/>
  <c r="V182"/>
  <c r="U137"/>
  <c r="U152"/>
  <c r="U167"/>
  <c r="U182"/>
  <c r="T137"/>
  <c r="T152"/>
  <c r="T167"/>
  <c r="T182"/>
  <c r="S137"/>
  <c r="S152"/>
  <c r="S167"/>
  <c r="S182"/>
  <c r="R137"/>
  <c r="R152"/>
  <c r="R167"/>
  <c r="R182"/>
  <c r="Q137"/>
  <c r="Q152"/>
  <c r="Q167"/>
  <c r="Q182"/>
  <c r="P137"/>
  <c r="P152"/>
  <c r="P167"/>
  <c r="P182"/>
  <c r="O137"/>
  <c r="O152"/>
  <c r="O167"/>
  <c r="O182"/>
  <c r="N137"/>
  <c r="N152"/>
  <c r="N167"/>
  <c r="N182"/>
  <c r="M137"/>
  <c r="M152"/>
  <c r="M167"/>
  <c r="M182"/>
  <c r="L137"/>
  <c r="L152"/>
  <c r="L167"/>
  <c r="L182"/>
  <c r="K137"/>
  <c r="K152"/>
  <c r="K167"/>
  <c r="K182"/>
  <c r="J137"/>
  <c r="J152"/>
  <c r="J167"/>
  <c r="J182"/>
  <c r="I137"/>
  <c r="I152"/>
  <c r="I167"/>
  <c r="I182"/>
  <c r="H137"/>
  <c r="H152"/>
  <c r="H167"/>
  <c r="H182"/>
  <c r="G137"/>
  <c r="G152"/>
  <c r="G167"/>
  <c r="G182"/>
  <c r="F137"/>
  <c r="F152"/>
  <c r="F167"/>
  <c r="F182"/>
  <c r="E137"/>
  <c r="E152"/>
  <c r="E167"/>
  <c r="E182"/>
  <c r="D137"/>
  <c r="D152"/>
  <c r="D167"/>
  <c r="D182"/>
  <c r="C137"/>
  <c r="C152"/>
  <c r="C167"/>
  <c r="C182"/>
  <c r="AB136"/>
  <c r="AB151"/>
  <c r="AB166"/>
  <c r="AB181"/>
  <c r="AA136"/>
  <c r="AA151"/>
  <c r="AA166"/>
  <c r="AA181"/>
  <c r="Z136"/>
  <c r="Z151"/>
  <c r="Z166"/>
  <c r="Z181"/>
  <c r="Y136"/>
  <c r="Y151"/>
  <c r="Y166"/>
  <c r="Y181"/>
  <c r="X136"/>
  <c r="X151"/>
  <c r="X166"/>
  <c r="X181"/>
  <c r="W136"/>
  <c r="W151"/>
  <c r="W166"/>
  <c r="W181"/>
  <c r="V136"/>
  <c r="V151"/>
  <c r="V166"/>
  <c r="V181"/>
  <c r="U136"/>
  <c r="U151"/>
  <c r="U166"/>
  <c r="U181"/>
  <c r="T136"/>
  <c r="T151"/>
  <c r="T166"/>
  <c r="T181"/>
  <c r="S136"/>
  <c r="S151"/>
  <c r="S166"/>
  <c r="S181"/>
  <c r="R136"/>
  <c r="R151"/>
  <c r="R166"/>
  <c r="R181"/>
  <c r="Q136"/>
  <c r="Q151"/>
  <c r="Q166"/>
  <c r="Q181"/>
  <c r="P136"/>
  <c r="P151"/>
  <c r="P166"/>
  <c r="P181"/>
  <c r="O136"/>
  <c r="O151"/>
  <c r="O166"/>
  <c r="O181"/>
  <c r="N136"/>
  <c r="N151"/>
  <c r="N166"/>
  <c r="N181"/>
  <c r="M136"/>
  <c r="M151"/>
  <c r="M166"/>
  <c r="M181"/>
  <c r="L136"/>
  <c r="L151"/>
  <c r="L166"/>
  <c r="L181"/>
  <c r="K136"/>
  <c r="K151"/>
  <c r="K166"/>
  <c r="K181"/>
  <c r="J136"/>
  <c r="J151"/>
  <c r="J166"/>
  <c r="J181"/>
  <c r="I136"/>
  <c r="I151"/>
  <c r="I166"/>
  <c r="I181"/>
  <c r="H136"/>
  <c r="H151"/>
  <c r="H166"/>
  <c r="H181"/>
  <c r="G136"/>
  <c r="G151"/>
  <c r="G166"/>
  <c r="G181"/>
  <c r="F136"/>
  <c r="F151"/>
  <c r="F166"/>
  <c r="F181"/>
  <c r="E136"/>
  <c r="E151"/>
  <c r="E166"/>
  <c r="E181"/>
  <c r="D136"/>
  <c r="D151"/>
  <c r="D166"/>
  <c r="D181"/>
  <c r="C136"/>
  <c r="C151"/>
  <c r="C166"/>
  <c r="C181"/>
  <c r="AB135"/>
  <c r="AB150"/>
  <c r="AB165"/>
  <c r="AB180"/>
  <c r="AA135"/>
  <c r="AA150"/>
  <c r="AA165"/>
  <c r="AA180"/>
  <c r="Z135"/>
  <c r="Z150"/>
  <c r="Z165"/>
  <c r="Z180"/>
  <c r="Y135"/>
  <c r="Y150"/>
  <c r="Y165"/>
  <c r="Y180"/>
  <c r="X135"/>
  <c r="X150"/>
  <c r="X165"/>
  <c r="X180"/>
  <c r="W135"/>
  <c r="W150"/>
  <c r="W165"/>
  <c r="W180"/>
  <c r="V135"/>
  <c r="V150"/>
  <c r="V165"/>
  <c r="V180"/>
  <c r="U135"/>
  <c r="U150"/>
  <c r="U165"/>
  <c r="U180"/>
  <c r="T135"/>
  <c r="T150"/>
  <c r="T165"/>
  <c r="T180"/>
  <c r="S135"/>
  <c r="S150"/>
  <c r="S165"/>
  <c r="S180"/>
  <c r="R135"/>
  <c r="R150"/>
  <c r="R165"/>
  <c r="R180"/>
  <c r="Q135"/>
  <c r="Q150"/>
  <c r="Q165"/>
  <c r="Q180"/>
  <c r="P135"/>
  <c r="P150"/>
  <c r="P165"/>
  <c r="P180"/>
  <c r="O135"/>
  <c r="O150"/>
  <c r="O165"/>
  <c r="O180"/>
  <c r="N135"/>
  <c r="N150"/>
  <c r="N165"/>
  <c r="N180"/>
  <c r="M135"/>
  <c r="M150"/>
  <c r="M165"/>
  <c r="M180"/>
  <c r="L135"/>
  <c r="L150"/>
  <c r="L165"/>
  <c r="L180"/>
  <c r="K135"/>
  <c r="K150"/>
  <c r="K165"/>
  <c r="K180"/>
  <c r="J135"/>
  <c r="J150"/>
  <c r="J165"/>
  <c r="J180"/>
  <c r="I135"/>
  <c r="I150"/>
  <c r="I165"/>
  <c r="I180"/>
  <c r="H135"/>
  <c r="H150"/>
  <c r="H165"/>
  <c r="H180"/>
  <c r="G135"/>
  <c r="G150"/>
  <c r="G165"/>
  <c r="G180"/>
  <c r="F135"/>
  <c r="F150"/>
  <c r="F165"/>
  <c r="F180"/>
  <c r="E135"/>
  <c r="E150"/>
  <c r="E165"/>
  <c r="E180"/>
  <c r="D135"/>
  <c r="D150"/>
  <c r="D165"/>
  <c r="D180"/>
  <c r="C135"/>
  <c r="C150"/>
  <c r="C165"/>
  <c r="C180"/>
  <c r="AB134"/>
  <c r="AB149"/>
  <c r="AB164"/>
  <c r="AB179"/>
  <c r="AA134"/>
  <c r="AA149"/>
  <c r="AA164"/>
  <c r="AA179"/>
  <c r="Z134"/>
  <c r="Z149"/>
  <c r="Z164"/>
  <c r="Z179"/>
  <c r="Y134"/>
  <c r="Y149"/>
  <c r="Y164"/>
  <c r="Y179"/>
  <c r="X134"/>
  <c r="X149"/>
  <c r="X164"/>
  <c r="X179"/>
  <c r="W134"/>
  <c r="W149"/>
  <c r="W164"/>
  <c r="W179"/>
  <c r="V134"/>
  <c r="V149"/>
  <c r="V164"/>
  <c r="V179"/>
  <c r="U134"/>
  <c r="U149"/>
  <c r="U164"/>
  <c r="U179"/>
  <c r="T134"/>
  <c r="T149"/>
  <c r="T164"/>
  <c r="T179"/>
  <c r="S134"/>
  <c r="S149"/>
  <c r="S164"/>
  <c r="S179"/>
  <c r="R134"/>
  <c r="R149"/>
  <c r="R164"/>
  <c r="R179"/>
  <c r="Q134"/>
  <c r="Q149"/>
  <c r="Q164"/>
  <c r="Q179"/>
  <c r="P134"/>
  <c r="P149"/>
  <c r="P164"/>
  <c r="P179"/>
  <c r="O134"/>
  <c r="O149"/>
  <c r="O164"/>
  <c r="O179"/>
  <c r="N134"/>
  <c r="N149"/>
  <c r="N164"/>
  <c r="N179"/>
  <c r="M134"/>
  <c r="M149"/>
  <c r="M164"/>
  <c r="M179"/>
  <c r="L134"/>
  <c r="L149"/>
  <c r="L164"/>
  <c r="L179"/>
  <c r="K134"/>
  <c r="K149"/>
  <c r="K164"/>
  <c r="K179"/>
  <c r="J134"/>
  <c r="J149"/>
  <c r="J164"/>
  <c r="J179"/>
  <c r="I134"/>
  <c r="I149"/>
  <c r="I164"/>
  <c r="I179"/>
  <c r="H134"/>
  <c r="H149"/>
  <c r="H164"/>
  <c r="H179"/>
  <c r="G134"/>
  <c r="G149"/>
  <c r="G164"/>
  <c r="G179"/>
  <c r="F134"/>
  <c r="F149"/>
  <c r="F164"/>
  <c r="F179"/>
  <c r="E134"/>
  <c r="E149"/>
  <c r="E164"/>
  <c r="E179"/>
  <c r="D134"/>
  <c r="D149"/>
  <c r="D164"/>
  <c r="D179"/>
  <c r="C134"/>
  <c r="C149"/>
  <c r="C164"/>
  <c r="C179"/>
  <c r="AB133"/>
  <c r="AB148"/>
  <c r="AB163"/>
  <c r="AB178"/>
  <c r="AA133"/>
  <c r="AA148"/>
  <c r="AA163"/>
  <c r="AA178"/>
  <c r="Z133"/>
  <c r="Z148"/>
  <c r="Z163"/>
  <c r="Z178"/>
  <c r="Y133"/>
  <c r="Y148"/>
  <c r="Y163"/>
  <c r="Y178"/>
  <c r="X133"/>
  <c r="X148"/>
  <c r="X163"/>
  <c r="X178"/>
  <c r="W133"/>
  <c r="W148"/>
  <c r="W163"/>
  <c r="W178"/>
  <c r="V133"/>
  <c r="V148"/>
  <c r="V163"/>
  <c r="V178"/>
  <c r="U133"/>
  <c r="U148"/>
  <c r="U163"/>
  <c r="U178"/>
  <c r="T133"/>
  <c r="T148"/>
  <c r="T163"/>
  <c r="T178"/>
  <c r="S133"/>
  <c r="S148"/>
  <c r="S163"/>
  <c r="S178"/>
  <c r="R133"/>
  <c r="R148"/>
  <c r="R163"/>
  <c r="R178"/>
  <c r="Q133"/>
  <c r="Q148"/>
  <c r="Q163"/>
  <c r="Q178"/>
  <c r="P133"/>
  <c r="P148"/>
  <c r="P163"/>
  <c r="P178"/>
  <c r="O133"/>
  <c r="O148"/>
  <c r="O163"/>
  <c r="O178"/>
  <c r="N133"/>
  <c r="N148"/>
  <c r="N163"/>
  <c r="N178"/>
  <c r="M133"/>
  <c r="M148"/>
  <c r="M163"/>
  <c r="M178"/>
  <c r="L133"/>
  <c r="L148"/>
  <c r="L163"/>
  <c r="L178"/>
  <c r="K133"/>
  <c r="K148"/>
  <c r="K163"/>
  <c r="K178"/>
  <c r="J133"/>
  <c r="J148"/>
  <c r="J163"/>
  <c r="J178"/>
  <c r="I133"/>
  <c r="I148"/>
  <c r="I163"/>
  <c r="I178"/>
  <c r="H133"/>
  <c r="H148"/>
  <c r="H163"/>
  <c r="H178"/>
  <c r="G133"/>
  <c r="G148"/>
  <c r="G163"/>
  <c r="G178"/>
  <c r="F133"/>
  <c r="F148"/>
  <c r="F163"/>
  <c r="F178"/>
  <c r="E133"/>
  <c r="E148"/>
  <c r="E163"/>
  <c r="E178"/>
  <c r="D133"/>
  <c r="D148"/>
  <c r="D163"/>
  <c r="D178"/>
  <c r="C133"/>
  <c r="C148"/>
  <c r="C163"/>
  <c r="C178"/>
  <c r="AB132"/>
  <c r="AB147"/>
  <c r="AB162"/>
  <c r="AB177"/>
  <c r="AA132"/>
  <c r="AA147"/>
  <c r="AA162"/>
  <c r="AA177"/>
  <c r="Z132"/>
  <c r="Z147"/>
  <c r="Z162"/>
  <c r="Z177"/>
  <c r="Y132"/>
  <c r="Y147"/>
  <c r="Y162"/>
  <c r="Y177"/>
  <c r="X132"/>
  <c r="X147"/>
  <c r="X162"/>
  <c r="X177"/>
  <c r="W132"/>
  <c r="W147"/>
  <c r="W162"/>
  <c r="W177"/>
  <c r="V132"/>
  <c r="V147"/>
  <c r="V162"/>
  <c r="V177"/>
  <c r="U132"/>
  <c r="U147"/>
  <c r="U162"/>
  <c r="U177"/>
  <c r="T132"/>
  <c r="T147"/>
  <c r="T162"/>
  <c r="T177"/>
  <c r="S132"/>
  <c r="S147"/>
  <c r="S162"/>
  <c r="S177"/>
  <c r="R132"/>
  <c r="R147"/>
  <c r="R162"/>
  <c r="R177"/>
  <c r="Q132"/>
  <c r="Q147"/>
  <c r="Q162"/>
  <c r="Q177"/>
  <c r="P132"/>
  <c r="P147"/>
  <c r="P162"/>
  <c r="P177"/>
  <c r="O132"/>
  <c r="O147"/>
  <c r="O162"/>
  <c r="O177"/>
  <c r="N132"/>
  <c r="N147"/>
  <c r="N162"/>
  <c r="N177"/>
  <c r="M132"/>
  <c r="M147"/>
  <c r="M162"/>
  <c r="M177"/>
  <c r="L132"/>
  <c r="L147"/>
  <c r="L162"/>
  <c r="L177"/>
  <c r="K132"/>
  <c r="K147"/>
  <c r="K162"/>
  <c r="K177"/>
  <c r="J132"/>
  <c r="J147"/>
  <c r="J162"/>
  <c r="J177"/>
  <c r="I132"/>
  <c r="I147"/>
  <c r="I162"/>
  <c r="I177"/>
  <c r="H132"/>
  <c r="H147"/>
  <c r="H162"/>
  <c r="H177"/>
  <c r="G132"/>
  <c r="G147"/>
  <c r="G162"/>
  <c r="G177"/>
  <c r="F132"/>
  <c r="F147"/>
  <c r="F162"/>
  <c r="F177"/>
  <c r="E132"/>
  <c r="E147"/>
  <c r="E162"/>
  <c r="E177"/>
  <c r="D132"/>
  <c r="D147"/>
  <c r="D162"/>
  <c r="D177"/>
  <c r="C132"/>
  <c r="C147"/>
  <c r="C162"/>
  <c r="C177"/>
  <c r="AB131"/>
  <c r="AB146"/>
  <c r="AB161"/>
  <c r="AB176"/>
  <c r="AA131"/>
  <c r="AA146"/>
  <c r="AA161"/>
  <c r="AA176"/>
  <c r="Z131"/>
  <c r="Z146"/>
  <c r="Z161"/>
  <c r="Z176"/>
  <c r="Y131"/>
  <c r="Y146"/>
  <c r="Y161"/>
  <c r="Y176"/>
  <c r="X131"/>
  <c r="X146"/>
  <c r="X161"/>
  <c r="X176"/>
  <c r="W131"/>
  <c r="W146"/>
  <c r="W161"/>
  <c r="W176"/>
  <c r="V131"/>
  <c r="V146"/>
  <c r="V161"/>
  <c r="V176"/>
  <c r="U131"/>
  <c r="U146"/>
  <c r="U161"/>
  <c r="U176"/>
  <c r="T131"/>
  <c r="T146"/>
  <c r="T161"/>
  <c r="T176"/>
  <c r="S131"/>
  <c r="S146"/>
  <c r="S161"/>
  <c r="S176"/>
  <c r="R131"/>
  <c r="R146"/>
  <c r="R161"/>
  <c r="R176"/>
  <c r="Q131"/>
  <c r="Q146"/>
  <c r="Q161"/>
  <c r="Q176"/>
  <c r="P131"/>
  <c r="P146"/>
  <c r="P161"/>
  <c r="P176"/>
  <c r="O131"/>
  <c r="O146"/>
  <c r="O161"/>
  <c r="O176"/>
  <c r="N131"/>
  <c r="N146"/>
  <c r="N161"/>
  <c r="N176"/>
  <c r="M131"/>
  <c r="M146"/>
  <c r="M161"/>
  <c r="M176"/>
  <c r="L131"/>
  <c r="L146"/>
  <c r="L161"/>
  <c r="L176"/>
  <c r="K131"/>
  <c r="K146"/>
  <c r="K161"/>
  <c r="K176"/>
  <c r="J131"/>
  <c r="J146"/>
  <c r="J161"/>
  <c r="J176"/>
  <c r="I131"/>
  <c r="I146"/>
  <c r="I161"/>
  <c r="I176"/>
  <c r="H131"/>
  <c r="H146"/>
  <c r="H161"/>
  <c r="H176"/>
  <c r="G131"/>
  <c r="G146"/>
  <c r="G161"/>
  <c r="G176"/>
  <c r="F131"/>
  <c r="F146"/>
  <c r="F161"/>
  <c r="F176"/>
  <c r="E131"/>
  <c r="E146"/>
  <c r="E161"/>
  <c r="E176"/>
  <c r="D131"/>
  <c r="D146"/>
  <c r="D161"/>
  <c r="D176"/>
  <c r="C131"/>
  <c r="C146"/>
  <c r="C161"/>
  <c r="C176"/>
  <c r="AB130"/>
  <c r="AB145"/>
  <c r="AB160"/>
  <c r="AB175"/>
  <c r="AA130"/>
  <c r="AA145"/>
  <c r="AA160"/>
  <c r="AA175"/>
  <c r="Z130"/>
  <c r="Z145"/>
  <c r="Z160"/>
  <c r="Z175"/>
  <c r="Y130"/>
  <c r="Y145"/>
  <c r="Y160"/>
  <c r="Y175"/>
  <c r="X130"/>
  <c r="X145"/>
  <c r="X160"/>
  <c r="X175"/>
  <c r="W130"/>
  <c r="W145"/>
  <c r="W160"/>
  <c r="W175"/>
  <c r="V130"/>
  <c r="V145"/>
  <c r="V160"/>
  <c r="V175"/>
  <c r="U130"/>
  <c r="U145"/>
  <c r="U160"/>
  <c r="U175"/>
  <c r="T130"/>
  <c r="T145"/>
  <c r="T160"/>
  <c r="T175"/>
  <c r="S130"/>
  <c r="S145"/>
  <c r="S160"/>
  <c r="S175"/>
  <c r="R130"/>
  <c r="R145"/>
  <c r="R160"/>
  <c r="R175"/>
  <c r="Q130"/>
  <c r="Q145"/>
  <c r="Q160"/>
  <c r="Q175"/>
  <c r="P130"/>
  <c r="P145"/>
  <c r="P160"/>
  <c r="P175"/>
  <c r="O130"/>
  <c r="O145"/>
  <c r="O160"/>
  <c r="O175"/>
  <c r="N130"/>
  <c r="N145"/>
  <c r="N160"/>
  <c r="N175"/>
  <c r="M130"/>
  <c r="M145"/>
  <c r="M160"/>
  <c r="M175"/>
  <c r="L130"/>
  <c r="L145"/>
  <c r="L160"/>
  <c r="L175"/>
  <c r="K130"/>
  <c r="K145"/>
  <c r="K160"/>
  <c r="K175"/>
  <c r="J130"/>
  <c r="J145"/>
  <c r="J160"/>
  <c r="J175"/>
  <c r="I130"/>
  <c r="I145"/>
  <c r="I160"/>
  <c r="I175"/>
  <c r="H130"/>
  <c r="H145"/>
  <c r="H160"/>
  <c r="H175"/>
  <c r="G130"/>
  <c r="G145"/>
  <c r="G160"/>
  <c r="G175"/>
  <c r="F130"/>
  <c r="F145"/>
  <c r="F160"/>
  <c r="F175"/>
  <c r="E130"/>
  <c r="E145"/>
  <c r="E160"/>
  <c r="E175"/>
  <c r="D130"/>
  <c r="D145"/>
  <c r="D160"/>
  <c r="D175"/>
  <c r="C130"/>
  <c r="C145"/>
  <c r="C160"/>
  <c r="C175"/>
  <c r="AB129"/>
  <c r="AB144"/>
  <c r="AB159"/>
  <c r="AB174"/>
  <c r="AA129"/>
  <c r="AA144"/>
  <c r="AA159"/>
  <c r="AA174"/>
  <c r="Z129"/>
  <c r="Z144"/>
  <c r="Z159"/>
  <c r="Z174"/>
  <c r="Y129"/>
  <c r="Y144"/>
  <c r="Y159"/>
  <c r="Y174"/>
  <c r="X129"/>
  <c r="X144"/>
  <c r="X159"/>
  <c r="X174"/>
  <c r="W129"/>
  <c r="W144"/>
  <c r="W159"/>
  <c r="W174"/>
  <c r="V129"/>
  <c r="V144"/>
  <c r="V159"/>
  <c r="V174"/>
  <c r="U129"/>
  <c r="U144"/>
  <c r="U159"/>
  <c r="U174"/>
  <c r="T129"/>
  <c r="T144"/>
  <c r="T159"/>
  <c r="T174"/>
  <c r="S129"/>
  <c r="S144"/>
  <c r="S159"/>
  <c r="S174"/>
  <c r="R129"/>
  <c r="R144"/>
  <c r="R159"/>
  <c r="R174"/>
  <c r="Q129"/>
  <c r="Q144"/>
  <c r="Q159"/>
  <c r="Q174"/>
  <c r="P129"/>
  <c r="P144"/>
  <c r="P159"/>
  <c r="P174"/>
  <c r="O129"/>
  <c r="O144"/>
  <c r="O159"/>
  <c r="O174"/>
  <c r="N129"/>
  <c r="N144"/>
  <c r="N159"/>
  <c r="N174"/>
  <c r="M129"/>
  <c r="M144"/>
  <c r="M159"/>
  <c r="M174"/>
  <c r="L129"/>
  <c r="L144"/>
  <c r="L159"/>
  <c r="L174"/>
  <c r="K129"/>
  <c r="K144"/>
  <c r="K159"/>
  <c r="K174"/>
  <c r="J129"/>
  <c r="J144"/>
  <c r="J159"/>
  <c r="J174"/>
  <c r="I129"/>
  <c r="I144"/>
  <c r="I159"/>
  <c r="I174"/>
  <c r="H129"/>
  <c r="H144"/>
  <c r="H159"/>
  <c r="H174"/>
  <c r="G129"/>
  <c r="G144"/>
  <c r="G159"/>
  <c r="G174"/>
  <c r="F129"/>
  <c r="F144"/>
  <c r="F159"/>
  <c r="F174"/>
  <c r="E129"/>
  <c r="E144"/>
  <c r="E159"/>
  <c r="E174"/>
  <c r="D129"/>
  <c r="D144"/>
  <c r="D159"/>
  <c r="D174"/>
  <c r="C129"/>
  <c r="C144"/>
  <c r="C159"/>
  <c r="C174"/>
  <c r="AB128"/>
  <c r="AB143"/>
  <c r="AB158"/>
  <c r="AB173"/>
  <c r="AA128"/>
  <c r="AA143"/>
  <c r="AA158"/>
  <c r="AA173"/>
  <c r="Z128"/>
  <c r="Z143"/>
  <c r="Z158"/>
  <c r="Z173"/>
  <c r="Y128"/>
  <c r="Y143"/>
  <c r="Y158"/>
  <c r="Y173"/>
  <c r="X128"/>
  <c r="X143"/>
  <c r="X158"/>
  <c r="X173"/>
  <c r="W128"/>
  <c r="W143"/>
  <c r="W158"/>
  <c r="W173"/>
  <c r="V128"/>
  <c r="V143"/>
  <c r="V158"/>
  <c r="V173"/>
  <c r="U128"/>
  <c r="U143"/>
  <c r="U158"/>
  <c r="U173"/>
  <c r="T128"/>
  <c r="T143"/>
  <c r="T158"/>
  <c r="T173"/>
  <c r="S128"/>
  <c r="S143"/>
  <c r="S158"/>
  <c r="S173"/>
  <c r="R128"/>
  <c r="R143"/>
  <c r="R158"/>
  <c r="R173"/>
  <c r="Q128"/>
  <c r="Q143"/>
  <c r="Q158"/>
  <c r="Q173"/>
  <c r="P128"/>
  <c r="P143"/>
  <c r="P158"/>
  <c r="P173"/>
  <c r="O128"/>
  <c r="O143"/>
  <c r="O158"/>
  <c r="O173"/>
  <c r="N128"/>
  <c r="N143"/>
  <c r="N158"/>
  <c r="N173"/>
  <c r="M128"/>
  <c r="M143"/>
  <c r="M158"/>
  <c r="M173"/>
  <c r="L128"/>
  <c r="L143"/>
  <c r="L158"/>
  <c r="L173"/>
  <c r="K128"/>
  <c r="K143"/>
  <c r="K158"/>
  <c r="K173"/>
  <c r="J128"/>
  <c r="J143"/>
  <c r="J158"/>
  <c r="J173"/>
  <c r="I128"/>
  <c r="I143"/>
  <c r="I158"/>
  <c r="I173"/>
  <c r="H128"/>
  <c r="H143"/>
  <c r="H158"/>
  <c r="H173"/>
  <c r="G128"/>
  <c r="G143"/>
  <c r="G158"/>
  <c r="G173"/>
  <c r="F128"/>
  <c r="F143"/>
  <c r="F158"/>
  <c r="F173"/>
  <c r="E128"/>
  <c r="E143"/>
  <c r="E158"/>
  <c r="E173"/>
  <c r="D128"/>
  <c r="D143"/>
  <c r="D158"/>
  <c r="D173"/>
  <c r="C128"/>
  <c r="C143"/>
  <c r="C158"/>
  <c r="C173"/>
  <c r="AB99"/>
  <c r="AB100"/>
  <c r="AB101"/>
  <c r="AB102"/>
  <c r="AB103"/>
  <c r="AB104"/>
  <c r="AB105"/>
  <c r="AB106"/>
  <c r="AB107"/>
  <c r="AB108"/>
  <c r="AB109"/>
  <c r="AB110"/>
  <c r="AB111"/>
  <c r="AB112"/>
  <c r="E98"/>
  <c r="G98"/>
  <c r="I98"/>
  <c r="K98"/>
  <c r="M98"/>
  <c r="O98"/>
  <c r="Q98"/>
  <c r="S98"/>
  <c r="U98"/>
  <c r="W98"/>
  <c r="Y98"/>
  <c r="AA98"/>
  <c r="AA99"/>
  <c r="AA100"/>
  <c r="AA101"/>
  <c r="AA102"/>
  <c r="AA103"/>
  <c r="AA104"/>
  <c r="AA105"/>
  <c r="AA106"/>
  <c r="AA107"/>
  <c r="AA108"/>
  <c r="AA109"/>
  <c r="AA110"/>
  <c r="AA111"/>
  <c r="AA112"/>
  <c r="Z99"/>
  <c r="Z100"/>
  <c r="Z101"/>
  <c r="Z102"/>
  <c r="Z103"/>
  <c r="Z104"/>
  <c r="Z105"/>
  <c r="Z106"/>
  <c r="Z107"/>
  <c r="Z108"/>
  <c r="Z109"/>
  <c r="Z110"/>
  <c r="Z111"/>
  <c r="Z112"/>
  <c r="Y99"/>
  <c r="Y100"/>
  <c r="Y101"/>
  <c r="Y102"/>
  <c r="Y103"/>
  <c r="Y104"/>
  <c r="Y105"/>
  <c r="Y106"/>
  <c r="Y107"/>
  <c r="Y108"/>
  <c r="Y109"/>
  <c r="Y110"/>
  <c r="Y111"/>
  <c r="Y112"/>
  <c r="X99"/>
  <c r="X100"/>
  <c r="X101"/>
  <c r="X102"/>
  <c r="X103"/>
  <c r="X104"/>
  <c r="X105"/>
  <c r="X106"/>
  <c r="X107"/>
  <c r="X108"/>
  <c r="X109"/>
  <c r="X110"/>
  <c r="X111"/>
  <c r="X112"/>
  <c r="W99"/>
  <c r="W100"/>
  <c r="W101"/>
  <c r="W102"/>
  <c r="W103"/>
  <c r="W104"/>
  <c r="W105"/>
  <c r="W106"/>
  <c r="W107"/>
  <c r="W108"/>
  <c r="W109"/>
  <c r="W110"/>
  <c r="W111"/>
  <c r="W112"/>
  <c r="V99"/>
  <c r="V100"/>
  <c r="V101"/>
  <c r="V102"/>
  <c r="V103"/>
  <c r="V104"/>
  <c r="V105"/>
  <c r="V106"/>
  <c r="V107"/>
  <c r="V108"/>
  <c r="V109"/>
  <c r="V110"/>
  <c r="V111"/>
  <c r="V112"/>
  <c r="U99"/>
  <c r="U100"/>
  <c r="U101"/>
  <c r="U102"/>
  <c r="U103"/>
  <c r="U104"/>
  <c r="U105"/>
  <c r="U106"/>
  <c r="U107"/>
  <c r="U108"/>
  <c r="U109"/>
  <c r="U110"/>
  <c r="U111"/>
  <c r="U112"/>
  <c r="T99"/>
  <c r="T100"/>
  <c r="T101"/>
  <c r="T102"/>
  <c r="T103"/>
  <c r="T104"/>
  <c r="T105"/>
  <c r="T106"/>
  <c r="T107"/>
  <c r="T108"/>
  <c r="T109"/>
  <c r="T110"/>
  <c r="T111"/>
  <c r="T112"/>
  <c r="S99"/>
  <c r="S100"/>
  <c r="S101"/>
  <c r="S102"/>
  <c r="S103"/>
  <c r="S104"/>
  <c r="S105"/>
  <c r="S106"/>
  <c r="S107"/>
  <c r="S108"/>
  <c r="S109"/>
  <c r="S110"/>
  <c r="S111"/>
  <c r="S112"/>
  <c r="R99"/>
  <c r="R100"/>
  <c r="R101"/>
  <c r="R102"/>
  <c r="R103"/>
  <c r="R104"/>
  <c r="R105"/>
  <c r="R106"/>
  <c r="R107"/>
  <c r="R108"/>
  <c r="R109"/>
  <c r="R110"/>
  <c r="R111"/>
  <c r="R112"/>
  <c r="Q99"/>
  <c r="Q100"/>
  <c r="Q101"/>
  <c r="Q102"/>
  <c r="Q103"/>
  <c r="Q104"/>
  <c r="Q105"/>
  <c r="Q106"/>
  <c r="Q107"/>
  <c r="Q108"/>
  <c r="Q109"/>
  <c r="Q110"/>
  <c r="Q111"/>
  <c r="Q112"/>
  <c r="P99"/>
  <c r="P100"/>
  <c r="P101"/>
  <c r="P102"/>
  <c r="P103"/>
  <c r="P104"/>
  <c r="P105"/>
  <c r="P106"/>
  <c r="P107"/>
  <c r="P108"/>
  <c r="P109"/>
  <c r="P110"/>
  <c r="P111"/>
  <c r="P112"/>
  <c r="O99"/>
  <c r="O100"/>
  <c r="O101"/>
  <c r="O102"/>
  <c r="O103"/>
  <c r="O104"/>
  <c r="O105"/>
  <c r="O106"/>
  <c r="O107"/>
  <c r="O108"/>
  <c r="O109"/>
  <c r="O110"/>
  <c r="O111"/>
  <c r="O112"/>
  <c r="N99"/>
  <c r="N100"/>
  <c r="N101"/>
  <c r="N102"/>
  <c r="N103"/>
  <c r="N104"/>
  <c r="N105"/>
  <c r="N106"/>
  <c r="N107"/>
  <c r="N108"/>
  <c r="N109"/>
  <c r="N110"/>
  <c r="N111"/>
  <c r="N112"/>
  <c r="M99"/>
  <c r="M100"/>
  <c r="M101"/>
  <c r="M102"/>
  <c r="M103"/>
  <c r="M104"/>
  <c r="M105"/>
  <c r="M106"/>
  <c r="M107"/>
  <c r="M108"/>
  <c r="M109"/>
  <c r="M110"/>
  <c r="M111"/>
  <c r="M112"/>
  <c r="L99"/>
  <c r="L100"/>
  <c r="L101"/>
  <c r="L102"/>
  <c r="L103"/>
  <c r="L104"/>
  <c r="L105"/>
  <c r="L106"/>
  <c r="L107"/>
  <c r="L108"/>
  <c r="L109"/>
  <c r="L110"/>
  <c r="L111"/>
  <c r="L112"/>
  <c r="K99"/>
  <c r="K100"/>
  <c r="K101"/>
  <c r="K102"/>
  <c r="K103"/>
  <c r="K104"/>
  <c r="K105"/>
  <c r="K106"/>
  <c r="K107"/>
  <c r="K108"/>
  <c r="K109"/>
  <c r="K110"/>
  <c r="K111"/>
  <c r="K112"/>
  <c r="J99"/>
  <c r="J100"/>
  <c r="J101"/>
  <c r="J102"/>
  <c r="J103"/>
  <c r="J104"/>
  <c r="J105"/>
  <c r="J106"/>
  <c r="J107"/>
  <c r="J108"/>
  <c r="J109"/>
  <c r="J110"/>
  <c r="J111"/>
  <c r="J112"/>
  <c r="I99"/>
  <c r="I100"/>
  <c r="I101"/>
  <c r="I102"/>
  <c r="I103"/>
  <c r="I104"/>
  <c r="I105"/>
  <c r="I106"/>
  <c r="I107"/>
  <c r="I108"/>
  <c r="I109"/>
  <c r="I110"/>
  <c r="I111"/>
  <c r="I112"/>
  <c r="H99"/>
  <c r="H100"/>
  <c r="H101"/>
  <c r="H102"/>
  <c r="H103"/>
  <c r="H104"/>
  <c r="H105"/>
  <c r="H106"/>
  <c r="H107"/>
  <c r="H108"/>
  <c r="H109"/>
  <c r="H110"/>
  <c r="H111"/>
  <c r="H112"/>
  <c r="G99"/>
  <c r="G100"/>
  <c r="G101"/>
  <c r="G102"/>
  <c r="G103"/>
  <c r="G104"/>
  <c r="G105"/>
  <c r="G106"/>
  <c r="G107"/>
  <c r="G108"/>
  <c r="G109"/>
  <c r="G110"/>
  <c r="G111"/>
  <c r="G112"/>
  <c r="F99"/>
  <c r="F100"/>
  <c r="F101"/>
  <c r="F102"/>
  <c r="F103"/>
  <c r="F104"/>
  <c r="F105"/>
  <c r="F106"/>
  <c r="F107"/>
  <c r="F108"/>
  <c r="F109"/>
  <c r="F110"/>
  <c r="F111"/>
  <c r="F112"/>
  <c r="E99"/>
  <c r="E100"/>
  <c r="E101"/>
  <c r="E102"/>
  <c r="E103"/>
  <c r="E104"/>
  <c r="E105"/>
  <c r="E106"/>
  <c r="E107"/>
  <c r="E108"/>
  <c r="E109"/>
  <c r="E110"/>
  <c r="E111"/>
  <c r="E112"/>
  <c r="D99"/>
  <c r="D100"/>
  <c r="D101"/>
  <c r="D102"/>
  <c r="D103"/>
  <c r="D104"/>
  <c r="D105"/>
  <c r="D106"/>
  <c r="D107"/>
  <c r="D108"/>
  <c r="D109"/>
  <c r="D110"/>
  <c r="D111"/>
  <c r="D112"/>
  <c r="C99"/>
  <c r="C100"/>
  <c r="C101"/>
  <c r="C102"/>
  <c r="C103"/>
  <c r="C104"/>
  <c r="C105"/>
  <c r="C106"/>
  <c r="C107"/>
  <c r="C108"/>
  <c r="C109"/>
  <c r="C110"/>
  <c r="C111"/>
  <c r="C112"/>
  <c r="T56"/>
  <c r="T57"/>
  <c r="S56"/>
  <c r="S57"/>
  <c r="R56"/>
  <c r="R57"/>
  <c r="Q56"/>
  <c r="Q57"/>
  <c r="P56"/>
  <c r="P57"/>
  <c r="O56"/>
  <c r="O57"/>
  <c r="N56"/>
  <c r="N57"/>
  <c r="M56"/>
  <c r="M57"/>
  <c r="L56"/>
  <c r="L57"/>
  <c r="K56"/>
  <c r="K57"/>
  <c r="J56"/>
  <c r="J57"/>
  <c r="I56"/>
  <c r="I57"/>
  <c r="H56"/>
  <c r="H57"/>
  <c r="G56"/>
  <c r="G57"/>
  <c r="F56"/>
  <c r="F57"/>
  <c r="E56"/>
  <c r="E57"/>
  <c r="D56"/>
  <c r="D57"/>
  <c r="C56"/>
  <c r="C57"/>
  <c r="AA30"/>
  <c r="BA30"/>
  <c r="Y30"/>
  <c r="AY30"/>
  <c r="W30"/>
  <c r="AW30"/>
  <c r="U30"/>
  <c r="AU30"/>
  <c r="S30"/>
  <c r="AS30"/>
  <c r="Q30"/>
  <c r="AQ30"/>
  <c r="O30"/>
  <c r="AO30"/>
  <c r="M30"/>
  <c r="AM30"/>
  <c r="K30"/>
  <c r="AK30"/>
  <c r="I30"/>
  <c r="AI30"/>
  <c r="G30"/>
  <c r="AG30"/>
  <c r="E30"/>
  <c r="AE30"/>
  <c r="C30"/>
  <c r="AC30"/>
  <c r="AA29"/>
  <c r="BA29"/>
  <c r="Y29"/>
  <c r="AY29"/>
  <c r="W29"/>
  <c r="AW29"/>
  <c r="U29"/>
  <c r="AU29"/>
  <c r="S29"/>
  <c r="AS29"/>
  <c r="Q29"/>
  <c r="AQ29"/>
  <c r="O29"/>
  <c r="AO29"/>
  <c r="M29"/>
  <c r="AM29"/>
  <c r="K29"/>
  <c r="AK29"/>
  <c r="I29"/>
  <c r="AI29"/>
  <c r="G29"/>
  <c r="AG29"/>
  <c r="E29"/>
  <c r="AE29"/>
  <c r="C29"/>
  <c r="AC29"/>
  <c r="AA28"/>
  <c r="BA28"/>
  <c r="Y28"/>
  <c r="AY28"/>
  <c r="W28"/>
  <c r="AW28"/>
  <c r="U28"/>
  <c r="AU28"/>
  <c r="S28"/>
  <c r="AS28"/>
  <c r="Q28"/>
  <c r="AQ28"/>
  <c r="O28"/>
  <c r="AO28"/>
  <c r="M28"/>
  <c r="AM28"/>
  <c r="K28"/>
  <c r="AK28"/>
  <c r="I28"/>
  <c r="AI28"/>
  <c r="G28"/>
  <c r="AG28"/>
  <c r="E28"/>
  <c r="AE28"/>
  <c r="C28"/>
  <c r="AC28"/>
  <c r="S6"/>
  <c r="S7"/>
  <c r="Q6"/>
  <c r="Q7"/>
  <c r="O6"/>
  <c r="O7"/>
  <c r="M6"/>
  <c r="M7"/>
  <c r="K6"/>
  <c r="K7"/>
  <c r="I6"/>
  <c r="I7"/>
  <c r="G6"/>
  <c r="G7"/>
  <c r="E6"/>
  <c r="E7"/>
  <c r="C6"/>
  <c r="C7"/>
  <c r="R16" i="8" a="1"/>
  <c r="R24" a="1"/>
  <c r="AB4" a="1"/>
  <c r="AC28" a="1"/>
  <c r="AB25" a="1"/>
  <c r="AD22" a="1"/>
  <c r="AC20" a="1"/>
  <c r="AB17" a="1"/>
  <c r="AD14" a="1"/>
  <c r="AC12" a="1"/>
  <c r="AC6" a="1"/>
  <c r="AD4" a="1"/>
  <c r="D61" i="24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61" i="23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14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D16" a="1"/>
  <c r="C10" a="1"/>
  <c r="D8" a="1"/>
  <c r="B61" i="11" a="1"/>
  <c r="D58" a="1"/>
  <c r="C56" a="1"/>
  <c r="B53" a="1"/>
  <c r="D50" a="1"/>
  <c r="C48" a="1"/>
  <c r="B45" a="1"/>
  <c r="D42" a="1"/>
  <c r="C40" a="1"/>
  <c r="B37" a="1"/>
  <c r="D34" a="1"/>
  <c r="C32" a="1"/>
  <c r="B29" a="1"/>
  <c r="D20" a="1"/>
  <c r="C16" a="1"/>
  <c r="B8" a="1"/>
  <c r="D60" i="12" a="1"/>
  <c r="C58" a="1"/>
  <c r="B55" a="1"/>
  <c r="D52" a="1"/>
  <c r="C50" a="1"/>
  <c r="B47" a="1"/>
  <c r="D44" a="1"/>
  <c r="C42" a="1"/>
  <c r="B39" a="1"/>
  <c r="D36" a="1"/>
  <c r="C34" a="1"/>
  <c r="B31" a="1"/>
  <c r="D28" a="1"/>
  <c r="C24" a="1"/>
  <c r="B21" a="1"/>
  <c r="D18" a="1"/>
  <c r="C16" a="1"/>
  <c r="B13" a="1"/>
  <c r="D9" a="1"/>
  <c r="C7" a="1"/>
  <c r="B4" a="1"/>
  <c r="B61" i="7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19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30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R21" i="8" a="1"/>
  <c r="R29" a="1"/>
  <c r="AD29" a="1"/>
  <c r="AC27" a="1"/>
  <c r="AB24" a="1"/>
  <c r="AD21" a="1"/>
  <c r="AC19" a="1"/>
  <c r="AB16" a="1"/>
  <c r="AD13" a="1"/>
  <c r="AC11" a="1"/>
  <c r="AD9" a="1"/>
  <c r="D60" i="24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B6" a="1"/>
  <c r="D60" i="23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B6" i="14" a="1"/>
  <c r="B8" a="1"/>
  <c r="B10" a="1"/>
  <c r="B12" a="1"/>
  <c r="B14" a="1"/>
  <c r="B16" a="1"/>
  <c r="B18" a="1"/>
  <c r="B20" a="1"/>
  <c r="B4" a="1"/>
  <c r="C60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D20" a="1"/>
  <c r="D18" a="1"/>
  <c r="C15" a="1"/>
  <c r="D13" a="1"/>
  <c r="C7" a="1"/>
  <c r="D5" a="1"/>
  <c r="B60" i="11" a="1"/>
  <c r="D57" a="1"/>
  <c r="C55" a="1"/>
  <c r="B52" a="1"/>
  <c r="D49" a="1"/>
  <c r="C47" a="1"/>
  <c r="B44" a="1"/>
  <c r="D41" a="1"/>
  <c r="C39" a="1"/>
  <c r="B36" a="1"/>
  <c r="D33" a="1"/>
  <c r="C31" a="1"/>
  <c r="B28" a="1"/>
  <c r="D19" a="1"/>
  <c r="D18" a="1"/>
  <c r="D17" a="1"/>
  <c r="C15" a="1"/>
  <c r="C14" a="1"/>
  <c r="C13" a="1"/>
  <c r="C12" a="1"/>
  <c r="C11" a="1"/>
  <c r="C10" a="1"/>
  <c r="B7" a="1"/>
  <c r="B6" a="1"/>
  <c r="B5" a="1"/>
  <c r="B4" a="1"/>
  <c r="D59" i="12" a="1"/>
  <c r="C57" a="1"/>
  <c r="B54" a="1"/>
  <c r="D51" a="1"/>
  <c r="C49" a="1"/>
  <c r="B46" a="1"/>
  <c r="D43" a="1"/>
  <c r="C41" a="1"/>
  <c r="B38" a="1"/>
  <c r="D35" a="1"/>
  <c r="C33" a="1"/>
  <c r="B30" a="1"/>
  <c r="D27" a="1"/>
  <c r="D26" a="1"/>
  <c r="D25" a="1"/>
  <c r="C23" a="1"/>
  <c r="B20" a="1"/>
  <c r="D17" a="1"/>
  <c r="C15" a="1"/>
  <c r="B12" a="1"/>
  <c r="D8" a="1"/>
  <c r="C6" a="1"/>
  <c r="B60" i="7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19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30" a="1"/>
  <c r="C59" a="1"/>
  <c r="R18" i="8" a="1"/>
  <c r="R26" a="1"/>
  <c r="AB6" a="1"/>
  <c r="AB8" a="1"/>
  <c r="AB10" a="1"/>
  <c r="AD28" a="1"/>
  <c r="AC26" a="1"/>
  <c r="AB23" a="1"/>
  <c r="AD20" a="1"/>
  <c r="AC18" a="1"/>
  <c r="AB15" a="1"/>
  <c r="AD12" a="1"/>
  <c r="AC8" a="1"/>
  <c r="AD6" a="1"/>
  <c r="D59" i="24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5" a="1"/>
  <c r="D59" i="23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14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C12" a="1"/>
  <c r="D10" a="1"/>
  <c r="C4" a="1"/>
  <c r="B59" i="11" a="1"/>
  <c r="D56" a="1"/>
  <c r="C54" a="1"/>
  <c r="B51" a="1"/>
  <c r="D48" a="1"/>
  <c r="C46" a="1"/>
  <c r="B43" a="1"/>
  <c r="D40" a="1"/>
  <c r="C38" a="1"/>
  <c r="B35" a="1"/>
  <c r="D32" a="1"/>
  <c r="C30" a="1"/>
  <c r="B27" a="1"/>
  <c r="D16" a="1"/>
  <c r="C9" a="1"/>
  <c r="B61" i="12" a="1"/>
  <c r="D58" a="1"/>
  <c r="C56" a="1"/>
  <c r="B53" a="1"/>
  <c r="D50" a="1"/>
  <c r="C48" a="1"/>
  <c r="B45" a="1"/>
  <c r="D42" a="1"/>
  <c r="C40" a="1"/>
  <c r="B37" a="1"/>
  <c r="D34" a="1"/>
  <c r="C32" a="1"/>
  <c r="B29" a="1"/>
  <c r="D24" a="1"/>
  <c r="C22" a="1"/>
  <c r="B19" a="1"/>
  <c r="D16" a="1"/>
  <c r="C14" a="1"/>
  <c r="B11" a="1"/>
  <c r="D7" a="1"/>
  <c r="C5" a="1"/>
  <c r="C4" a="1"/>
  <c r="B59" i="7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19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30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R15" i="8" a="1"/>
  <c r="R23" a="1"/>
  <c r="AD27" a="1"/>
  <c r="AC25" a="1"/>
  <c r="AB22" a="1"/>
  <c r="AD19" a="1"/>
  <c r="AC17" a="1"/>
  <c r="AB14" a="1"/>
  <c r="AD11" a="1"/>
  <c r="AC5" a="1"/>
  <c r="B61" i="24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C7" a="1"/>
  <c r="B4" a="1"/>
  <c r="B61" i="23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14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C21" a="1"/>
  <c r="C19" a="1"/>
  <c r="C17" a="1"/>
  <c r="D15" a="1"/>
  <c r="C9" a="1"/>
  <c r="D7" a="1"/>
  <c r="C61" i="11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B25" a="1"/>
  <c r="B24" a="1"/>
  <c r="B23" a="1"/>
  <c r="B22" a="1"/>
  <c r="B21" a="1"/>
  <c r="B20" a="1"/>
  <c r="D15" a="1"/>
  <c r="D14" a="1"/>
  <c r="D13" a="1"/>
  <c r="D12" a="1"/>
  <c r="D11" a="1"/>
  <c r="D10" a="1"/>
  <c r="C8" a="1"/>
  <c r="C7" a="1"/>
  <c r="C6" a="1"/>
  <c r="C5" a="1"/>
  <c r="B60" i="12" a="1"/>
  <c r="D57" a="1"/>
  <c r="C55" a="1"/>
  <c r="B52" a="1"/>
  <c r="D49" a="1"/>
  <c r="C47" a="1"/>
  <c r="B44" a="1"/>
  <c r="D41" a="1"/>
  <c r="C39" a="1"/>
  <c r="B36" a="1"/>
  <c r="D33" a="1"/>
  <c r="C31" a="1"/>
  <c r="B28" a="1"/>
  <c r="D23" a="1"/>
  <c r="C21" a="1"/>
  <c r="B18" a="1"/>
  <c r="D15" a="1"/>
  <c r="C13" a="1"/>
  <c r="B10" a="1"/>
  <c r="B9" a="1"/>
  <c r="D6" a="1"/>
  <c r="C61" i="7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19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30" a="1"/>
  <c r="C57" a="1"/>
  <c r="B54" a="1"/>
  <c r="D51" a="1"/>
  <c r="C49" a="1"/>
  <c r="B46" a="1"/>
  <c r="D43" a="1"/>
  <c r="C41" a="1"/>
  <c r="B38" a="1"/>
  <c r="D35" a="1"/>
  <c r="C33" a="1"/>
  <c r="B30" a="1"/>
  <c r="R20" i="8" a="1"/>
  <c r="R28" a="1"/>
  <c r="AB29" a="1"/>
  <c r="AD26" a="1"/>
  <c r="AC24" a="1"/>
  <c r="AB21" a="1"/>
  <c r="AD18" a="1"/>
  <c r="AC16" a="1"/>
  <c r="AB13" a="1"/>
  <c r="AC10" a="1"/>
  <c r="AD8" a="1"/>
  <c r="B60" i="24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6" a="1"/>
  <c r="B60" i="23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14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C14" a="1"/>
  <c r="D12" a="1"/>
  <c r="C6" a="1"/>
  <c r="D4" a="1"/>
  <c r="C60" i="11" a="1"/>
  <c r="B57" a="1"/>
  <c r="D54" a="1"/>
  <c r="C52" a="1"/>
  <c r="B49" a="1"/>
  <c r="D46" a="1"/>
  <c r="C44" a="1"/>
  <c r="B41" a="1"/>
  <c r="D38" a="1"/>
  <c r="C36" a="1"/>
  <c r="B33" a="1"/>
  <c r="D30" a="1"/>
  <c r="C28" a="1"/>
  <c r="B19" a="1"/>
  <c r="D9" a="1"/>
  <c r="C4" a="1"/>
  <c r="B59" i="12" a="1"/>
  <c r="D56" a="1"/>
  <c r="C54" a="1"/>
  <c r="B51" a="1"/>
  <c r="D48" a="1"/>
  <c r="C46" a="1"/>
  <c r="B43" a="1"/>
  <c r="D40" a="1"/>
  <c r="C38" a="1"/>
  <c r="B35" a="1"/>
  <c r="D32" a="1"/>
  <c r="C30" a="1"/>
  <c r="B27" a="1"/>
  <c r="D22" a="1"/>
  <c r="C20" a="1"/>
  <c r="B17" a="1"/>
  <c r="D14" a="1"/>
  <c r="C12" a="1"/>
  <c r="B8" a="1"/>
  <c r="D5" a="1"/>
  <c r="D4" a="1"/>
  <c r="C60" i="7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19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30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R17" i="8" a="1"/>
  <c r="R25" a="1"/>
  <c r="AB28" a="1"/>
  <c r="AD25" a="1"/>
  <c r="AC23" a="1"/>
  <c r="AB20" a="1"/>
  <c r="AD17" a="1"/>
  <c r="AC15" a="1"/>
  <c r="AB12" a="1"/>
  <c r="AC7" a="1"/>
  <c r="AD5" a="1"/>
  <c r="B59" i="24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D7" a="1"/>
  <c r="C5" a="1"/>
  <c r="C4" a="1"/>
  <c r="B59" i="23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5" i="14" a="1"/>
  <c r="B7" a="1"/>
  <c r="B9" a="1"/>
  <c r="B11" a="1"/>
  <c r="B13" a="1"/>
  <c r="B15" a="1"/>
  <c r="B17" a="1"/>
  <c r="B19" a="1"/>
  <c r="B21" a="1"/>
  <c r="B61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D21" a="1"/>
  <c r="D19" a="1"/>
  <c r="D17" a="1"/>
  <c r="C11" a="1"/>
  <c r="D9" a="1"/>
  <c r="D61" i="11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C26" a="1"/>
  <c r="C25" a="1"/>
  <c r="C24" a="1"/>
  <c r="C23" a="1"/>
  <c r="C22" a="1"/>
  <c r="C21" a="1"/>
  <c r="B18" a="1"/>
  <c r="B17" a="1"/>
  <c r="B16" a="1"/>
  <c r="D8" a="1"/>
  <c r="D7" a="1"/>
  <c r="D6" a="1"/>
  <c r="D5" a="1"/>
  <c r="C61" i="12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B25" a="1"/>
  <c r="B24" a="1"/>
  <c r="D21" a="1"/>
  <c r="C19" a="1"/>
  <c r="B16" a="1"/>
  <c r="D13" a="1"/>
  <c r="C11" a="1"/>
  <c r="C10" a="1"/>
  <c r="B7" a="1"/>
  <c r="D61" i="7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19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30" a="1"/>
  <c r="D57" a="1"/>
  <c r="C55" a="1"/>
  <c r="B52" a="1"/>
  <c r="D49" a="1"/>
  <c r="C47" a="1"/>
  <c r="B44" a="1"/>
  <c r="D41" a="1"/>
  <c r="C39" a="1"/>
  <c r="B36" a="1"/>
  <c r="D33" a="1"/>
  <c r="C31" a="1"/>
  <c r="R22" i="8" a="1"/>
  <c r="AB5" a="1"/>
  <c r="AB7" a="1"/>
  <c r="AB9" a="1"/>
  <c r="AB27" a="1"/>
  <c r="AD24" a="1"/>
  <c r="AC22" a="1"/>
  <c r="AB19" a="1"/>
  <c r="AD16" a="1"/>
  <c r="AC14" a="1"/>
  <c r="AB11" a="1"/>
  <c r="AD10" a="1"/>
  <c r="AC4" a="1"/>
  <c r="C61" i="24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6" a="1"/>
  <c r="C61" i="23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14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C16" a="1"/>
  <c r="D14" a="1"/>
  <c r="C8" a="1"/>
  <c r="D6" a="1"/>
  <c r="D60" i="11" a="1"/>
  <c r="C58" a="1"/>
  <c r="B55" a="1"/>
  <c r="D52" a="1"/>
  <c r="C50" a="1"/>
  <c r="B47" a="1"/>
  <c r="D44" a="1"/>
  <c r="C42" a="1"/>
  <c r="B39" a="1"/>
  <c r="D36" a="1"/>
  <c r="C34" a="1"/>
  <c r="B31" a="1"/>
  <c r="D28" a="1"/>
  <c r="C20" a="1"/>
  <c r="B15" a="1"/>
  <c r="D4" a="1"/>
  <c r="C60" i="12" a="1"/>
  <c r="B57" a="1"/>
  <c r="D54" a="1"/>
  <c r="C52" a="1"/>
  <c r="B49" a="1"/>
  <c r="D46" a="1"/>
  <c r="C44" a="1"/>
  <c r="B41" a="1"/>
  <c r="D38" a="1"/>
  <c r="C36" a="1"/>
  <c r="R14" i="8" a="1"/>
  <c r="R19" a="1"/>
  <c r="R27" a="1"/>
  <c r="AC29" a="1"/>
  <c r="AB26" a="1"/>
  <c r="AD23" a="1"/>
  <c r="AC21" a="1"/>
  <c r="AB18" a="1"/>
  <c r="AD15" a="1"/>
  <c r="AC13" a="1"/>
  <c r="AC9" a="1"/>
  <c r="AD7" a="1"/>
  <c r="C60" i="24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5" a="1"/>
  <c r="D4" a="1"/>
  <c r="C60" i="23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14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C20" a="1"/>
  <c r="C18" a="1"/>
  <c r="C13" a="1"/>
  <c r="D11" a="1"/>
  <c r="C5" a="1"/>
  <c r="D59" i="11" a="1"/>
  <c r="C57" a="1"/>
  <c r="B54" a="1"/>
  <c r="D51" a="1"/>
  <c r="C49" a="1"/>
  <c r="B46" a="1"/>
  <c r="D43" a="1"/>
  <c r="C41" a="1"/>
  <c r="B38" a="1"/>
  <c r="D35" a="1"/>
  <c r="C33" a="1"/>
  <c r="B30" a="1"/>
  <c r="D27" a="1"/>
  <c r="D26" a="1"/>
  <c r="D25" a="1"/>
  <c r="D24" a="1"/>
  <c r="D23" a="1"/>
  <c r="D22" a="1"/>
  <c r="D21" a="1"/>
  <c r="C19" a="1"/>
  <c r="C18" a="1"/>
  <c r="C17" a="1"/>
  <c r="B14" a="1"/>
  <c r="B13" a="1"/>
  <c r="B12" a="1"/>
  <c r="B11" a="1"/>
  <c r="B10" a="1"/>
  <c r="B9" a="1"/>
  <c r="D61" i="12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C26" a="1"/>
  <c r="C25" a="1"/>
  <c r="B22" a="1"/>
  <c r="D19" a="1"/>
  <c r="C17" a="1"/>
  <c r="B14" a="1"/>
  <c r="D11" a="1"/>
  <c r="D10" a="1"/>
  <c r="C8" a="1"/>
  <c r="B5" a="1"/>
  <c r="D59" i="7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19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30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D52" i="7" a="1"/>
  <c r="C34" a="1"/>
  <c r="B15" a="1"/>
  <c r="D46" i="19" a="1"/>
  <c r="C28" a="1"/>
  <c r="B9" a="1"/>
  <c r="C54" i="30" a="1"/>
  <c r="D40" a="1"/>
  <c r="B35" a="1"/>
  <c r="D16" a="1"/>
  <c r="B12" a="1"/>
  <c r="D9" a="1"/>
  <c r="C7" a="1"/>
  <c r="B4" a="1"/>
  <c r="D59" i="29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28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27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26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B4" a="1"/>
  <c r="C4" a="1"/>
  <c r="B59" i="25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B6" a="1"/>
  <c r="B16" a="1"/>
  <c r="C13" a="1"/>
  <c r="C11" a="1"/>
  <c r="D7" a="1"/>
  <c r="D5" a="1"/>
  <c r="D61" i="22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61" i="21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D9" a="1"/>
  <c r="B5" a="1"/>
  <c r="C4" a="1"/>
  <c r="B59" i="20" a="1"/>
  <c r="D56" a="1"/>
  <c r="C54" a="1"/>
  <c r="B51" a="1"/>
  <c r="D48" a="1"/>
  <c r="C46" a="1"/>
  <c r="B43" a="1"/>
  <c r="D40" a="1"/>
  <c r="C38" a="1"/>
  <c r="D20" i="12" a="1"/>
  <c r="D44" i="7" a="1"/>
  <c r="C26" a="1"/>
  <c r="B7" a="1"/>
  <c r="D38" i="19" a="1"/>
  <c r="C20" a="1"/>
  <c r="B59" i="30" a="1"/>
  <c r="D45" a="1"/>
  <c r="B40" a="1"/>
  <c r="B28" a="1"/>
  <c r="C22" a="1"/>
  <c r="B14" a="1"/>
  <c r="B11" a="1"/>
  <c r="D8" a="1"/>
  <c r="C6" a="1"/>
  <c r="B61" i="29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28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27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26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B16" a="1"/>
  <c r="C16" a="1"/>
  <c r="D15" a="1"/>
  <c r="B12" a="1"/>
  <c r="C12" a="1"/>
  <c r="D11" a="1"/>
  <c r="B8" a="1"/>
  <c r="C8" a="1"/>
  <c r="D7" a="1"/>
  <c r="C61" i="25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B9" a="1"/>
  <c r="B15" a="1"/>
  <c r="D9" a="1"/>
  <c r="D60" i="22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60" i="21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D10" a="1"/>
  <c r="B6" a="1"/>
  <c r="C5" a="1"/>
  <c r="C61" i="20" a="1"/>
  <c r="B58" a="1"/>
  <c r="D55" a="1"/>
  <c r="C53" a="1"/>
  <c r="B50" a="1"/>
  <c r="D47" a="1"/>
  <c r="C28" i="12" a="1"/>
  <c r="D12" a="1"/>
  <c r="D36" i="7" a="1"/>
  <c r="C18" a="1"/>
  <c r="B57" i="19" a="1"/>
  <c r="D30" a="1"/>
  <c r="C12" a="1"/>
  <c r="C46" i="30" a="1"/>
  <c r="D32" a="1"/>
  <c r="D24" a="1"/>
  <c r="B16" a="1"/>
  <c r="C15" a="1"/>
  <c r="C13" a="1"/>
  <c r="B10" a="1"/>
  <c r="D7" a="1"/>
  <c r="C5" a="1"/>
  <c r="B60" i="29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28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27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26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C5" a="1"/>
  <c r="D4" a="1"/>
  <c r="C60" i="25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4" a="1"/>
  <c r="B12" a="1"/>
  <c r="C17" a="1"/>
  <c r="B14" a="1"/>
  <c r="D13" a="1"/>
  <c r="D11" a="1"/>
  <c r="C6" a="1"/>
  <c r="C4" a="1"/>
  <c r="D59" i="22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59" i="21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6" a="1"/>
  <c r="D4" a="1"/>
  <c r="C60" i="20" a="1"/>
  <c r="B57" a="1"/>
  <c r="D54" a="1"/>
  <c r="C52" a="1"/>
  <c r="B49" a="1"/>
  <c r="D46" a="1"/>
  <c r="C44" a="1"/>
  <c r="B41" a="1"/>
  <c r="D38" a="1"/>
  <c r="B55" i="7" a="1"/>
  <c r="D28" a="1"/>
  <c r="C10" a="1"/>
  <c r="B49" i="19" a="1"/>
  <c r="D22" a="1"/>
  <c r="C4" a="1"/>
  <c r="C51" i="30" a="1"/>
  <c r="D37" a="1"/>
  <c r="B32" a="1"/>
  <c r="D29" a="1"/>
  <c r="C27" a="1"/>
  <c r="B24" a="1"/>
  <c r="B20" a="1"/>
  <c r="B18" a="1"/>
  <c r="C17" a="1"/>
  <c r="D13" a="1"/>
  <c r="C12" a="1"/>
  <c r="B9" a="1"/>
  <c r="D6" a="1"/>
  <c r="C4" a="1"/>
  <c r="B59" i="29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28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27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26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C17" a="1"/>
  <c r="D16" a="1"/>
  <c r="B13" a="1"/>
  <c r="C13" a="1"/>
  <c r="D12" a="1"/>
  <c r="B9" a="1"/>
  <c r="C9" a="1"/>
  <c r="D8" a="1"/>
  <c r="B5" a="1"/>
  <c r="D61" i="25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7" a="1"/>
  <c r="C16" a="1"/>
  <c r="C8" a="1"/>
  <c r="B61" i="22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B4" a="1"/>
  <c r="B61" i="21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B7" a="1"/>
  <c r="C7" a="1"/>
  <c r="D5" a="1"/>
  <c r="D61" i="20" a="1"/>
  <c r="D30" i="12" a="1"/>
  <c r="B23" a="1"/>
  <c r="B6" a="1"/>
  <c r="B47" i="7" a="1"/>
  <c r="D20" a="1"/>
  <c r="C60" i="19" a="1"/>
  <c r="B41" a="1"/>
  <c r="D14" a="1"/>
  <c r="D56" i="30" a="1"/>
  <c r="B51" a="1"/>
  <c r="C38" a="1"/>
  <c r="D27" a="1"/>
  <c r="C25" a="1"/>
  <c r="B22" a="1"/>
  <c r="C19" a="1"/>
  <c r="D17" a="1"/>
  <c r="D15" a="1"/>
  <c r="C11" a="1"/>
  <c r="B8" a="1"/>
  <c r="D5" a="1"/>
  <c r="C61" i="29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28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27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26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D5" a="1"/>
  <c r="D60" i="25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0" a="1"/>
  <c r="D17" a="1"/>
  <c r="C15" a="1"/>
  <c r="C12" a="1"/>
  <c r="C10" a="1"/>
  <c r="D6" a="1"/>
  <c r="D4" a="1"/>
  <c r="B60" i="22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60" i="21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B8" a="1"/>
  <c r="D6" a="1"/>
  <c r="D60" i="20" a="1"/>
  <c r="C58" a="1"/>
  <c r="B55" a="1"/>
  <c r="D52" a="1"/>
  <c r="C50" a="1"/>
  <c r="B47" a="1"/>
  <c r="D44" a="1"/>
  <c r="C42" a="1"/>
  <c r="B39" a="1"/>
  <c r="B15" i="12" a="1"/>
  <c r="C58" i="7" a="1"/>
  <c r="B39" a="1"/>
  <c r="D12" a="1"/>
  <c r="C52" i="19" a="1"/>
  <c r="B33" a="1"/>
  <c r="D6" a="1"/>
  <c r="B56" i="30" a="1"/>
  <c r="C43" a="1"/>
  <c r="D25" a="1"/>
  <c r="C23" a="1"/>
  <c r="C21" a="1"/>
  <c r="D19" a="1"/>
  <c r="D12" a="1"/>
  <c r="C10" a="1"/>
  <c r="B7" a="1"/>
  <c r="D4" a="1"/>
  <c r="C60" i="29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28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27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26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D17" a="1"/>
  <c r="B14" a="1"/>
  <c r="C14" a="1"/>
  <c r="D13" a="1"/>
  <c r="B10" a="1"/>
  <c r="C10" a="1"/>
  <c r="D9" a="1"/>
  <c r="B6" a="1"/>
  <c r="C6" a="1"/>
  <c r="D59" i="25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B5" a="1"/>
  <c r="B13" a="1"/>
  <c r="D16" a="1"/>
  <c r="C14" a="1"/>
  <c r="D8" a="1"/>
  <c r="B59" i="22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C5" a="1"/>
  <c r="C4" a="1"/>
  <c r="B59" i="21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B9" a="1"/>
  <c r="C8" a="1"/>
  <c r="D7" a="1"/>
  <c r="D59" i="20" a="1"/>
  <c r="C57" a="1"/>
  <c r="C9" i="12" a="1"/>
  <c r="C50" i="7" a="1"/>
  <c r="B31" a="1"/>
  <c r="D4" a="1"/>
  <c r="C44" i="19" a="1"/>
  <c r="B25" a="1"/>
  <c r="D48" i="30" a="1"/>
  <c r="B43" a="1"/>
  <c r="C30" a="1"/>
  <c r="B27" a="1"/>
  <c r="D21" a="1"/>
  <c r="C14" a="1"/>
  <c r="D11" a="1"/>
  <c r="C9" a="1"/>
  <c r="B6" a="1"/>
  <c r="D61" i="29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28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27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26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B61" i="25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B8" a="1"/>
  <c r="D15" a="1"/>
  <c r="D12" a="1"/>
  <c r="D10" a="1"/>
  <c r="C7" a="1"/>
  <c r="C5" a="1"/>
  <c r="C61" i="22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61" i="21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C9" a="1"/>
  <c r="B61" i="20" a="1"/>
  <c r="D58" a="1"/>
  <c r="C56" a="1"/>
  <c r="B53" a="1"/>
  <c r="D50" a="1"/>
  <c r="C48" a="1"/>
  <c r="B45" a="1"/>
  <c r="D42" a="1"/>
  <c r="C40" a="1"/>
  <c r="B37" a="1"/>
  <c r="B33" i="12" a="1"/>
  <c r="C18" a="1"/>
  <c r="D60" i="7" a="1"/>
  <c r="C42" a="1"/>
  <c r="B23" a="1"/>
  <c r="D54" i="19" a="1"/>
  <c r="C36" a="1"/>
  <c r="B17" a="1"/>
  <c r="D53" i="30" a="1"/>
  <c r="B48" a="1"/>
  <c r="C35" a="1"/>
  <c r="B19" a="1"/>
  <c r="D10" a="1"/>
  <c r="C8" a="1"/>
  <c r="B5" a="1"/>
  <c r="D60" i="29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28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27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26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B15" a="1"/>
  <c r="C15" a="1"/>
  <c r="D14" a="1"/>
  <c r="B11" a="1"/>
  <c r="C11" a="1"/>
  <c r="D10" a="1"/>
  <c r="B7" a="1"/>
  <c r="C7" a="1"/>
  <c r="D6" a="1"/>
  <c r="B60" i="25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B11" a="1"/>
  <c r="B17" a="1"/>
  <c r="D14" a="1"/>
  <c r="C9" a="1"/>
  <c r="C60" i="22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D5" a="1"/>
  <c r="D4" a="1"/>
  <c r="C60" i="21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C10" a="1"/>
  <c r="D8" a="1"/>
  <c r="B4" a="1"/>
  <c r="B60" i="20" a="1"/>
  <c r="D57" a="1"/>
  <c r="C51" a="1"/>
  <c r="D45" a="1"/>
  <c r="C43" a="1"/>
  <c r="B40" a="1"/>
  <c r="C37" a="1"/>
  <c r="B35" a="1"/>
  <c r="D32" a="1"/>
  <c r="C30" a="1"/>
  <c r="B27" a="1"/>
  <c r="D24" a="1"/>
  <c r="C22" a="1"/>
  <c r="B19" a="1"/>
  <c r="D16" a="1"/>
  <c r="C14" a="1"/>
  <c r="B11" a="1"/>
  <c r="D8" a="1"/>
  <c r="C6" a="1"/>
  <c r="C5" a="1"/>
  <c r="C4" a="1"/>
  <c r="C60" i="18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17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16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15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13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D5" a="1"/>
  <c r="D4" a="1"/>
  <c r="B61" i="10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1" a="1"/>
  <c r="B7" a="1"/>
  <c r="C6" a="1"/>
  <c r="D5" a="1"/>
  <c r="D61" i="9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8" a="1"/>
  <c r="B58" a="1"/>
  <c r="D55" a="1"/>
  <c r="C53" a="1"/>
  <c r="B50" a="1"/>
  <c r="D47" a="1"/>
  <c r="C45" a="1"/>
  <c r="B42" a="1"/>
  <c r="C59" i="20" a="1"/>
  <c r="D51" a="1"/>
  <c r="D43" a="1"/>
  <c r="C41" a="1"/>
  <c r="B38" a="1"/>
  <c r="B34" a="1"/>
  <c r="D31" a="1"/>
  <c r="C29" a="1"/>
  <c r="B26" a="1"/>
  <c r="D23" a="1"/>
  <c r="C21" a="1"/>
  <c r="B18" a="1"/>
  <c r="D15" a="1"/>
  <c r="C13" a="1"/>
  <c r="B10" a="1"/>
  <c r="D7" a="1"/>
  <c r="D61" i="18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17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16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15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13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B60" i="10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C13" a="1"/>
  <c r="D12" a="1"/>
  <c r="B8" a="1"/>
  <c r="C7" a="1"/>
  <c r="D60" i="9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8" a="1"/>
  <c r="B57" a="1"/>
  <c r="D54" a="1"/>
  <c r="C52" a="1"/>
  <c r="B49" a="1"/>
  <c r="D46" a="1"/>
  <c r="C44" a="1"/>
  <c r="B41" a="1"/>
  <c r="B54" i="20" a="1"/>
  <c r="B48" a="1"/>
  <c r="D41" a="1"/>
  <c r="C39" a="1"/>
  <c r="D37" a="1"/>
  <c r="C36" a="1"/>
  <c r="B33" a="1"/>
  <c r="D30" a="1"/>
  <c r="C28" a="1"/>
  <c r="B25" a="1"/>
  <c r="D22" a="1"/>
  <c r="C20" a="1"/>
  <c r="B17" a="1"/>
  <c r="D14" a="1"/>
  <c r="C12" a="1"/>
  <c r="B9" a="1"/>
  <c r="D6" a="1"/>
  <c r="D5" a="1"/>
  <c r="D4" a="1"/>
  <c r="D60" i="18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17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16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15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13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B59" i="10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C8" a="1"/>
  <c r="D6" a="1"/>
  <c r="D59" i="9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8" a="1"/>
  <c r="C59" a="1"/>
  <c r="B56" a="1"/>
  <c r="D53" a="1"/>
  <c r="C51" a="1"/>
  <c r="B48" a="1"/>
  <c r="D45" a="1"/>
  <c r="C43" a="1"/>
  <c r="B40" a="1"/>
  <c r="C55" i="20" a="1"/>
  <c r="C49" a="1"/>
  <c r="D39" a="1"/>
  <c r="C35" a="1"/>
  <c r="B32" a="1"/>
  <c r="D29" a="1"/>
  <c r="C27" a="1"/>
  <c r="B24" a="1"/>
  <c r="D21" a="1"/>
  <c r="C19" a="1"/>
  <c r="B16" a="1"/>
  <c r="D13" a="1"/>
  <c r="C11" a="1"/>
  <c r="B8" a="1"/>
  <c r="D59" i="18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17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16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15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13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C61" i="10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D13" a="1"/>
  <c r="B9" a="1"/>
  <c r="C9" a="1"/>
  <c r="D7" a="1"/>
  <c r="B61" i="9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8" a="1"/>
  <c r="C58" a="1"/>
  <c r="B55" a="1"/>
  <c r="D52" a="1"/>
  <c r="C50" a="1"/>
  <c r="B47" a="1"/>
  <c r="D44" a="1"/>
  <c r="C42" a="1"/>
  <c r="D49" i="20" a="1"/>
  <c r="D36" a="1"/>
  <c r="C34" a="1"/>
  <c r="B31" a="1"/>
  <c r="D28" a="1"/>
  <c r="C26" a="1"/>
  <c r="B23" a="1"/>
  <c r="D20" a="1"/>
  <c r="C18" a="1"/>
  <c r="B15" a="1"/>
  <c r="D12" a="1"/>
  <c r="C10" a="1"/>
  <c r="B7" a="1"/>
  <c r="B61" i="18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17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16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15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13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B4" a="1"/>
  <c r="C60" i="10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B10" a="1"/>
  <c r="D8" a="1"/>
  <c r="B4" a="1"/>
  <c r="B60" i="9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8" a="1"/>
  <c r="C57" a="1"/>
  <c r="B54" a="1"/>
  <c r="D51" a="1"/>
  <c r="C49" a="1"/>
  <c r="B46" a="1"/>
  <c r="D43" a="1"/>
  <c r="C41" a="1"/>
  <c r="B52" i="20" a="1"/>
  <c r="B46" a="1"/>
  <c r="D35" a="1"/>
  <c r="C33" a="1"/>
  <c r="B30" a="1"/>
  <c r="D27" a="1"/>
  <c r="C25" a="1"/>
  <c r="B22" a="1"/>
  <c r="D19" a="1"/>
  <c r="C17" a="1"/>
  <c r="B14" a="1"/>
  <c r="D11" a="1"/>
  <c r="C9" a="1"/>
  <c r="B6" a="1"/>
  <c r="B60" i="18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17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16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15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13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D61" i="10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B11" a="1"/>
  <c r="C10" a="1"/>
  <c r="D9" a="1"/>
  <c r="C4" a="1"/>
  <c r="B59" i="9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8" a="1"/>
  <c r="D58" a="1"/>
  <c r="C56" a="1"/>
  <c r="B53" a="1"/>
  <c r="D50" a="1"/>
  <c r="C48" a="1"/>
  <c r="B45" a="1"/>
  <c r="D42" a="1"/>
  <c r="C40" a="1"/>
  <c r="D53" i="20" a="1"/>
  <c r="C47" a="1"/>
  <c r="B44" a="1"/>
  <c r="B36" a="1"/>
  <c r="D34" a="1"/>
  <c r="C32" a="1"/>
  <c r="B29" a="1"/>
  <c r="D26" a="1"/>
  <c r="C24" a="1"/>
  <c r="B21" a="1"/>
  <c r="D18" a="1"/>
  <c r="C16" a="1"/>
  <c r="B13" a="1"/>
  <c r="D10" a="1"/>
  <c r="C8" a="1"/>
  <c r="B5" a="1"/>
  <c r="B4" a="1"/>
  <c r="B59" i="18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B61" i="17" a="1"/>
  <c r="D58" a="1"/>
  <c r="C56" a="1"/>
  <c r="B53" a="1"/>
  <c r="D50" a="1"/>
  <c r="C48" a="1"/>
  <c r="B45" a="1"/>
  <c r="D42" a="1"/>
  <c r="C40" a="1"/>
  <c r="B37" a="1"/>
  <c r="D34" a="1"/>
  <c r="C32" a="1"/>
  <c r="B29" a="1"/>
  <c r="D26" a="1"/>
  <c r="C24" a="1"/>
  <c r="B21" a="1"/>
  <c r="D18" a="1"/>
  <c r="C16" a="1"/>
  <c r="B13" a="1"/>
  <c r="D10" a="1"/>
  <c r="C8" a="1"/>
  <c r="B5" a="1"/>
  <c r="D60" i="16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D12" a="1"/>
  <c r="C10" a="1"/>
  <c r="B7" a="1"/>
  <c r="D4" a="1"/>
  <c r="C60" i="15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13" a="1"/>
  <c r="D56" a="1"/>
  <c r="C54" a="1"/>
  <c r="B51" a="1"/>
  <c r="D48" a="1"/>
  <c r="C46" a="1"/>
  <c r="B43" a="1"/>
  <c r="D40" a="1"/>
  <c r="C38" a="1"/>
  <c r="B35" a="1"/>
  <c r="D32" a="1"/>
  <c r="C30" a="1"/>
  <c r="B27" a="1"/>
  <c r="D24" a="1"/>
  <c r="C22" a="1"/>
  <c r="B19" a="1"/>
  <c r="D16" a="1"/>
  <c r="C14" a="1"/>
  <c r="B11" a="1"/>
  <c r="D8" a="1"/>
  <c r="C6" a="1"/>
  <c r="C5" a="1"/>
  <c r="C4" a="1"/>
  <c r="D60" i="10" a="1"/>
  <c r="C58" a="1"/>
  <c r="B55" a="1"/>
  <c r="D52" a="1"/>
  <c r="C50" a="1"/>
  <c r="B47" a="1"/>
  <c r="D44" a="1"/>
  <c r="C42" a="1"/>
  <c r="B39" a="1"/>
  <c r="D36" a="1"/>
  <c r="C34" a="1"/>
  <c r="B31" a="1"/>
  <c r="D28" a="1"/>
  <c r="C26" a="1"/>
  <c r="B23" a="1"/>
  <c r="D20" a="1"/>
  <c r="C18" a="1"/>
  <c r="B15" a="1"/>
  <c r="C11" a="1"/>
  <c r="B5" a="1"/>
  <c r="C5" a="1"/>
  <c r="C61" i="9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8" a="1"/>
  <c r="D57" a="1"/>
  <c r="C55" a="1"/>
  <c r="B52" a="1"/>
  <c r="D49" a="1"/>
  <c r="C47" a="1"/>
  <c r="B44" a="1"/>
  <c r="D41" a="1"/>
  <c r="B56" i="20" a="1"/>
  <c r="C45" a="1"/>
  <c r="B42" a="1"/>
  <c r="D33" a="1"/>
  <c r="C31" a="1"/>
  <c r="B28" a="1"/>
  <c r="D25" a="1"/>
  <c r="C23" a="1"/>
  <c r="B20" a="1"/>
  <c r="D17" a="1"/>
  <c r="C15" a="1"/>
  <c r="B12" a="1"/>
  <c r="D9" a="1"/>
  <c r="C7" a="1"/>
  <c r="C61" i="18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C5" a="1"/>
  <c r="B60" i="17" a="1"/>
  <c r="D57" a="1"/>
  <c r="C55" a="1"/>
  <c r="B52" a="1"/>
  <c r="D49" a="1"/>
  <c r="C47" a="1"/>
  <c r="B44" a="1"/>
  <c r="D41" a="1"/>
  <c r="C39" a="1"/>
  <c r="B36" a="1"/>
  <c r="D33" a="1"/>
  <c r="C31" a="1"/>
  <c r="B28" a="1"/>
  <c r="D25" a="1"/>
  <c r="C23" a="1"/>
  <c r="B20" a="1"/>
  <c r="D17" a="1"/>
  <c r="C15" a="1"/>
  <c r="B12" a="1"/>
  <c r="D9" a="1"/>
  <c r="C7" a="1"/>
  <c r="B4" a="1"/>
  <c r="D59" i="16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D11" a="1"/>
  <c r="C9" a="1"/>
  <c r="B6" a="1"/>
  <c r="D61" i="15" a="1"/>
  <c r="C59" a="1"/>
  <c r="B56" a="1"/>
  <c r="D53" a="1"/>
  <c r="C51" a="1"/>
  <c r="B48" a="1"/>
  <c r="D45" a="1"/>
  <c r="C43" a="1"/>
  <c r="B40" a="1"/>
  <c r="D37" a="1"/>
  <c r="C35" a="1"/>
  <c r="B32" a="1"/>
  <c r="D29" a="1"/>
  <c r="C27" a="1"/>
  <c r="B24" a="1"/>
  <c r="D21" a="1"/>
  <c r="C19" a="1"/>
  <c r="B16" a="1"/>
  <c r="D13" a="1"/>
  <c r="C11" a="1"/>
  <c r="B8" a="1"/>
  <c r="D5" a="1"/>
  <c r="C61" i="13" a="1"/>
  <c r="B58" a="1"/>
  <c r="D55" a="1"/>
  <c r="C53" a="1"/>
  <c r="B50" a="1"/>
  <c r="D47" a="1"/>
  <c r="C45" a="1"/>
  <c r="B42" a="1"/>
  <c r="D39" a="1"/>
  <c r="C37" a="1"/>
  <c r="B34" a="1"/>
  <c r="D31" a="1"/>
  <c r="C29" a="1"/>
  <c r="B26" a="1"/>
  <c r="D23" a="1"/>
  <c r="C21" a="1"/>
  <c r="B18" a="1"/>
  <c r="D15" a="1"/>
  <c r="C13" a="1"/>
  <c r="B10" a="1"/>
  <c r="D7" a="1"/>
  <c r="D59" i="10" a="1"/>
  <c r="C57" a="1"/>
  <c r="B54" a="1"/>
  <c r="D51" a="1"/>
  <c r="C49" a="1"/>
  <c r="B46" a="1"/>
  <c r="D43" a="1"/>
  <c r="C41" a="1"/>
  <c r="B38" a="1"/>
  <c r="D35" a="1"/>
  <c r="C33" a="1"/>
  <c r="B30" a="1"/>
  <c r="D27" a="1"/>
  <c r="C25" a="1"/>
  <c r="B22" a="1"/>
  <c r="D19" a="1"/>
  <c r="C17" a="1"/>
  <c r="B14" a="1"/>
  <c r="B12" a="1"/>
  <c r="C12" a="1"/>
  <c r="D10" a="1"/>
  <c r="B6" a="1"/>
  <c r="D4" a="1"/>
  <c r="C60" i="9" a="1"/>
  <c r="B57" a="1"/>
  <c r="D54" a="1"/>
  <c r="C52" a="1"/>
  <c r="B49" a="1"/>
  <c r="D46" a="1"/>
  <c r="C44" a="1"/>
  <c r="B41" a="1"/>
  <c r="D38" a="1"/>
  <c r="C36" a="1"/>
  <c r="B33" a="1"/>
  <c r="D30" a="1"/>
  <c r="C28" a="1"/>
  <c r="B25" a="1"/>
  <c r="D22" a="1"/>
  <c r="C20" a="1"/>
  <c r="B17" a="1"/>
  <c r="D14" a="1"/>
  <c r="C12" a="1"/>
  <c r="B9" a="1"/>
  <c r="D6" a="1"/>
  <c r="C4" a="1"/>
  <c r="B59" i="8" a="1"/>
  <c r="D56" a="1"/>
  <c r="C54" a="1"/>
  <c r="B51" a="1"/>
  <c r="D48" a="1"/>
  <c r="C46" a="1"/>
  <c r="B43" a="1"/>
  <c r="D37" a="1"/>
  <c r="C35" a="1"/>
  <c r="B32" a="1"/>
  <c r="Y29" a="1"/>
  <c r="J29" a="1"/>
  <c r="B28" a="1"/>
  <c r="S27" a="1"/>
  <c r="W26" a="1"/>
  <c r="K26" a="1"/>
  <c r="T25" a="1"/>
  <c r="C25" a="1"/>
  <c r="L24" a="1"/>
  <c r="X23" a="1"/>
  <c r="D23" a="1"/>
  <c r="Y21" a="1"/>
  <c r="J21" a="1"/>
  <c r="B20" a="1"/>
  <c r="S19" a="1"/>
  <c r="W18" a="1"/>
  <c r="K18" a="1"/>
  <c r="T17" a="1"/>
  <c r="C17" a="1"/>
  <c r="L16" a="1"/>
  <c r="X15" a="1"/>
  <c r="D15" a="1"/>
  <c r="Y13" a="1"/>
  <c r="T13" a="1"/>
  <c r="C13" a="1"/>
  <c r="S12" a="1"/>
  <c r="W11" a="1"/>
  <c r="L10" a="1"/>
  <c r="D10" a="1"/>
  <c r="K9" a="1"/>
  <c r="C9" a="1"/>
  <c r="X8" a="1"/>
  <c r="S8" a="1"/>
  <c r="K4" a="1"/>
  <c r="C4" a="1"/>
  <c r="C6" a="1"/>
  <c r="C5" a="1"/>
  <c r="X4" a="1"/>
  <c r="B39" a="1"/>
  <c r="D36" a="1"/>
  <c r="C34" a="1"/>
  <c r="B31" a="1"/>
  <c r="B29" a="1"/>
  <c r="S28" a="1"/>
  <c r="W27" a="1"/>
  <c r="K27" a="1"/>
  <c r="T26" a="1"/>
  <c r="C26" a="1"/>
  <c r="L25" a="1"/>
  <c r="X24" a="1"/>
  <c r="D24" a="1"/>
  <c r="Y22" a="1"/>
  <c r="J22" a="1"/>
  <c r="B21" a="1"/>
  <c r="S20" a="1"/>
  <c r="W19" a="1"/>
  <c r="K19" a="1"/>
  <c r="T18" a="1"/>
  <c r="C18" a="1"/>
  <c r="L17" a="1"/>
  <c r="X16" a="1"/>
  <c r="D16" a="1"/>
  <c r="Y14" a="1"/>
  <c r="J14" a="1"/>
  <c r="L13" a="1"/>
  <c r="X12" a="1"/>
  <c r="K12" a="1"/>
  <c r="R11" a="1"/>
  <c r="J11" a="1"/>
  <c r="Y9" a="1"/>
  <c r="T9" a="1"/>
  <c r="K8" a="1"/>
  <c r="C8" a="1"/>
  <c r="X7" a="1"/>
  <c r="S7" a="1"/>
  <c r="K7" a="1"/>
  <c r="C7" a="1"/>
  <c r="X6" a="1"/>
  <c r="S6" a="1"/>
  <c r="K6" a="1"/>
  <c r="X5" a="1"/>
  <c r="S5" a="1"/>
  <c r="K5" a="1"/>
  <c r="S4" a="1"/>
  <c r="B38" a="1"/>
  <c r="D35" a="1"/>
  <c r="C33" a="1"/>
  <c r="B30" a="1"/>
  <c r="S29" a="1"/>
  <c r="W28" a="1"/>
  <c r="K28" a="1"/>
  <c r="T27" a="1"/>
  <c r="C27" a="1"/>
  <c r="L26" a="1"/>
  <c r="X25" a="1"/>
  <c r="D25" a="1"/>
  <c r="Y23" a="1"/>
  <c r="J23" a="1"/>
  <c r="B22" a="1"/>
  <c r="S21" a="1"/>
  <c r="W20" a="1"/>
  <c r="K20" a="1"/>
  <c r="T19" a="1"/>
  <c r="C19" a="1"/>
  <c r="L18" a="1"/>
  <c r="X17" a="1"/>
  <c r="D17" a="1"/>
  <c r="Y15" a="1"/>
  <c r="J15" a="1"/>
  <c r="B14" a="1"/>
  <c r="D13" a="1"/>
  <c r="T12" a="1"/>
  <c r="C12" a="1"/>
  <c r="B11" a="1"/>
  <c r="W10" a="1"/>
  <c r="L9" a="1"/>
  <c r="D9" a="1"/>
  <c r="Y8" a="1"/>
  <c r="T8" a="1"/>
  <c r="L4" a="1"/>
  <c r="D4" a="1"/>
  <c r="L6" a="1"/>
  <c r="L5" a="1"/>
  <c r="T4" a="1"/>
  <c r="B37" a="1"/>
  <c r="D34" a="1"/>
  <c r="C32" a="1"/>
  <c r="W29" a="1"/>
  <c r="K29" a="1"/>
  <c r="T28" a="1"/>
  <c r="C28" a="1"/>
  <c r="L27" a="1"/>
  <c r="X26" a="1"/>
  <c r="D26" a="1"/>
  <c r="Y24" a="1"/>
  <c r="J24" a="1"/>
  <c r="B23" a="1"/>
  <c r="S22" a="1"/>
  <c r="W21" a="1"/>
  <c r="K21" a="1"/>
  <c r="T20" a="1"/>
  <c r="C20" a="1"/>
  <c r="L19" a="1"/>
  <c r="X18" a="1"/>
  <c r="D18" a="1"/>
  <c r="Y16" a="1"/>
  <c r="J16" a="1"/>
  <c r="B15" a="1"/>
  <c r="S14" a="1"/>
  <c r="W13" a="1"/>
  <c r="Y12" a="1"/>
  <c r="L12" a="1"/>
  <c r="X11" a="1"/>
  <c r="S11" a="1"/>
  <c r="R10" a="1"/>
  <c r="J10" a="1"/>
  <c r="L8" a="1"/>
  <c r="D8" a="1"/>
  <c r="Y7" a="1"/>
  <c r="T7" a="1"/>
  <c r="L7" a="1"/>
  <c r="D7" a="1"/>
  <c r="Y6" a="1"/>
  <c r="T6" a="1"/>
  <c r="D6" a="1"/>
  <c r="Y5" a="1"/>
  <c r="T5" a="1"/>
  <c r="D5" a="1"/>
  <c r="Y4" a="1"/>
  <c r="D40" a="1"/>
  <c r="C39" a="1"/>
  <c r="B36" a="1"/>
  <c r="D33" a="1"/>
  <c r="C31" a="1"/>
  <c r="T29" a="1"/>
  <c r="C29" a="1"/>
  <c r="L28" a="1"/>
  <c r="X27" a="1"/>
  <c r="D27" a="1"/>
  <c r="Y25" a="1"/>
  <c r="J25" a="1"/>
  <c r="B24" a="1"/>
  <c r="S23" a="1"/>
  <c r="W22" a="1"/>
  <c r="K22" a="1"/>
  <c r="T21" a="1"/>
  <c r="C21" a="1"/>
  <c r="L20" a="1"/>
  <c r="X19" a="1"/>
  <c r="D19" a="1"/>
  <c r="Y17" a="1"/>
  <c r="J17" a="1"/>
  <c r="B16" a="1"/>
  <c r="S15" a="1"/>
  <c r="W14" a="1"/>
  <c r="K14" a="1"/>
  <c r="R13" a="1"/>
  <c r="J13" a="1"/>
  <c r="D12" a="1"/>
  <c r="K11" a="1"/>
  <c r="C11" a="1"/>
  <c r="B10" a="1"/>
  <c r="W9" a="1"/>
  <c r="B6" a="1"/>
  <c r="R4" a="1"/>
  <c r="C38" a="1"/>
  <c r="B35" a="1"/>
  <c r="D32" a="1"/>
  <c r="C30" a="1"/>
  <c r="L29" a="1"/>
  <c r="X28" a="1"/>
  <c r="D28" a="1"/>
  <c r="Y26" a="1"/>
  <c r="J26" a="1"/>
  <c r="B25" a="1"/>
  <c r="S24" a="1"/>
  <c r="W23" a="1"/>
  <c r="K23" a="1"/>
  <c r="T22" a="1"/>
  <c r="C22" a="1"/>
  <c r="L21" a="1"/>
  <c r="X20" a="1"/>
  <c r="D20" a="1"/>
  <c r="Y18" a="1"/>
  <c r="J18" a="1"/>
  <c r="B17" a="1"/>
  <c r="S16" a="1"/>
  <c r="W15" a="1"/>
  <c r="K15" a="1"/>
  <c r="T14" a="1"/>
  <c r="C14" a="1"/>
  <c r="B13" a="1"/>
  <c r="Y11" a="1"/>
  <c r="T11" a="1"/>
  <c r="X10" a="1"/>
  <c r="S10" a="1"/>
  <c r="R9" a="1"/>
  <c r="J9" a="1"/>
  <c r="W5" a="1"/>
  <c r="D39" a="1"/>
  <c r="C37" a="1"/>
  <c r="B34" a="1"/>
  <c r="D31" a="1"/>
  <c r="X29" a="1"/>
  <c r="D29" a="1"/>
  <c r="Y27" a="1"/>
  <c r="J27" a="1"/>
  <c r="B26" a="1"/>
  <c r="S25" a="1"/>
  <c r="W24" a="1"/>
  <c r="K24" a="1"/>
  <c r="T23" a="1"/>
  <c r="C23" a="1"/>
  <c r="L22" a="1"/>
  <c r="X21" a="1"/>
  <c r="D21" a="1"/>
  <c r="Y19" a="1"/>
  <c r="J19" a="1"/>
  <c r="B18" a="1"/>
  <c r="S17" a="1"/>
  <c r="W16" a="1"/>
  <c r="K16" a="1"/>
  <c r="T15" a="1"/>
  <c r="C15" a="1"/>
  <c r="L14" a="1"/>
  <c r="X13" a="1"/>
  <c r="S13" a="1"/>
  <c r="W12" a="1"/>
  <c r="J12" a="1"/>
  <c r="L11" a="1"/>
  <c r="D11" a="1"/>
  <c r="K10" a="1"/>
  <c r="C10" a="1"/>
  <c r="B9" a="1"/>
  <c r="W8" a="1"/>
  <c r="R8" a="1"/>
  <c r="J8" a="1"/>
  <c r="B4" a="1"/>
  <c r="R5" a="1"/>
  <c r="D38" a="1"/>
  <c r="C36" a="1"/>
  <c r="B33" a="1"/>
  <c r="D30" a="1"/>
  <c r="Y28" a="1"/>
  <c r="J28" a="1"/>
  <c r="B27" a="1"/>
  <c r="S26" a="1"/>
  <c r="W25" a="1"/>
  <c r="K25" a="1"/>
  <c r="T24" a="1"/>
  <c r="C24" a="1"/>
  <c r="L23" a="1"/>
  <c r="X22" a="1"/>
  <c r="D22" a="1"/>
  <c r="Y20" a="1"/>
  <c r="J20" a="1"/>
  <c r="B19" a="1"/>
  <c r="S18" a="1"/>
  <c r="W17" a="1"/>
  <c r="K17" a="1"/>
  <c r="T16" a="1"/>
  <c r="C16" a="1"/>
  <c r="L15" a="1"/>
  <c r="X14" a="1"/>
  <c r="D14" a="1"/>
  <c r="K13" a="1"/>
  <c r="R12" a="1"/>
  <c r="B12" a="1"/>
  <c r="Y10" a="1"/>
  <c r="T10" a="1"/>
  <c r="X9" a="1"/>
  <c r="S9" a="1"/>
  <c r="B8" a="1"/>
  <c r="W7" a="1"/>
  <c r="R7" a="1"/>
  <c r="J7" a="1"/>
  <c r="B7" a="1"/>
  <c r="W6" a="1"/>
  <c r="R6" a="1"/>
  <c r="J6" a="1"/>
  <c r="J5" a="1"/>
  <c r="B5" a="1"/>
  <c r="W4" a="1"/>
  <c r="J4" a="1"/>
  <c r="J4" l="1"/>
  <c r="M4" s="1"/>
  <c r="N4" s="1"/>
  <c r="W4"/>
  <c r="Z4" s="1"/>
  <c r="AA4" s="1"/>
  <c r="B5"/>
  <c r="E5" s="1"/>
  <c r="F5" s="1"/>
  <c r="J5"/>
  <c r="M5" s="1"/>
  <c r="J6"/>
  <c r="M6" s="1"/>
  <c r="R6"/>
  <c r="U6" s="1"/>
  <c r="V6" s="1"/>
  <c r="W6"/>
  <c r="Z6" s="1"/>
  <c r="AA6" s="1"/>
  <c r="B7"/>
  <c r="E7" s="1"/>
  <c r="F7" s="1"/>
  <c r="J7"/>
  <c r="M7" s="1"/>
  <c r="R7"/>
  <c r="U7" s="1"/>
  <c r="V7" s="1"/>
  <c r="W7"/>
  <c r="Z7" s="1"/>
  <c r="AA7" s="1"/>
  <c r="B8"/>
  <c r="E8" s="1"/>
  <c r="F8" s="1"/>
  <c r="S9"/>
  <c r="X9"/>
  <c r="T10"/>
  <c r="Y10"/>
  <c r="B12"/>
  <c r="E12" s="1"/>
  <c r="R12"/>
  <c r="U12" s="1"/>
  <c r="V12" s="1"/>
  <c r="K13"/>
  <c r="D14"/>
  <c r="X14"/>
  <c r="L15"/>
  <c r="C16"/>
  <c r="T16"/>
  <c r="K17"/>
  <c r="W17"/>
  <c r="Z17" s="1"/>
  <c r="S18"/>
  <c r="B19"/>
  <c r="E19" s="1"/>
  <c r="J20"/>
  <c r="M20" s="1"/>
  <c r="Y20"/>
  <c r="D22"/>
  <c r="X22"/>
  <c r="L23"/>
  <c r="C24"/>
  <c r="T24"/>
  <c r="K25"/>
  <c r="W25"/>
  <c r="Z25" s="1"/>
  <c r="S26"/>
  <c r="B27"/>
  <c r="E27" s="1"/>
  <c r="J28"/>
  <c r="M28" s="1"/>
  <c r="Y28"/>
  <c r="D30"/>
  <c r="B33"/>
  <c r="E33" s="1"/>
  <c r="C36"/>
  <c r="D38"/>
  <c r="R5"/>
  <c r="U5" s="1"/>
  <c r="V5" s="1"/>
  <c r="B4"/>
  <c r="E4" s="1"/>
  <c r="F4" s="1"/>
  <c r="J8"/>
  <c r="M8" s="1"/>
  <c r="R8"/>
  <c r="U8" s="1"/>
  <c r="V8" s="1"/>
  <c r="W8"/>
  <c r="Z8" s="1"/>
  <c r="AA8" s="1"/>
  <c r="B9"/>
  <c r="E9" s="1"/>
  <c r="F9" s="1"/>
  <c r="C10"/>
  <c r="K10"/>
  <c r="D11"/>
  <c r="L11"/>
  <c r="J12"/>
  <c r="M12" s="1"/>
  <c r="W12"/>
  <c r="Z12" s="1"/>
  <c r="S13"/>
  <c r="X13"/>
  <c r="L14"/>
  <c r="C15"/>
  <c r="T15"/>
  <c r="K16"/>
  <c r="W16"/>
  <c r="Z16" s="1"/>
  <c r="S17"/>
  <c r="B18"/>
  <c r="E18" s="1"/>
  <c r="J19"/>
  <c r="M19" s="1"/>
  <c r="Y19"/>
  <c r="D21"/>
  <c r="X21"/>
  <c r="L22"/>
  <c r="C23"/>
  <c r="T23"/>
  <c r="K24"/>
  <c r="W24"/>
  <c r="Z24" s="1"/>
  <c r="S25"/>
  <c r="B26"/>
  <c r="E26" s="1"/>
  <c r="J27"/>
  <c r="M27" s="1"/>
  <c r="Y27"/>
  <c r="D29"/>
  <c r="X29"/>
  <c r="D31"/>
  <c r="B34"/>
  <c r="E34" s="1"/>
  <c r="C37"/>
  <c r="D39"/>
  <c r="W5"/>
  <c r="Z5" s="1"/>
  <c r="AA5" s="1"/>
  <c r="J9"/>
  <c r="M9" s="1"/>
  <c r="R9"/>
  <c r="U9" s="1"/>
  <c r="V9" s="1"/>
  <c r="S10"/>
  <c r="X10"/>
  <c r="T11"/>
  <c r="Y11"/>
  <c r="B13"/>
  <c r="E13" s="1"/>
  <c r="C14"/>
  <c r="T14"/>
  <c r="K15"/>
  <c r="W15"/>
  <c r="Z15" s="1"/>
  <c r="S16"/>
  <c r="B17"/>
  <c r="E17" s="1"/>
  <c r="J18"/>
  <c r="M18" s="1"/>
  <c r="Y18"/>
  <c r="D20"/>
  <c r="X20"/>
  <c r="L21"/>
  <c r="C22"/>
  <c r="T22"/>
  <c r="K23"/>
  <c r="W23"/>
  <c r="Z23" s="1"/>
  <c r="S24"/>
  <c r="B25"/>
  <c r="E25" s="1"/>
  <c r="J26"/>
  <c r="M26" s="1"/>
  <c r="Y26"/>
  <c r="D28"/>
  <c r="X28"/>
  <c r="L29"/>
  <c r="C30"/>
  <c r="D32"/>
  <c r="B35"/>
  <c r="E35" s="1"/>
  <c r="C38"/>
  <c r="R4"/>
  <c r="U4" s="1"/>
  <c r="V4" s="1"/>
  <c r="B6"/>
  <c r="E6" s="1"/>
  <c r="F6" s="1"/>
  <c r="W9"/>
  <c r="Z9" s="1"/>
  <c r="B10"/>
  <c r="E10" s="1"/>
  <c r="F10" s="1"/>
  <c r="C11"/>
  <c r="K11"/>
  <c r="D12"/>
  <c r="J13"/>
  <c r="M13" s="1"/>
  <c r="R13"/>
  <c r="U13" s="1"/>
  <c r="V13" s="1"/>
  <c r="K14"/>
  <c r="W14"/>
  <c r="Z14" s="1"/>
  <c r="S15"/>
  <c r="B16"/>
  <c r="E16" s="1"/>
  <c r="J17"/>
  <c r="M17" s="1"/>
  <c r="Y17"/>
  <c r="D19"/>
  <c r="X19"/>
  <c r="L20"/>
  <c r="C21"/>
  <c r="T21"/>
  <c r="K22"/>
  <c r="W22"/>
  <c r="Z22" s="1"/>
  <c r="S23"/>
  <c r="B24"/>
  <c r="E24" s="1"/>
  <c r="J25"/>
  <c r="M25" s="1"/>
  <c r="Y25"/>
  <c r="D27"/>
  <c r="X27"/>
  <c r="L28"/>
  <c r="C29"/>
  <c r="T29"/>
  <c r="C31"/>
  <c r="D33"/>
  <c r="B36"/>
  <c r="E36" s="1"/>
  <c r="C39"/>
  <c r="D40"/>
  <c r="Y4"/>
  <c r="D5"/>
  <c r="T5"/>
  <c r="Y5"/>
  <c r="D6"/>
  <c r="T6"/>
  <c r="Y6"/>
  <c r="D7"/>
  <c r="L7"/>
  <c r="T7"/>
  <c r="Y7"/>
  <c r="D8"/>
  <c r="L8"/>
  <c r="J10"/>
  <c r="M10" s="1"/>
  <c r="R10"/>
  <c r="U10" s="1"/>
  <c r="V10" s="1"/>
  <c r="S11"/>
  <c r="X11"/>
  <c r="L12"/>
  <c r="Y12"/>
  <c r="W13"/>
  <c r="Z13" s="1"/>
  <c r="S14"/>
  <c r="B15"/>
  <c r="E15" s="1"/>
  <c r="J16"/>
  <c r="M16" s="1"/>
  <c r="Y16"/>
  <c r="D18"/>
  <c r="X18"/>
  <c r="L19"/>
  <c r="C20"/>
  <c r="T20"/>
  <c r="K21"/>
  <c r="W21"/>
  <c r="Z21" s="1"/>
  <c r="S22"/>
  <c r="B23"/>
  <c r="E23" s="1"/>
  <c r="J24"/>
  <c r="M24" s="1"/>
  <c r="Y24"/>
  <c r="D26"/>
  <c r="X26"/>
  <c r="L27"/>
  <c r="C28"/>
  <c r="T28"/>
  <c r="K29"/>
  <c r="W29"/>
  <c r="Z29" s="1"/>
  <c r="C32"/>
  <c r="D34"/>
  <c r="B37"/>
  <c r="E37" s="1"/>
  <c r="T4"/>
  <c r="L5"/>
  <c r="L6"/>
  <c r="D4"/>
  <c r="L4"/>
  <c r="T8"/>
  <c r="Y8"/>
  <c r="D9"/>
  <c r="L9"/>
  <c r="W10"/>
  <c r="Z10" s="1"/>
  <c r="B11"/>
  <c r="E11" s="1"/>
  <c r="F11" s="1"/>
  <c r="C12"/>
  <c r="T12"/>
  <c r="D13"/>
  <c r="B14"/>
  <c r="E14" s="1"/>
  <c r="J15"/>
  <c r="M15" s="1"/>
  <c r="Y15"/>
  <c r="D17"/>
  <c r="X17"/>
  <c r="L18"/>
  <c r="C19"/>
  <c r="T19"/>
  <c r="K20"/>
  <c r="W20"/>
  <c r="Z20" s="1"/>
  <c r="S21"/>
  <c r="B22"/>
  <c r="E22" s="1"/>
  <c r="J23"/>
  <c r="M23" s="1"/>
  <c r="Y23"/>
  <c r="D25"/>
  <c r="X25"/>
  <c r="L26"/>
  <c r="C27"/>
  <c r="T27"/>
  <c r="K28"/>
  <c r="W28"/>
  <c r="Z28" s="1"/>
  <c r="S29"/>
  <c r="B30"/>
  <c r="E30" s="1"/>
  <c r="C33"/>
  <c r="D35"/>
  <c r="B38"/>
  <c r="E38" s="1"/>
  <c r="S4"/>
  <c r="K5"/>
  <c r="S5"/>
  <c r="X5"/>
  <c r="K6"/>
  <c r="S6"/>
  <c r="X6"/>
  <c r="C7"/>
  <c r="K7"/>
  <c r="S7"/>
  <c r="X7"/>
  <c r="C8"/>
  <c r="K8"/>
  <c r="T9"/>
  <c r="Y9"/>
  <c r="J11"/>
  <c r="M11" s="1"/>
  <c r="R11"/>
  <c r="U11" s="1"/>
  <c r="V11" s="1"/>
  <c r="K12"/>
  <c r="X12"/>
  <c r="L13"/>
  <c r="J14"/>
  <c r="M14" s="1"/>
  <c r="Y14"/>
  <c r="D16"/>
  <c r="X16"/>
  <c r="L17"/>
  <c r="C18"/>
  <c r="T18"/>
  <c r="K19"/>
  <c r="W19"/>
  <c r="Z19" s="1"/>
  <c r="S20"/>
  <c r="B21"/>
  <c r="E21" s="1"/>
  <c r="J22"/>
  <c r="M22" s="1"/>
  <c r="Y22"/>
  <c r="D24"/>
  <c r="X24"/>
  <c r="L25"/>
  <c r="C26"/>
  <c r="T26"/>
  <c r="K27"/>
  <c r="W27"/>
  <c r="Z27" s="1"/>
  <c r="S28"/>
  <c r="B29"/>
  <c r="E29" s="1"/>
  <c r="B31"/>
  <c r="E31" s="1"/>
  <c r="C34"/>
  <c r="D36"/>
  <c r="B39"/>
  <c r="E39" s="1"/>
  <c r="X4"/>
  <c r="C5"/>
  <c r="C6"/>
  <c r="C4"/>
  <c r="K4"/>
  <c r="S8"/>
  <c r="X8"/>
  <c r="C9"/>
  <c r="K9"/>
  <c r="D10"/>
  <c r="L10"/>
  <c r="W11"/>
  <c r="Z11" s="1"/>
  <c r="S12"/>
  <c r="C13"/>
  <c r="T13"/>
  <c r="Y13"/>
  <c r="D15"/>
  <c r="X15"/>
  <c r="L16"/>
  <c r="C17"/>
  <c r="T17"/>
  <c r="K18"/>
  <c r="W18"/>
  <c r="Z18" s="1"/>
  <c r="S19"/>
  <c r="B20"/>
  <c r="E20" s="1"/>
  <c r="J21"/>
  <c r="M21" s="1"/>
  <c r="Y21"/>
  <c r="D23"/>
  <c r="X23"/>
  <c r="L24"/>
  <c r="C25"/>
  <c r="T25"/>
  <c r="K26"/>
  <c r="W26"/>
  <c r="Z26" s="1"/>
  <c r="S27"/>
  <c r="B28"/>
  <c r="E28" s="1"/>
  <c r="J29"/>
  <c r="M29" s="1"/>
  <c r="Y29"/>
  <c r="B32"/>
  <c r="E32" s="1"/>
  <c r="C35"/>
  <c r="D37"/>
  <c r="B43"/>
  <c r="E43" s="1"/>
  <c r="C46"/>
  <c r="D48"/>
  <c r="B51"/>
  <c r="E51" s="1"/>
  <c r="C54"/>
  <c r="D56"/>
  <c r="B59"/>
  <c r="E59" s="1"/>
  <c r="C4" i="9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0"/>
  <c r="B6"/>
  <c r="E6" s="1"/>
  <c r="D10"/>
  <c r="C12"/>
  <c r="B12"/>
  <c r="E12" s="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D7" i="13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15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16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17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18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C7" i="20"/>
  <c r="D9"/>
  <c r="B12"/>
  <c r="E12" s="1"/>
  <c r="C15"/>
  <c r="D17"/>
  <c r="B20"/>
  <c r="E20" s="1"/>
  <c r="C23"/>
  <c r="D25"/>
  <c r="B28"/>
  <c r="E28" s="1"/>
  <c r="C31"/>
  <c r="D33"/>
  <c r="B42"/>
  <c r="E42" s="1"/>
  <c r="C45"/>
  <c r="B56"/>
  <c r="E56" s="1"/>
  <c r="D41" i="8"/>
  <c r="B44"/>
  <c r="E44" s="1"/>
  <c r="C47"/>
  <c r="D49"/>
  <c r="B52"/>
  <c r="E52" s="1"/>
  <c r="C55"/>
  <c r="D57"/>
  <c r="B60"/>
  <c r="E60" s="1"/>
  <c r="C5" i="9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C5" i="10"/>
  <c r="B5"/>
  <c r="E5" s="1"/>
  <c r="C11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C4" i="13"/>
  <c r="C5"/>
  <c r="C6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5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6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17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18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B4" i="20"/>
  <c r="E4" s="1"/>
  <c r="F4" s="1"/>
  <c r="B5"/>
  <c r="E5" s="1"/>
  <c r="F5" s="1"/>
  <c r="C8"/>
  <c r="D10"/>
  <c r="B13"/>
  <c r="E13" s="1"/>
  <c r="C16"/>
  <c r="D18"/>
  <c r="B21"/>
  <c r="E21" s="1"/>
  <c r="C24"/>
  <c r="D26"/>
  <c r="B29"/>
  <c r="E29" s="1"/>
  <c r="C32"/>
  <c r="D34"/>
  <c r="B36"/>
  <c r="E36" s="1"/>
  <c r="B44"/>
  <c r="E44" s="1"/>
  <c r="C47"/>
  <c r="D53"/>
  <c r="C40" i="8"/>
  <c r="D42"/>
  <c r="B45"/>
  <c r="E45" s="1"/>
  <c r="C48"/>
  <c r="D50"/>
  <c r="B53"/>
  <c r="E53" s="1"/>
  <c r="C56"/>
  <c r="D58"/>
  <c r="B61"/>
  <c r="E61" s="1"/>
  <c r="C6" i="9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0"/>
  <c r="D9"/>
  <c r="C10"/>
  <c r="B11"/>
  <c r="E11" s="1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C7" i="13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15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16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17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18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B6" i="20"/>
  <c r="E6" s="1"/>
  <c r="C9"/>
  <c r="D11"/>
  <c r="B14"/>
  <c r="E14" s="1"/>
  <c r="C17"/>
  <c r="D19"/>
  <c r="B22"/>
  <c r="E22" s="1"/>
  <c r="C25"/>
  <c r="D27"/>
  <c r="B30"/>
  <c r="E30" s="1"/>
  <c r="C33"/>
  <c r="D35"/>
  <c r="B46"/>
  <c r="E46" s="1"/>
  <c r="B52"/>
  <c r="E52" s="1"/>
  <c r="C41" i="8"/>
  <c r="D43"/>
  <c r="B46"/>
  <c r="E46" s="1"/>
  <c r="C49"/>
  <c r="D51"/>
  <c r="B54"/>
  <c r="E54" s="1"/>
  <c r="C57"/>
  <c r="D59"/>
  <c r="B4" i="9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B4" i="10"/>
  <c r="E4" s="1"/>
  <c r="D8"/>
  <c r="B10"/>
  <c r="E10" s="1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B4" i="13"/>
  <c r="E4" s="1"/>
  <c r="F4" s="1"/>
  <c r="B5"/>
  <c r="E5" s="1"/>
  <c r="F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15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6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7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18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B7" i="20"/>
  <c r="E7" s="1"/>
  <c r="C10"/>
  <c r="D12"/>
  <c r="B15"/>
  <c r="E15" s="1"/>
  <c r="C18"/>
  <c r="D20"/>
  <c r="B23"/>
  <c r="E23" s="1"/>
  <c r="C26"/>
  <c r="D28"/>
  <c r="B31"/>
  <c r="E31" s="1"/>
  <c r="C34"/>
  <c r="D36"/>
  <c r="D49"/>
  <c r="C42" i="8"/>
  <c r="D44"/>
  <c r="B47"/>
  <c r="E47" s="1"/>
  <c r="C50"/>
  <c r="D52"/>
  <c r="B55"/>
  <c r="E55" s="1"/>
  <c r="C58"/>
  <c r="D60"/>
  <c r="B5" i="9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D7" i="10"/>
  <c r="C9"/>
  <c r="B9"/>
  <c r="E9" s="1"/>
  <c r="D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B6" i="13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15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16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17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18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8" i="20"/>
  <c r="E8" s="1"/>
  <c r="C11"/>
  <c r="D13"/>
  <c r="B16"/>
  <c r="E16" s="1"/>
  <c r="C19"/>
  <c r="D21"/>
  <c r="B24"/>
  <c r="E24" s="1"/>
  <c r="C27"/>
  <c r="D29"/>
  <c r="B32"/>
  <c r="E32" s="1"/>
  <c r="C35"/>
  <c r="D39"/>
  <c r="C49"/>
  <c r="C55"/>
  <c r="B40" i="8"/>
  <c r="E40" s="1"/>
  <c r="C43"/>
  <c r="D45"/>
  <c r="B48"/>
  <c r="E48" s="1"/>
  <c r="C51"/>
  <c r="D53"/>
  <c r="B56"/>
  <c r="E56" s="1"/>
  <c r="C59"/>
  <c r="D61"/>
  <c r="B6" i="9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D6" i="10"/>
  <c r="C8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B7" i="13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15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16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7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8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D4" i="20"/>
  <c r="D5"/>
  <c r="D6"/>
  <c r="B9"/>
  <c r="E9" s="1"/>
  <c r="C12"/>
  <c r="D14"/>
  <c r="B17"/>
  <c r="E17" s="1"/>
  <c r="C20"/>
  <c r="D22"/>
  <c r="B25"/>
  <c r="E25" s="1"/>
  <c r="C28"/>
  <c r="D30"/>
  <c r="B33"/>
  <c r="E33" s="1"/>
  <c r="C36"/>
  <c r="D37"/>
  <c r="C39"/>
  <c r="D41"/>
  <c r="B48"/>
  <c r="E48" s="1"/>
  <c r="B54"/>
  <c r="E54" s="1"/>
  <c r="B41" i="8"/>
  <c r="E41" s="1"/>
  <c r="C44"/>
  <c r="D46"/>
  <c r="B49"/>
  <c r="E49" s="1"/>
  <c r="C52"/>
  <c r="D54"/>
  <c r="B57"/>
  <c r="E57" s="1"/>
  <c r="C60"/>
  <c r="D4" i="9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C7" i="10"/>
  <c r="B8"/>
  <c r="E8" s="1"/>
  <c r="D12"/>
  <c r="C13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B8" i="13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15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16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17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18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D7" i="20"/>
  <c r="B10"/>
  <c r="E10" s="1"/>
  <c r="C13"/>
  <c r="D15"/>
  <c r="B18"/>
  <c r="E18" s="1"/>
  <c r="C21"/>
  <c r="D23"/>
  <c r="B26"/>
  <c r="E26" s="1"/>
  <c r="C29"/>
  <c r="D31"/>
  <c r="B34"/>
  <c r="E34" s="1"/>
  <c r="B38"/>
  <c r="E38" s="1"/>
  <c r="C41"/>
  <c r="D43"/>
  <c r="D51"/>
  <c r="C59"/>
  <c r="B42" i="8"/>
  <c r="E42" s="1"/>
  <c r="C45"/>
  <c r="D47"/>
  <c r="B50"/>
  <c r="E50" s="1"/>
  <c r="C53"/>
  <c r="D55"/>
  <c r="B58"/>
  <c r="E58" s="1"/>
  <c r="C61"/>
  <c r="D5" i="9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D5" i="10"/>
  <c r="C6"/>
  <c r="B7"/>
  <c r="E7" s="1"/>
  <c r="D11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D4" i="13"/>
  <c r="D5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5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16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17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8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C4" i="20"/>
  <c r="C5"/>
  <c r="C6"/>
  <c r="D8"/>
  <c r="B11"/>
  <c r="E11" s="1"/>
  <c r="C14"/>
  <c r="D16"/>
  <c r="B19"/>
  <c r="E19" s="1"/>
  <c r="C22"/>
  <c r="D24"/>
  <c r="B27"/>
  <c r="E27" s="1"/>
  <c r="C30"/>
  <c r="D32"/>
  <c r="B35"/>
  <c r="E35" s="1"/>
  <c r="C37"/>
  <c r="B40"/>
  <c r="E40" s="1"/>
  <c r="C43"/>
  <c r="D45"/>
  <c r="C51"/>
  <c r="D57"/>
  <c r="B60"/>
  <c r="E60" s="1"/>
  <c r="B4" i="21"/>
  <c r="E4" s="1"/>
  <c r="G4" s="1"/>
  <c r="H4" s="1"/>
  <c r="D8"/>
  <c r="C10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2"/>
  <c r="D5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C9" i="25"/>
  <c r="D14"/>
  <c r="B17"/>
  <c r="E17" s="1"/>
  <c r="B11"/>
  <c r="E11" s="1"/>
  <c r="F11" s="1"/>
  <c r="G11" s="1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D6" i="26"/>
  <c r="C7"/>
  <c r="B7"/>
  <c r="E7" s="1"/>
  <c r="D10"/>
  <c r="C11"/>
  <c r="B11"/>
  <c r="E11" s="1"/>
  <c r="D14"/>
  <c r="C15"/>
  <c r="B15"/>
  <c r="E15" s="1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27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8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9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30"/>
  <c r="E5" s="1"/>
  <c r="C8"/>
  <c r="D10"/>
  <c r="B19"/>
  <c r="E19" s="1"/>
  <c r="C35"/>
  <c r="B48"/>
  <c r="E48" s="1"/>
  <c r="D53"/>
  <c r="B17" i="19"/>
  <c r="E17" s="1"/>
  <c r="C36"/>
  <c r="D54"/>
  <c r="B23" i="7"/>
  <c r="E23" s="1"/>
  <c r="C42"/>
  <c r="D60"/>
  <c r="C18" i="12"/>
  <c r="B33"/>
  <c r="E33" s="1"/>
  <c r="B37" i="20"/>
  <c r="E37" s="1"/>
  <c r="C40"/>
  <c r="D42"/>
  <c r="B45"/>
  <c r="E45" s="1"/>
  <c r="C48"/>
  <c r="D50"/>
  <c r="B53"/>
  <c r="E53" s="1"/>
  <c r="C56"/>
  <c r="D58"/>
  <c r="B61"/>
  <c r="E61" s="1"/>
  <c r="C9" i="21"/>
  <c r="B10"/>
  <c r="E10" s="1"/>
  <c r="G10" s="1"/>
  <c r="H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7" i="22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C5" i="25"/>
  <c r="C7"/>
  <c r="D10"/>
  <c r="D12"/>
  <c r="D15"/>
  <c r="B8"/>
  <c r="E8" s="1"/>
  <c r="F8" s="1"/>
  <c r="G8" s="1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D19" i="26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27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28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29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30"/>
  <c r="E6" s="1"/>
  <c r="C9"/>
  <c r="D11"/>
  <c r="C14"/>
  <c r="D21"/>
  <c r="B27"/>
  <c r="E27" s="1"/>
  <c r="C30"/>
  <c r="B43"/>
  <c r="E43" s="1"/>
  <c r="D48"/>
  <c r="B25" i="19"/>
  <c r="E25" s="1"/>
  <c r="C44"/>
  <c r="D4" i="7"/>
  <c r="B31"/>
  <c r="E31" s="1"/>
  <c r="C50"/>
  <c r="C9" i="12"/>
  <c r="C57" i="20"/>
  <c r="D59"/>
  <c r="D7" i="21"/>
  <c r="C8"/>
  <c r="B9"/>
  <c r="E9" s="1"/>
  <c r="G9" s="1"/>
  <c r="H9" s="1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2"/>
  <c r="C5"/>
  <c r="C6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D8" i="25"/>
  <c r="C14"/>
  <c r="D16"/>
  <c r="B13"/>
  <c r="E13" s="1"/>
  <c r="F13" s="1"/>
  <c r="G13" s="1"/>
  <c r="B5"/>
  <c r="E5" s="1"/>
  <c r="F5" s="1"/>
  <c r="G5" s="1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C6" i="26"/>
  <c r="B6"/>
  <c r="E6" s="1"/>
  <c r="D9"/>
  <c r="C10"/>
  <c r="B10"/>
  <c r="E10" s="1"/>
  <c r="D13"/>
  <c r="C14"/>
  <c r="B14"/>
  <c r="E14" s="1"/>
  <c r="D17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27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28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9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30"/>
  <c r="B7"/>
  <c r="E7" s="1"/>
  <c r="C10"/>
  <c r="D12"/>
  <c r="D19"/>
  <c r="C21"/>
  <c r="C23"/>
  <c r="D25"/>
  <c r="C43"/>
  <c r="B56"/>
  <c r="E56" s="1"/>
  <c r="D6" i="19"/>
  <c r="B33"/>
  <c r="E33" s="1"/>
  <c r="C52"/>
  <c r="D12" i="7"/>
  <c r="B39"/>
  <c r="E39" s="1"/>
  <c r="C58"/>
  <c r="B15" i="12"/>
  <c r="E15" s="1"/>
  <c r="F15" s="1"/>
  <c r="B39" i="20"/>
  <c r="E39" s="1"/>
  <c r="C42"/>
  <c r="D44"/>
  <c r="B47"/>
  <c r="E47" s="1"/>
  <c r="C50"/>
  <c r="D52"/>
  <c r="B55"/>
  <c r="E55" s="1"/>
  <c r="C58"/>
  <c r="D60"/>
  <c r="D6" i="21"/>
  <c r="B8"/>
  <c r="E8" s="1"/>
  <c r="G8" s="1"/>
  <c r="H8" s="1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7" i="22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D4" i="25"/>
  <c r="D6"/>
  <c r="C10"/>
  <c r="C12"/>
  <c r="C15"/>
  <c r="D17"/>
  <c r="B10"/>
  <c r="E10" s="1"/>
  <c r="F10" s="1"/>
  <c r="G10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D5" i="26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27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28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29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30"/>
  <c r="B8"/>
  <c r="E8" s="1"/>
  <c r="C11"/>
  <c r="D15"/>
  <c r="D17"/>
  <c r="C19"/>
  <c r="B22"/>
  <c r="E22" s="1"/>
  <c r="C25"/>
  <c r="D27"/>
  <c r="C38"/>
  <c r="B51"/>
  <c r="E51" s="1"/>
  <c r="D56"/>
  <c r="D14" i="19"/>
  <c r="B41"/>
  <c r="E41" s="1"/>
  <c r="C60"/>
  <c r="D20" i="7"/>
  <c r="B47"/>
  <c r="E47" s="1"/>
  <c r="B6" i="12"/>
  <c r="E6" s="1"/>
  <c r="F6" s="1"/>
  <c r="B23"/>
  <c r="E23" s="1"/>
  <c r="F23" s="1"/>
  <c r="D30"/>
  <c r="D61" i="20"/>
  <c r="D5" i="21"/>
  <c r="C7"/>
  <c r="B7"/>
  <c r="E7" s="1"/>
  <c r="G7" s="1"/>
  <c r="H7" s="1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B4" i="22"/>
  <c r="E4" s="1"/>
  <c r="F4" s="1"/>
  <c r="B5"/>
  <c r="E5" s="1"/>
  <c r="F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8" i="25"/>
  <c r="C16"/>
  <c r="B7"/>
  <c r="E7" s="1"/>
  <c r="F7" s="1"/>
  <c r="G7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5" i="26"/>
  <c r="E5" s="1"/>
  <c r="D8"/>
  <c r="C9"/>
  <c r="B9"/>
  <c r="E9" s="1"/>
  <c r="D12"/>
  <c r="C13"/>
  <c r="B13"/>
  <c r="E13" s="1"/>
  <c r="D16"/>
  <c r="C17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7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28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29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30"/>
  <c r="D6"/>
  <c r="B9"/>
  <c r="E9" s="1"/>
  <c r="C12"/>
  <c r="D13"/>
  <c r="C17"/>
  <c r="B18"/>
  <c r="E18" s="1"/>
  <c r="B20"/>
  <c r="E20" s="1"/>
  <c r="B24"/>
  <c r="E24" s="1"/>
  <c r="C27"/>
  <c r="D29"/>
  <c r="B32"/>
  <c r="E32" s="1"/>
  <c r="D37"/>
  <c r="C51"/>
  <c r="C4" i="19"/>
  <c r="D22"/>
  <c r="B49"/>
  <c r="E49" s="1"/>
  <c r="C10" i="7"/>
  <c r="D28"/>
  <c r="B55"/>
  <c r="E55" s="1"/>
  <c r="D38" i="20"/>
  <c r="B41"/>
  <c r="E41" s="1"/>
  <c r="C44"/>
  <c r="D46"/>
  <c r="B49"/>
  <c r="E49" s="1"/>
  <c r="C52"/>
  <c r="D54"/>
  <c r="B57"/>
  <c r="E57" s="1"/>
  <c r="C60"/>
  <c r="D4" i="21"/>
  <c r="C6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6" i="22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C4" i="25"/>
  <c r="C6"/>
  <c r="D11"/>
  <c r="D13"/>
  <c r="B14"/>
  <c r="E14" s="1"/>
  <c r="C17"/>
  <c r="B12"/>
  <c r="E12" s="1"/>
  <c r="F12" s="1"/>
  <c r="G12" s="1"/>
  <c r="B4"/>
  <c r="E4" s="1"/>
  <c r="F4" s="1"/>
  <c r="G4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6"/>
  <c r="C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27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28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29"/>
  <c r="E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30"/>
  <c r="D7"/>
  <c r="B10"/>
  <c r="E10" s="1"/>
  <c r="C13"/>
  <c r="C15"/>
  <c r="B16"/>
  <c r="E16" s="1"/>
  <c r="D24"/>
  <c r="D32"/>
  <c r="C46"/>
  <c r="C12" i="19"/>
  <c r="D30"/>
  <c r="B57"/>
  <c r="E57" s="1"/>
  <c r="C18" i="7"/>
  <c r="D36"/>
  <c r="D12" i="12"/>
  <c r="C28"/>
  <c r="D47" i="20"/>
  <c r="B50"/>
  <c r="E50" s="1"/>
  <c r="C53"/>
  <c r="D55"/>
  <c r="B58"/>
  <c r="E58" s="1"/>
  <c r="C61"/>
  <c r="C5" i="21"/>
  <c r="B6"/>
  <c r="E6" s="1"/>
  <c r="G6" s="1"/>
  <c r="H6" s="1"/>
  <c r="D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7" i="22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D9" i="25"/>
  <c r="B15"/>
  <c r="E15" s="1"/>
  <c r="B9"/>
  <c r="E9" s="1"/>
  <c r="F9" s="1"/>
  <c r="G9" s="1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7" i="26"/>
  <c r="C8"/>
  <c r="B8"/>
  <c r="E8" s="1"/>
  <c r="D11"/>
  <c r="C12"/>
  <c r="B12"/>
  <c r="E12" s="1"/>
  <c r="D15"/>
  <c r="C16"/>
  <c r="B16"/>
  <c r="E16" s="1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7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8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29"/>
  <c r="E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30"/>
  <c r="D8"/>
  <c r="B11"/>
  <c r="E11" s="1"/>
  <c r="B14"/>
  <c r="E14" s="1"/>
  <c r="C22"/>
  <c r="B28"/>
  <c r="E28" s="1"/>
  <c r="B40"/>
  <c r="E40" s="1"/>
  <c r="D45"/>
  <c r="B59"/>
  <c r="E59" s="1"/>
  <c r="C20" i="19"/>
  <c r="D38"/>
  <c r="B7" i="7"/>
  <c r="E7" s="1"/>
  <c r="F7" s="1"/>
  <c r="C26"/>
  <c r="D44"/>
  <c r="D20" i="12"/>
  <c r="C38" i="20"/>
  <c r="D40"/>
  <c r="B43"/>
  <c r="E43" s="1"/>
  <c r="C46"/>
  <c r="D48"/>
  <c r="B51"/>
  <c r="E51" s="1"/>
  <c r="C54"/>
  <c r="D56"/>
  <c r="B59"/>
  <c r="E59" s="1"/>
  <c r="C4" i="21"/>
  <c r="B5"/>
  <c r="E5" s="1"/>
  <c r="G5" s="1"/>
  <c r="H5" s="1"/>
  <c r="D9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8" i="22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D5" i="25"/>
  <c r="D7"/>
  <c r="C11"/>
  <c r="C13"/>
  <c r="B16"/>
  <c r="E16" s="1"/>
  <c r="B6"/>
  <c r="E6" s="1"/>
  <c r="F6" s="1"/>
  <c r="G6" s="1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6"/>
  <c r="B4"/>
  <c r="E4" s="1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27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28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29"/>
  <c r="E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30"/>
  <c r="E4" s="1"/>
  <c r="C7"/>
  <c r="D9"/>
  <c r="B12"/>
  <c r="E12" s="1"/>
  <c r="D16"/>
  <c r="B35"/>
  <c r="E35" s="1"/>
  <c r="D40"/>
  <c r="C54"/>
  <c r="B9" i="19"/>
  <c r="E9" s="1"/>
  <c r="F9" s="1"/>
  <c r="H9" s="1"/>
  <c r="C28"/>
  <c r="D46"/>
  <c r="B15" i="7"/>
  <c r="E15" s="1"/>
  <c r="C34"/>
  <c r="D52"/>
  <c r="D23" i="30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19"/>
  <c r="B8"/>
  <c r="E8" s="1"/>
  <c r="F8" s="1"/>
  <c r="H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7"/>
  <c r="E6" s="1"/>
  <c r="F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5" i="12"/>
  <c r="E5" s="1"/>
  <c r="F5" s="1"/>
  <c r="C8"/>
  <c r="D10"/>
  <c r="D11"/>
  <c r="B14"/>
  <c r="E14" s="1"/>
  <c r="F14" s="1"/>
  <c r="C17"/>
  <c r="D19"/>
  <c r="B22"/>
  <c r="E22" s="1"/>
  <c r="F22" s="1"/>
  <c r="C25"/>
  <c r="C26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9" i="11"/>
  <c r="E9" s="1"/>
  <c r="G9" s="1"/>
  <c r="H9" s="1"/>
  <c r="B10"/>
  <c r="E10" s="1"/>
  <c r="G10" s="1"/>
  <c r="H10" s="1"/>
  <c r="B11"/>
  <c r="E11" s="1"/>
  <c r="G11" s="1"/>
  <c r="H11" s="1"/>
  <c r="B12"/>
  <c r="E12" s="1"/>
  <c r="G12" s="1"/>
  <c r="H12" s="1"/>
  <c r="B13"/>
  <c r="E13" s="1"/>
  <c r="B14"/>
  <c r="E14" s="1"/>
  <c r="G14" s="1"/>
  <c r="H14" s="1"/>
  <c r="C17"/>
  <c r="C18"/>
  <c r="C19"/>
  <c r="D21"/>
  <c r="D22"/>
  <c r="D23"/>
  <c r="D24"/>
  <c r="D25"/>
  <c r="D26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C5" i="14"/>
  <c r="D11"/>
  <c r="C13"/>
  <c r="C18"/>
  <c r="C20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3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24"/>
  <c r="D5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AD7" i="8"/>
  <c r="AC9"/>
  <c r="AC13"/>
  <c r="AD15"/>
  <c r="AB18"/>
  <c r="AE18" s="1"/>
  <c r="AC21"/>
  <c r="AD23"/>
  <c r="AB26"/>
  <c r="AE26" s="1"/>
  <c r="AC29"/>
  <c r="R27"/>
  <c r="U27" s="1"/>
  <c r="R19"/>
  <c r="U19" s="1"/>
  <c r="R14"/>
  <c r="U14" s="1"/>
  <c r="V14" s="1"/>
  <c r="C36" i="12"/>
  <c r="D38"/>
  <c r="B41"/>
  <c r="E41" s="1"/>
  <c r="C44"/>
  <c r="D46"/>
  <c r="B49"/>
  <c r="E49" s="1"/>
  <c r="C52"/>
  <c r="D54"/>
  <c r="B57"/>
  <c r="E57" s="1"/>
  <c r="C60"/>
  <c r="D4" i="11"/>
  <c r="B15"/>
  <c r="E15" s="1"/>
  <c r="G15" s="1"/>
  <c r="H15" s="1"/>
  <c r="C20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D6" i="14"/>
  <c r="C8"/>
  <c r="D14"/>
  <c r="C16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23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6" i="24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AC4" i="8"/>
  <c r="AD10"/>
  <c r="AB11"/>
  <c r="AE11" s="1"/>
  <c r="AC14"/>
  <c r="AD16"/>
  <c r="AB19"/>
  <c r="AE19" s="1"/>
  <c r="AC22"/>
  <c r="AD24"/>
  <c r="AB27"/>
  <c r="AE27" s="1"/>
  <c r="AB9"/>
  <c r="AE9" s="1"/>
  <c r="AF9" s="1"/>
  <c r="AB7"/>
  <c r="AE7" s="1"/>
  <c r="AF7" s="1"/>
  <c r="AB5"/>
  <c r="AE5" s="1"/>
  <c r="AF5" s="1"/>
  <c r="R22"/>
  <c r="U22" s="1"/>
  <c r="C31" i="30"/>
  <c r="D33"/>
  <c r="B36"/>
  <c r="E36" s="1"/>
  <c r="C39"/>
  <c r="D41"/>
  <c r="B44"/>
  <c r="E44" s="1"/>
  <c r="C47"/>
  <c r="D49"/>
  <c r="B52"/>
  <c r="E52" s="1"/>
  <c r="C55"/>
  <c r="D57"/>
  <c r="B60"/>
  <c r="E60" s="1"/>
  <c r="C5" i="19"/>
  <c r="D7"/>
  <c r="B10"/>
  <c r="E10" s="1"/>
  <c r="F10" s="1"/>
  <c r="H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7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7" i="12"/>
  <c r="E7" s="1"/>
  <c r="F7" s="1"/>
  <c r="C10"/>
  <c r="C11"/>
  <c r="D13"/>
  <c r="B16"/>
  <c r="E16" s="1"/>
  <c r="F16" s="1"/>
  <c r="C19"/>
  <c r="D21"/>
  <c r="B24"/>
  <c r="E24" s="1"/>
  <c r="F24" s="1"/>
  <c r="B25"/>
  <c r="E25" s="1"/>
  <c r="F25" s="1"/>
  <c r="B26"/>
  <c r="E26" s="1"/>
  <c r="F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11"/>
  <c r="D6"/>
  <c r="D7"/>
  <c r="D8"/>
  <c r="B16"/>
  <c r="E16" s="1"/>
  <c r="G16" s="1"/>
  <c r="H16" s="1"/>
  <c r="B17"/>
  <c r="E17" s="1"/>
  <c r="G17" s="1"/>
  <c r="H17" s="1"/>
  <c r="B18"/>
  <c r="E18" s="1"/>
  <c r="G18" s="1"/>
  <c r="H18" s="1"/>
  <c r="C21"/>
  <c r="C22"/>
  <c r="C23"/>
  <c r="C24"/>
  <c r="C25"/>
  <c r="C26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D9" i="14"/>
  <c r="C11"/>
  <c r="D17"/>
  <c r="D19"/>
  <c r="D2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B21"/>
  <c r="E21" s="1"/>
  <c r="F21" s="1"/>
  <c r="B19"/>
  <c r="E19" s="1"/>
  <c r="F19" s="1"/>
  <c r="B17"/>
  <c r="E17" s="1"/>
  <c r="F17" s="1"/>
  <c r="B15"/>
  <c r="E15" s="1"/>
  <c r="F15" s="1"/>
  <c r="B13"/>
  <c r="E13" s="1"/>
  <c r="F13" s="1"/>
  <c r="B11"/>
  <c r="E11" s="1"/>
  <c r="F11" s="1"/>
  <c r="B9"/>
  <c r="E9" s="1"/>
  <c r="F9" s="1"/>
  <c r="B7"/>
  <c r="E7" s="1"/>
  <c r="F7" s="1"/>
  <c r="B5"/>
  <c r="E5" s="1"/>
  <c r="F5" s="1"/>
  <c r="C6" i="23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24"/>
  <c r="C5"/>
  <c r="D7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AD5" i="8"/>
  <c r="AC7"/>
  <c r="AB12"/>
  <c r="AE12" s="1"/>
  <c r="AC15"/>
  <c r="AD17"/>
  <c r="AB20"/>
  <c r="AE20" s="1"/>
  <c r="AC23"/>
  <c r="AD25"/>
  <c r="AB28"/>
  <c r="AE28" s="1"/>
  <c r="R25"/>
  <c r="U25" s="1"/>
  <c r="R17"/>
  <c r="U17" s="1"/>
  <c r="B13" i="30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19"/>
  <c r="D8"/>
  <c r="B11"/>
  <c r="E11" s="1"/>
  <c r="F11" s="1"/>
  <c r="H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7"/>
  <c r="D6"/>
  <c r="B9"/>
  <c r="E9" s="1"/>
  <c r="C12"/>
  <c r="D14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2"/>
  <c r="D5"/>
  <c r="B8"/>
  <c r="E8" s="1"/>
  <c r="F8" s="1"/>
  <c r="H8" s="1"/>
  <c r="C12"/>
  <c r="D14"/>
  <c r="B17"/>
  <c r="E17" s="1"/>
  <c r="F17" s="1"/>
  <c r="C20"/>
  <c r="D22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1"/>
  <c r="D9"/>
  <c r="B19"/>
  <c r="E19" s="1"/>
  <c r="G19" s="1"/>
  <c r="H19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4"/>
  <c r="C6"/>
  <c r="D12"/>
  <c r="C14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23"/>
  <c r="E4" s="1"/>
  <c r="F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6" i="24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AD8" i="8"/>
  <c r="AC10"/>
  <c r="AB13"/>
  <c r="AE13" s="1"/>
  <c r="AC16"/>
  <c r="AD18"/>
  <c r="AB21"/>
  <c r="AE21" s="1"/>
  <c r="AC24"/>
  <c r="AD26"/>
  <c r="AB29"/>
  <c r="AE29" s="1"/>
  <c r="R28"/>
  <c r="U28" s="1"/>
  <c r="R20"/>
  <c r="U20" s="1"/>
  <c r="B30" i="30"/>
  <c r="E30" s="1"/>
  <c r="C33"/>
  <c r="D35"/>
  <c r="B38"/>
  <c r="E38" s="1"/>
  <c r="C41"/>
  <c r="D43"/>
  <c r="B46"/>
  <c r="E46" s="1"/>
  <c r="C49"/>
  <c r="D51"/>
  <c r="B54"/>
  <c r="E54" s="1"/>
  <c r="C57"/>
  <c r="D59"/>
  <c r="B4" i="19"/>
  <c r="E4" s="1"/>
  <c r="F4" s="1"/>
  <c r="H4" s="1"/>
  <c r="C7"/>
  <c r="D9"/>
  <c r="B12"/>
  <c r="E12" s="1"/>
  <c r="F12" s="1"/>
  <c r="H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7"/>
  <c r="D7"/>
  <c r="B10"/>
  <c r="E10" s="1"/>
  <c r="C13"/>
  <c r="D15"/>
  <c r="B18"/>
  <c r="E18" s="1"/>
  <c r="C21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6" i="12"/>
  <c r="B9"/>
  <c r="E9" s="1"/>
  <c r="F9" s="1"/>
  <c r="H9" s="1"/>
  <c r="B10"/>
  <c r="E10" s="1"/>
  <c r="F10" s="1"/>
  <c r="H10" s="1"/>
  <c r="C13"/>
  <c r="D15"/>
  <c r="B18"/>
  <c r="E18" s="1"/>
  <c r="F18" s="1"/>
  <c r="C21"/>
  <c r="D23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5" i="11"/>
  <c r="C6"/>
  <c r="C7"/>
  <c r="C8"/>
  <c r="D10"/>
  <c r="D11"/>
  <c r="D12"/>
  <c r="D13"/>
  <c r="D14"/>
  <c r="D15"/>
  <c r="B20"/>
  <c r="E20" s="1"/>
  <c r="G20" s="1"/>
  <c r="H20" s="1"/>
  <c r="B21"/>
  <c r="E21" s="1"/>
  <c r="G21" s="1"/>
  <c r="H21" s="1"/>
  <c r="B22"/>
  <c r="E22" s="1"/>
  <c r="G22" s="1"/>
  <c r="H22" s="1"/>
  <c r="B23"/>
  <c r="E23" s="1"/>
  <c r="G23" s="1"/>
  <c r="H23" s="1"/>
  <c r="B24"/>
  <c r="E24" s="1"/>
  <c r="G24" s="1"/>
  <c r="H24" s="1"/>
  <c r="B25"/>
  <c r="E25" s="1"/>
  <c r="G25" s="1"/>
  <c r="H25" s="1"/>
  <c r="B26"/>
  <c r="E26" s="1"/>
  <c r="G26" s="1"/>
  <c r="H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7" i="14"/>
  <c r="C9"/>
  <c r="D15"/>
  <c r="C17"/>
  <c r="C19"/>
  <c r="C21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23"/>
  <c r="E5" s="1"/>
  <c r="F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B4" i="24"/>
  <c r="E4" s="1"/>
  <c r="F4" s="1"/>
  <c r="C7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AC5" i="8"/>
  <c r="AD11"/>
  <c r="AB14"/>
  <c r="AE14" s="1"/>
  <c r="AC17"/>
  <c r="AD19"/>
  <c r="AB22"/>
  <c r="AE22" s="1"/>
  <c r="AC25"/>
  <c r="AD27"/>
  <c r="R23"/>
  <c r="U23" s="1"/>
  <c r="R15"/>
  <c r="U15" s="1"/>
  <c r="B15" i="30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19"/>
  <c r="E5" s="1"/>
  <c r="F5" s="1"/>
  <c r="H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6" i="7"/>
  <c r="D8"/>
  <c r="B11"/>
  <c r="E11" s="1"/>
  <c r="C14"/>
  <c r="D16"/>
  <c r="B19"/>
  <c r="E19" s="1"/>
  <c r="C22"/>
  <c r="D24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2"/>
  <c r="C5"/>
  <c r="D7"/>
  <c r="B11"/>
  <c r="E11" s="1"/>
  <c r="F11" s="1"/>
  <c r="H11" s="1"/>
  <c r="C14"/>
  <c r="D16"/>
  <c r="B19"/>
  <c r="E19" s="1"/>
  <c r="F19" s="1"/>
  <c r="C22"/>
  <c r="D24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C9" i="11"/>
  <c r="D16"/>
  <c r="B27"/>
  <c r="E27" s="1"/>
  <c r="C30"/>
  <c r="D32"/>
  <c r="B35"/>
  <c r="E35" s="1"/>
  <c r="C38"/>
  <c r="D40"/>
  <c r="B43"/>
  <c r="E43" s="1"/>
  <c r="C46"/>
  <c r="D48"/>
  <c r="B51"/>
  <c r="E51" s="1"/>
  <c r="C54"/>
  <c r="D56"/>
  <c r="B59"/>
  <c r="E59" s="1"/>
  <c r="C4" i="14"/>
  <c r="D10"/>
  <c r="C12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6" i="23"/>
  <c r="E6" s="1"/>
  <c r="F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5" i="24"/>
  <c r="E5" s="1"/>
  <c r="F5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AD6" i="8"/>
  <c r="AC8"/>
  <c r="AD12"/>
  <c r="AB15"/>
  <c r="AE15" s="1"/>
  <c r="AC18"/>
  <c r="AD20"/>
  <c r="AB23"/>
  <c r="AE23" s="1"/>
  <c r="AC26"/>
  <c r="AD28"/>
  <c r="AB10"/>
  <c r="AB8"/>
  <c r="AE8" s="1"/>
  <c r="AF8" s="1"/>
  <c r="AB6"/>
  <c r="AE6" s="1"/>
  <c r="AF6" s="1"/>
  <c r="R26"/>
  <c r="U26" s="1"/>
  <c r="R18"/>
  <c r="U18" s="1"/>
  <c r="C59" i="30"/>
  <c r="D61"/>
  <c r="B6" i="19"/>
  <c r="E6" s="1"/>
  <c r="F6" s="1"/>
  <c r="H6" s="1"/>
  <c r="C9"/>
  <c r="D11"/>
  <c r="B14"/>
  <c r="E14" s="1"/>
  <c r="C17"/>
  <c r="D19"/>
  <c r="B22"/>
  <c r="E22" s="1"/>
  <c r="C25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7"/>
  <c r="E4" s="1"/>
  <c r="F4" s="1"/>
  <c r="C7"/>
  <c r="D9"/>
  <c r="B12"/>
  <c r="E12" s="1"/>
  <c r="C15"/>
  <c r="D17"/>
  <c r="B20"/>
  <c r="E20" s="1"/>
  <c r="C23"/>
  <c r="D25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C6" i="12"/>
  <c r="D8"/>
  <c r="B12"/>
  <c r="E12" s="1"/>
  <c r="F12" s="1"/>
  <c r="H12" s="1"/>
  <c r="C15"/>
  <c r="D17"/>
  <c r="B20"/>
  <c r="E20" s="1"/>
  <c r="F20" s="1"/>
  <c r="C23"/>
  <c r="D25"/>
  <c r="D26"/>
  <c r="D27"/>
  <c r="B30"/>
  <c r="E30" s="1"/>
  <c r="C33"/>
  <c r="D35"/>
  <c r="B38"/>
  <c r="E38" s="1"/>
  <c r="C41"/>
  <c r="D43"/>
  <c r="B46"/>
  <c r="E46" s="1"/>
  <c r="C49"/>
  <c r="D51"/>
  <c r="B54"/>
  <c r="E54" s="1"/>
  <c r="C57"/>
  <c r="D59"/>
  <c r="B4" i="11"/>
  <c r="E4" s="1"/>
  <c r="G4" s="1"/>
  <c r="H4" s="1"/>
  <c r="B5"/>
  <c r="E5" s="1"/>
  <c r="G5" s="1"/>
  <c r="H5" s="1"/>
  <c r="B6"/>
  <c r="E6" s="1"/>
  <c r="G6" s="1"/>
  <c r="H6" s="1"/>
  <c r="B7"/>
  <c r="E7" s="1"/>
  <c r="G7" s="1"/>
  <c r="H7" s="1"/>
  <c r="C10"/>
  <c r="C11"/>
  <c r="C12"/>
  <c r="C13"/>
  <c r="C14"/>
  <c r="C15"/>
  <c r="D17"/>
  <c r="D18"/>
  <c r="D19"/>
  <c r="B28"/>
  <c r="E28" s="1"/>
  <c r="C31"/>
  <c r="D33"/>
  <c r="B36"/>
  <c r="E36" s="1"/>
  <c r="C39"/>
  <c r="D41"/>
  <c r="B44"/>
  <c r="E44" s="1"/>
  <c r="C47"/>
  <c r="D49"/>
  <c r="B52"/>
  <c r="E52" s="1"/>
  <c r="C55"/>
  <c r="D57"/>
  <c r="B60"/>
  <c r="E60" s="1"/>
  <c r="D5" i="14"/>
  <c r="C7"/>
  <c r="D13"/>
  <c r="C15"/>
  <c r="D18"/>
  <c r="D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B4"/>
  <c r="E4" s="1"/>
  <c r="F4" s="1"/>
  <c r="B20"/>
  <c r="E20" s="1"/>
  <c r="F20" s="1"/>
  <c r="B18"/>
  <c r="E18" s="1"/>
  <c r="F18" s="1"/>
  <c r="B16"/>
  <c r="E16" s="1"/>
  <c r="F16" s="1"/>
  <c r="B14"/>
  <c r="E14" s="1"/>
  <c r="F14" s="1"/>
  <c r="B12"/>
  <c r="E12" s="1"/>
  <c r="F12" s="1"/>
  <c r="B10"/>
  <c r="E10" s="1"/>
  <c r="F10" s="1"/>
  <c r="B8"/>
  <c r="E8" s="1"/>
  <c r="F8" s="1"/>
  <c r="B6"/>
  <c r="E6" s="1"/>
  <c r="F6" s="1"/>
  <c r="D4" i="23"/>
  <c r="B7"/>
  <c r="E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6" i="24"/>
  <c r="E6" s="1"/>
  <c r="F6" s="1"/>
  <c r="B7"/>
  <c r="E7" s="1"/>
  <c r="F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AD9" i="8"/>
  <c r="AC11"/>
  <c r="AD13"/>
  <c r="AB16"/>
  <c r="AE16" s="1"/>
  <c r="AC19"/>
  <c r="AD21"/>
  <c r="AB24"/>
  <c r="AE24" s="1"/>
  <c r="AC27"/>
  <c r="AD29"/>
  <c r="R29"/>
  <c r="U29" s="1"/>
  <c r="R21"/>
  <c r="U21" s="1"/>
  <c r="D14" i="30"/>
  <c r="B17"/>
  <c r="E17" s="1"/>
  <c r="C20"/>
  <c r="D22"/>
  <c r="B25"/>
  <c r="E25" s="1"/>
  <c r="C28"/>
  <c r="D30"/>
  <c r="B33"/>
  <c r="E33" s="1"/>
  <c r="C36"/>
  <c r="D38"/>
  <c r="B41"/>
  <c r="E41" s="1"/>
  <c r="C44"/>
  <c r="D46"/>
  <c r="B49"/>
  <c r="E49" s="1"/>
  <c r="C52"/>
  <c r="D54"/>
  <c r="B57"/>
  <c r="E57" s="1"/>
  <c r="C60"/>
  <c r="D4" i="19"/>
  <c r="B7"/>
  <c r="E7" s="1"/>
  <c r="F7" s="1"/>
  <c r="H7" s="1"/>
  <c r="C10"/>
  <c r="D12"/>
  <c r="B15"/>
  <c r="E15" s="1"/>
  <c r="C18"/>
  <c r="D20"/>
  <c r="B23"/>
  <c r="E23" s="1"/>
  <c r="C26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5" i="7"/>
  <c r="E5" s="1"/>
  <c r="F5" s="1"/>
  <c r="C8"/>
  <c r="D10"/>
  <c r="B13"/>
  <c r="E13" s="1"/>
  <c r="C16"/>
  <c r="D18"/>
  <c r="B21"/>
  <c r="E21" s="1"/>
  <c r="C24"/>
  <c r="D26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B4" i="12"/>
  <c r="E4" s="1"/>
  <c r="F4" s="1"/>
  <c r="C7"/>
  <c r="D9"/>
  <c r="B13"/>
  <c r="E13" s="1"/>
  <c r="F13" s="1"/>
  <c r="H13" s="1"/>
  <c r="C16"/>
  <c r="D18"/>
  <c r="B21"/>
  <c r="E21" s="1"/>
  <c r="F21" s="1"/>
  <c r="C24"/>
  <c r="D28"/>
  <c r="B31"/>
  <c r="E31" s="1"/>
  <c r="C34"/>
  <c r="D36"/>
  <c r="B39"/>
  <c r="E39" s="1"/>
  <c r="C42"/>
  <c r="D44"/>
  <c r="B47"/>
  <c r="E47" s="1"/>
  <c r="C50"/>
  <c r="D52"/>
  <c r="B55"/>
  <c r="E55" s="1"/>
  <c r="C58"/>
  <c r="D60"/>
  <c r="B8" i="11"/>
  <c r="E8" s="1"/>
  <c r="G8" s="1"/>
  <c r="H8" s="1"/>
  <c r="C16"/>
  <c r="D20"/>
  <c r="B29"/>
  <c r="E29" s="1"/>
  <c r="C32"/>
  <c r="D34"/>
  <c r="B37"/>
  <c r="E37" s="1"/>
  <c r="C40"/>
  <c r="D42"/>
  <c r="B45"/>
  <c r="E45" s="1"/>
  <c r="C48"/>
  <c r="D50"/>
  <c r="B53"/>
  <c r="E53" s="1"/>
  <c r="C56"/>
  <c r="D58"/>
  <c r="B61"/>
  <c r="E61" s="1"/>
  <c r="D8" i="14"/>
  <c r="C10"/>
  <c r="D16"/>
  <c r="D23"/>
  <c r="B26"/>
  <c r="E26" s="1"/>
  <c r="C29"/>
  <c r="D31"/>
  <c r="B34"/>
  <c r="E34" s="1"/>
  <c r="C37"/>
  <c r="D39"/>
  <c r="B42"/>
  <c r="E42" s="1"/>
  <c r="C45"/>
  <c r="D47"/>
  <c r="B50"/>
  <c r="E50" s="1"/>
  <c r="C53"/>
  <c r="D55"/>
  <c r="B58"/>
  <c r="E58" s="1"/>
  <c r="C61"/>
  <c r="D5" i="23"/>
  <c r="B8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B8" i="24"/>
  <c r="E8" s="1"/>
  <c r="C11"/>
  <c r="D13"/>
  <c r="B16"/>
  <c r="E16" s="1"/>
  <c r="C19"/>
  <c r="D21"/>
  <c r="B24"/>
  <c r="E24" s="1"/>
  <c r="C27"/>
  <c r="D29"/>
  <c r="B32"/>
  <c r="E32" s="1"/>
  <c r="C35"/>
  <c r="D37"/>
  <c r="B40"/>
  <c r="E40" s="1"/>
  <c r="C43"/>
  <c r="D45"/>
  <c r="B48"/>
  <c r="E48" s="1"/>
  <c r="C51"/>
  <c r="D53"/>
  <c r="B56"/>
  <c r="E56" s="1"/>
  <c r="C59"/>
  <c r="D61"/>
  <c r="AD4" i="8"/>
  <c r="AC6"/>
  <c r="AC12"/>
  <c r="AD14"/>
  <c r="AB17"/>
  <c r="AE17" s="1"/>
  <c r="AC20"/>
  <c r="AD22"/>
  <c r="AB25"/>
  <c r="AE25" s="1"/>
  <c r="AC28"/>
  <c r="AB4"/>
  <c r="AE4" s="1"/>
  <c r="AF4" s="1"/>
  <c r="R24"/>
  <c r="U24" s="1"/>
  <c r="R16"/>
  <c r="U16" s="1"/>
  <c r="H21" i="12" l="1"/>
  <c r="H15"/>
  <c r="H19"/>
  <c r="H16"/>
  <c r="H23"/>
  <c r="H20"/>
  <c r="H18"/>
  <c r="H24"/>
  <c r="H25"/>
  <c r="H17"/>
  <c r="H26"/>
  <c r="H22"/>
  <c r="H14"/>
  <c r="F11" i="26"/>
  <c r="G11"/>
  <c r="H11"/>
  <c r="F12" i="10"/>
  <c r="G12"/>
  <c r="F10" i="26"/>
  <c r="G10"/>
  <c r="H10"/>
  <c r="F8" i="10"/>
  <c r="G8"/>
  <c r="F8" i="26"/>
  <c r="G8"/>
  <c r="H8"/>
  <c r="F7" i="10"/>
  <c r="G7"/>
  <c r="H13" i="26"/>
  <c r="F13"/>
  <c r="G13"/>
  <c r="F15"/>
  <c r="G15"/>
  <c r="H15"/>
  <c r="G9" i="10"/>
  <c r="F9"/>
  <c r="F4"/>
  <c r="G4"/>
  <c r="F14" i="26"/>
  <c r="G14"/>
  <c r="H14"/>
  <c r="F13" i="10"/>
  <c r="G13"/>
  <c r="F5"/>
  <c r="G5"/>
  <c r="H9" i="26"/>
  <c r="F9"/>
  <c r="G9"/>
  <c r="F12"/>
  <c r="G12"/>
  <c r="H12"/>
  <c r="H5"/>
  <c r="F5"/>
  <c r="G5"/>
  <c r="F7"/>
  <c r="G7"/>
  <c r="H7"/>
  <c r="F10" i="10"/>
  <c r="G10"/>
  <c r="F6"/>
  <c r="G6"/>
  <c r="F11"/>
  <c r="G11"/>
  <c r="F4" i="26"/>
  <c r="G4"/>
  <c r="H4"/>
  <c r="H17"/>
  <c r="F17"/>
  <c r="G17"/>
  <c r="F6"/>
  <c r="G6"/>
  <c r="H6"/>
  <c r="G17" i="25"/>
  <c r="F16" i="26"/>
  <c r="G16"/>
  <c r="H16"/>
</calcChain>
</file>

<file path=xl/comments1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sz val="9"/>
            <color indexed="81"/>
            <rFont val="宋体"/>
            <family val="3"/>
            <charset val="134"/>
          </rPr>
          <t>Administrator:
奖励表里面对应等级所获得物品的权重</t>
        </r>
      </text>
    </comment>
  </commentList>
</comments>
</file>

<file path=xl/sharedStrings.xml><?xml version="1.0" encoding="utf-8"?>
<sst xmlns="http://schemas.openxmlformats.org/spreadsheetml/2006/main" count="5079" uniqueCount="1817">
  <si>
    <t>分类</t>
  </si>
  <si>
    <t>id</t>
  </si>
  <si>
    <t>道具类型</t>
  </si>
  <si>
    <t>名称</t>
  </si>
  <si>
    <t>银币价格</t>
  </si>
  <si>
    <t>金币价格</t>
  </si>
  <si>
    <t>道具名称</t>
  </si>
  <si>
    <t>类型</t>
  </si>
  <si>
    <t>功能</t>
  </si>
  <si>
    <t>描述</t>
  </si>
  <si>
    <t>产出1</t>
  </si>
  <si>
    <t>产出2</t>
  </si>
  <si>
    <t>产出3</t>
  </si>
  <si>
    <t>产出4</t>
  </si>
  <si>
    <t>产出5</t>
  </si>
  <si>
    <t>产出6</t>
  </si>
  <si>
    <t>产出7</t>
  </si>
  <si>
    <t>回收1</t>
  </si>
  <si>
    <t>回收2</t>
  </si>
  <si>
    <t>回收3</t>
  </si>
  <si>
    <t>药</t>
  </si>
  <si>
    <t>32037</t>
  </si>
  <si>
    <t>66</t>
  </si>
  <si>
    <t>小血瓶</t>
  </si>
  <si>
    <t>红罗羹</t>
  </si>
  <si>
    <t>日常药品</t>
  </si>
  <si>
    <t>功能：补充储备气血</t>
  </si>
  <si>
    <t>战斗外使用，可自动回复任务和宠物的血气10000点。</t>
  </si>
  <si>
    <t>酒店老板</t>
  </si>
  <si>
    <t>等级礼包</t>
  </si>
  <si>
    <t>答题</t>
  </si>
  <si>
    <t>师门-上交道具需品质类</t>
  </si>
  <si>
    <t>秘境降妖</t>
  </si>
  <si>
    <t>大血瓶</t>
  </si>
  <si>
    <t>大碗红罗羹</t>
  </si>
  <si>
    <t>战斗外使用，可自动回复任务和宠物的血气100000点。</t>
  </si>
  <si>
    <t>小蓝瓶</t>
  </si>
  <si>
    <t>绿芦羹</t>
  </si>
  <si>
    <t>功能：补充储备魔法</t>
  </si>
  <si>
    <t>战斗外使用，可自动回复任务和宠物魔法10000点。</t>
  </si>
  <si>
    <t>大蓝瓶</t>
  </si>
  <si>
    <t>大碗绿芦羹</t>
  </si>
  <si>
    <t>战斗外使用，可自动回复任务和宠物魔法100000点。</t>
  </si>
  <si>
    <t>硬肉干</t>
  </si>
  <si>
    <t>包子</t>
  </si>
  <si>
    <t>烹饪</t>
  </si>
  <si>
    <t>品质：无</t>
  </si>
  <si>
    <t>增加气血储备2000点，非战斗时可食用</t>
  </si>
  <si>
    <t>帮派技能-烹饪技巧</t>
  </si>
  <si>
    <t>师门任务</t>
  </si>
  <si>
    <t>煎蛋卷</t>
  </si>
  <si>
    <t>臭豆腐</t>
  </si>
  <si>
    <t>品质：xx</t>
  </si>
  <si>
    <t>增加气血储备=品质*60+2000</t>
  </si>
  <si>
    <t>樱桃饼</t>
  </si>
  <si>
    <t>佛跳墙</t>
  </si>
  <si>
    <t>增加魔法储备=品质*60+2000</t>
  </si>
  <si>
    <t>美味风蛇</t>
  </si>
  <si>
    <t>桂花丸</t>
  </si>
  <si>
    <t>恢复召唤兽寿命=品质*0.5</t>
  </si>
  <si>
    <t>凤梨佳酿</t>
  </si>
  <si>
    <t>珍露酒</t>
  </si>
  <si>
    <t>恢复愤怒值=品质*0.4+10 该物品只能在战斗中使用</t>
  </si>
  <si>
    <t>辣味狼排</t>
  </si>
  <si>
    <t>翡翠豆腐</t>
  </si>
  <si>
    <t xml:space="preserve">增加气血储备=品质*32+1000 增加魔法储备=品质*32+1000 </t>
  </si>
  <si>
    <t>酸橙派</t>
  </si>
  <si>
    <t>长寿面</t>
  </si>
  <si>
    <t>恢复召唤兽寿命=品质*2+50</t>
  </si>
  <si>
    <t>晨露酒</t>
  </si>
  <si>
    <t>蛇胆酒</t>
  </si>
  <si>
    <t>恢复愤怒值=品质*1，降低3~4回合无法防御 只能在战斗中使用</t>
  </si>
  <si>
    <t>恢复合剂</t>
  </si>
  <si>
    <t>金创药</t>
  </si>
  <si>
    <t>基础药</t>
  </si>
  <si>
    <t>功效：恢复气血400点</t>
  </si>
  <si>
    <t>战斗中使用恢复气血400点，或直接使用增加500点储备气血</t>
  </si>
  <si>
    <t>药店</t>
  </si>
  <si>
    <t>帮派技能-中药医理</t>
  </si>
  <si>
    <t>帮派任务</t>
  </si>
  <si>
    <t>治疗药水</t>
  </si>
  <si>
    <t>金香玉</t>
  </si>
  <si>
    <t>三级药</t>
  </si>
  <si>
    <t>恢复气血（或气血储备）=品质*12+150</t>
  </si>
  <si>
    <t>法力药水</t>
  </si>
  <si>
    <t>定神香</t>
  </si>
  <si>
    <t>恢复魔法（或魔法储备）=品质*5+50</t>
  </si>
  <si>
    <t>净化药剂</t>
  </si>
  <si>
    <t>五龙丹</t>
  </si>
  <si>
    <t>解除封类异常状态，恢复气血=品质*3</t>
  </si>
  <si>
    <t>复苏药剂</t>
  </si>
  <si>
    <t>九转回魂丹</t>
  </si>
  <si>
    <t>复活、恢复气血=品质*5+100</t>
  </si>
  <si>
    <t>重生药剂</t>
  </si>
  <si>
    <t>佛光舍利子</t>
  </si>
  <si>
    <t>功效：复活并恢复气血</t>
  </si>
  <si>
    <t>只能在战斗内使用，可以复活倒地的角色，并回复100点气血</t>
  </si>
  <si>
    <t>活根草</t>
  </si>
  <si>
    <t>血色茶花</t>
  </si>
  <si>
    <t>一级药</t>
  </si>
  <si>
    <t>功效：恢复气血200点</t>
  </si>
  <si>
    <t>可恢复200点气血（战斗外使用增加等量气血储备）</t>
  </si>
  <si>
    <t>野钢花</t>
  </si>
  <si>
    <t>鹿茸</t>
  </si>
  <si>
    <t>功效：恢复气血150点</t>
  </si>
  <si>
    <t>可恢复150点气血（战斗外使用增加等量气血储备）</t>
  </si>
  <si>
    <t>银叶草</t>
  </si>
  <si>
    <t>仙狐涎</t>
  </si>
  <si>
    <t>功效：恢复法力150点</t>
  </si>
  <si>
    <t>可恢复150点魔法（战斗外使用增加等量魔法储备）</t>
  </si>
  <si>
    <t>宁神花</t>
  </si>
  <si>
    <t>麝香</t>
  </si>
  <si>
    <t>功效：恢复法力100点</t>
  </si>
  <si>
    <t>可恢复100点魔法（战斗外使用增加等量魔法储备）</t>
  </si>
  <si>
    <t>皇血草</t>
  </si>
  <si>
    <t>火凤之眼</t>
  </si>
  <si>
    <t>帮派二级药</t>
  </si>
  <si>
    <t>功效：恢复气血300点</t>
  </si>
  <si>
    <t>可恢复300点气血（战斗外使用增加等量气血储备）</t>
  </si>
  <si>
    <t>荆棘藻</t>
  </si>
  <si>
    <t>凤凰尾</t>
  </si>
  <si>
    <t>功效：恢复气血250点</t>
  </si>
  <si>
    <t>可恢复250点气血（战斗外使用增加等量气血储备）</t>
  </si>
  <si>
    <t>魔皇草</t>
  </si>
  <si>
    <t>孔雀红</t>
  </si>
  <si>
    <t>雨燕草</t>
  </si>
  <si>
    <t>血珊瑚</t>
  </si>
  <si>
    <t>门派闯关</t>
  </si>
  <si>
    <t>主角养成</t>
  </si>
  <si>
    <t>338000</t>
  </si>
  <si>
    <t>4262</t>
  </si>
  <si>
    <t>经验宝珠</t>
  </si>
  <si>
    <t>心魔宝珠</t>
  </si>
  <si>
    <t>奖励</t>
  </si>
  <si>
    <t>功能：打开获得经验</t>
  </si>
  <si>
    <t>使用后获得大量经验，每天最多可使用10个</t>
  </si>
  <si>
    <t>师门</t>
  </si>
  <si>
    <t>挂机场景</t>
  </si>
  <si>
    <t>捉鬼</t>
  </si>
  <si>
    <t>商城-吉祥锦囊</t>
  </si>
  <si>
    <t>336010</t>
  </si>
  <si>
    <t>4278</t>
  </si>
  <si>
    <t>歌唱水晶</t>
  </si>
  <si>
    <t>回梦丹</t>
  </si>
  <si>
    <t>丹药</t>
  </si>
  <si>
    <t>功能：提高奖励</t>
  </si>
  <si>
    <t>使用后增加100点双倍点数（双倍点数可在挂机与抓鬼中使用，抓鬼每次消耗4点，挂机每场消耗1点）</t>
  </si>
  <si>
    <t>商城-20仙玉-每周限用4个</t>
  </si>
  <si>
    <t>331000</t>
  </si>
  <si>
    <r>
      <rPr>
        <sz val="10"/>
        <rFont val="Arial"/>
        <family val="2"/>
      </rPr>
      <t>294</t>
    </r>
  </si>
  <si>
    <t>还原卷轴•体</t>
  </si>
  <si>
    <t>人参果·木</t>
  </si>
  <si>
    <t>洗点材料</t>
  </si>
  <si>
    <t>功能：重置角色体力</t>
  </si>
  <si>
    <t>使用后将已分配的2点体质属性还原为潜能点</t>
  </si>
  <si>
    <t>331001</t>
  </si>
  <si>
    <t>还原卷轴•智</t>
  </si>
  <si>
    <t>人参果·火</t>
  </si>
  <si>
    <t>功能：重置角色魔力</t>
  </si>
  <si>
    <t>使用后将已分配的2点魔力属性还原为潜能点</t>
  </si>
  <si>
    <t>331002</t>
  </si>
  <si>
    <t>还原卷轴•力</t>
  </si>
  <si>
    <t>人参果·金</t>
  </si>
  <si>
    <t>功能：重置角色力量</t>
  </si>
  <si>
    <t>使用后将已分配的2点力量属性还原为潜能点</t>
  </si>
  <si>
    <t>331003</t>
  </si>
  <si>
    <t>还原卷轴•耐</t>
  </si>
  <si>
    <t>人参果·土</t>
  </si>
  <si>
    <t>功能：重置角色耐力</t>
  </si>
  <si>
    <t>使用后将已分配的2点耐力属性还原为潜能点</t>
  </si>
  <si>
    <t>331004</t>
  </si>
  <si>
    <t>还原卷轴•敏</t>
  </si>
  <si>
    <t>人参果·水</t>
  </si>
  <si>
    <t>功能：重置角色敏捷</t>
  </si>
  <si>
    <t>使用后将已分配的2点敏捷属性还原为潜能点</t>
  </si>
  <si>
    <t>331005</t>
  </si>
  <si>
    <t>麦迪文之书</t>
  </si>
  <si>
    <t>千年人参果</t>
  </si>
  <si>
    <t>功能：重置角色加点</t>
  </si>
  <si>
    <t>使用后重置所有已分配的属性点</t>
  </si>
  <si>
    <t>商城-25仙玉</t>
  </si>
  <si>
    <t>334100</t>
  </si>
  <si>
    <t>566</t>
  </si>
  <si>
    <t>纪元之书</t>
  </si>
  <si>
    <t>九转金丹</t>
  </si>
  <si>
    <t>提升修炼经验</t>
  </si>
  <si>
    <t>要求：45级后可使用</t>
  </si>
  <si>
    <r>
      <rPr>
        <sz val="10"/>
        <color indexed="8"/>
        <rFont val="宋体"/>
        <family val="3"/>
        <charset val="134"/>
      </rPr>
      <t>服用之后可以增加人物的修炼经验</t>
    </r>
    <r>
      <rPr>
        <sz val="10"/>
        <color indexed="60"/>
        <rFont val="宋体"/>
        <family val="3"/>
        <charset val="134"/>
      </rPr>
      <t>（10点）</t>
    </r>
  </si>
  <si>
    <t>科举</t>
  </si>
  <si>
    <t>20点活跃度</t>
  </si>
  <si>
    <t>挖宝</t>
  </si>
  <si>
    <t>侠义值兑换</t>
  </si>
  <si>
    <t>334101</t>
  </si>
  <si>
    <t>550</t>
  </si>
  <si>
    <t>永曦露水</t>
  </si>
  <si>
    <t>修炼果</t>
  </si>
  <si>
    <t>要求：55级后可使用</t>
  </si>
  <si>
    <t>可提高10点某项召唤兽修炼经验</t>
  </si>
  <si>
    <t>活力水晶</t>
  </si>
  <si>
    <t>海马</t>
  </si>
  <si>
    <t>装备养成</t>
  </si>
  <si>
    <t>341101</t>
  </si>
  <si>
    <t>2470</t>
  </si>
  <si>
    <t>泰坦精铁</t>
  </si>
  <si>
    <t>百炼精铁</t>
  </si>
  <si>
    <t>打造材料</t>
  </si>
  <si>
    <t>等级:10</t>
  </si>
  <si>
    <t>精铁百炼而成，这材料正是为神兵而存在的。</t>
  </si>
  <si>
    <t>商会</t>
  </si>
  <si>
    <t>任务链</t>
  </si>
  <si>
    <t>混世魔王副本/侠士</t>
  </si>
  <si>
    <t>地府送瓜副本/侠士</t>
  </si>
  <si>
    <t>两界山副本/侠士</t>
  </si>
  <si>
    <t>341102</t>
  </si>
  <si>
    <t>等级:20</t>
  </si>
  <si>
    <t>341103</t>
  </si>
  <si>
    <t>等级:30</t>
  </si>
  <si>
    <t>341104</t>
  </si>
  <si>
    <t>等级:40</t>
  </si>
  <si>
    <t>341105</t>
  </si>
  <si>
    <t>等级:50</t>
  </si>
  <si>
    <t>341106</t>
  </si>
  <si>
    <t>等级:60</t>
  </si>
  <si>
    <t>341107</t>
  </si>
  <si>
    <t>等级:70</t>
  </si>
  <si>
    <t>341108</t>
  </si>
  <si>
    <t>等级:80</t>
  </si>
  <si>
    <t>341109</t>
  </si>
  <si>
    <t>等级:90</t>
  </si>
  <si>
    <t>341110</t>
  </si>
  <si>
    <t>等级:100</t>
  </si>
  <si>
    <t>341111</t>
  </si>
  <si>
    <t>等级:110</t>
  </si>
  <si>
    <t>341112</t>
  </si>
  <si>
    <t>等级:120</t>
  </si>
  <si>
    <t>341113</t>
  </si>
  <si>
    <t>等级:130</t>
  </si>
  <si>
    <t>341114</t>
  </si>
  <si>
    <t>等级:140</t>
  </si>
  <si>
    <t>341115</t>
  </si>
  <si>
    <t>等级:150</t>
  </si>
  <si>
    <t>350000</t>
  </si>
  <si>
    <r>
      <rPr>
        <sz val="10"/>
        <rFont val="Arial"/>
        <family val="2"/>
      </rPr>
      <t>422</t>
    </r>
  </si>
  <si>
    <t>打造图纸•剑</t>
  </si>
  <si>
    <t>打造图纸</t>
  </si>
  <si>
    <t>混世魔王侠士</t>
  </si>
  <si>
    <t>地府送瓜侠士</t>
  </si>
  <si>
    <t>两界山侠士</t>
  </si>
  <si>
    <r>
      <rPr>
        <sz val="10"/>
        <rFont val="Arial"/>
        <family val="2"/>
      </rPr>
      <t>350001</t>
    </r>
  </si>
  <si>
    <t>打造图纸•锤</t>
  </si>
  <si>
    <r>
      <rPr>
        <sz val="10"/>
        <rFont val="Arial"/>
        <family val="2"/>
      </rPr>
      <t>350002</t>
    </r>
  </si>
  <si>
    <t>打造图纸•弓</t>
  </si>
  <si>
    <r>
      <rPr>
        <sz val="10"/>
        <rFont val="Arial"/>
        <family val="2"/>
      </rPr>
      <t>350003</t>
    </r>
  </si>
  <si>
    <t>打造图纸•爪</t>
  </si>
  <si>
    <r>
      <rPr>
        <sz val="10"/>
        <rFont val="Arial"/>
        <family val="2"/>
      </rPr>
      <t>350004</t>
    </r>
  </si>
  <si>
    <t>打造图纸•魔棒</t>
  </si>
  <si>
    <r>
      <rPr>
        <sz val="10"/>
        <rFont val="Arial"/>
        <family val="2"/>
      </rPr>
      <t>350005</t>
    </r>
  </si>
  <si>
    <t>打造图纸•法杖</t>
  </si>
  <si>
    <r>
      <rPr>
        <sz val="10"/>
        <rFont val="Arial"/>
        <family val="2"/>
      </rPr>
      <t>350006</t>
    </r>
  </si>
  <si>
    <t>打造图纸•腰带</t>
  </si>
  <si>
    <r>
      <rPr>
        <sz val="10"/>
        <rFont val="Arial"/>
        <family val="2"/>
      </rPr>
      <t>350007</t>
    </r>
  </si>
  <si>
    <t>打造图纸•鞋子</t>
  </si>
  <si>
    <r>
      <rPr>
        <sz val="10"/>
        <rFont val="Arial"/>
        <family val="2"/>
      </rPr>
      <t>350008</t>
    </r>
  </si>
  <si>
    <t>打造图纸•项链</t>
  </si>
  <si>
    <r>
      <rPr>
        <sz val="10"/>
        <rFont val="Arial"/>
        <family val="2"/>
      </rPr>
      <t>350009</t>
    </r>
  </si>
  <si>
    <t>打造图纸•男头</t>
  </si>
  <si>
    <r>
      <rPr>
        <sz val="10"/>
        <rFont val="Arial"/>
        <family val="2"/>
      </rPr>
      <t>350010</t>
    </r>
  </si>
  <si>
    <t>打造图纸•女头</t>
  </si>
  <si>
    <r>
      <rPr>
        <sz val="10"/>
        <rFont val="Arial"/>
        <family val="2"/>
      </rPr>
      <t>350011</t>
    </r>
  </si>
  <si>
    <t>打造图纸•男衣</t>
  </si>
  <si>
    <r>
      <rPr>
        <sz val="10"/>
        <rFont val="Arial"/>
        <family val="2"/>
      </rPr>
      <t>350012</t>
    </r>
  </si>
  <si>
    <t>打造图纸•女衣</t>
  </si>
  <si>
    <t>1</t>
  </si>
  <si>
    <t>350100</t>
  </si>
  <si>
    <t>10</t>
  </si>
  <si>
    <t>350101</t>
  </si>
  <si>
    <t>350102</t>
  </si>
  <si>
    <t>350103</t>
  </si>
  <si>
    <t>350104</t>
  </si>
  <si>
    <t>350105</t>
  </si>
  <si>
    <t>350106</t>
  </si>
  <si>
    <t>350107</t>
  </si>
  <si>
    <t>350108</t>
  </si>
  <si>
    <t>350109</t>
  </si>
  <si>
    <t>350110</t>
  </si>
  <si>
    <t>350111</t>
  </si>
  <si>
    <t>350112</t>
  </si>
  <si>
    <r>
      <rPr>
        <sz val="10"/>
        <rFont val="Arial"/>
        <family val="2"/>
      </rPr>
      <t>350200</t>
    </r>
  </si>
  <si>
    <r>
      <rPr>
        <sz val="10"/>
        <rFont val="Arial"/>
        <family val="2"/>
      </rPr>
      <t>350201</t>
    </r>
  </si>
  <si>
    <r>
      <rPr>
        <sz val="10"/>
        <rFont val="Arial"/>
        <family val="2"/>
      </rPr>
      <t>350202</t>
    </r>
  </si>
  <si>
    <r>
      <rPr>
        <sz val="10"/>
        <rFont val="Arial"/>
        <family val="2"/>
      </rPr>
      <t>350203</t>
    </r>
  </si>
  <si>
    <r>
      <rPr>
        <sz val="10"/>
        <rFont val="Arial"/>
        <family val="2"/>
      </rPr>
      <t>350204</t>
    </r>
  </si>
  <si>
    <r>
      <rPr>
        <sz val="10"/>
        <rFont val="Arial"/>
        <family val="2"/>
      </rPr>
      <t>350205</t>
    </r>
  </si>
  <si>
    <r>
      <rPr>
        <sz val="10"/>
        <rFont val="Arial"/>
        <family val="2"/>
      </rPr>
      <t>350206</t>
    </r>
  </si>
  <si>
    <r>
      <rPr>
        <sz val="10"/>
        <rFont val="Arial"/>
        <family val="2"/>
      </rPr>
      <t>350207</t>
    </r>
  </si>
  <si>
    <r>
      <rPr>
        <sz val="10"/>
        <rFont val="Arial"/>
        <family val="2"/>
      </rPr>
      <t>350208</t>
    </r>
  </si>
  <si>
    <r>
      <rPr>
        <sz val="10"/>
        <rFont val="Arial"/>
        <family val="2"/>
      </rPr>
      <t>350209</t>
    </r>
  </si>
  <si>
    <r>
      <rPr>
        <sz val="10"/>
        <rFont val="Arial"/>
        <family val="2"/>
      </rPr>
      <t>350210</t>
    </r>
  </si>
  <si>
    <r>
      <rPr>
        <sz val="10"/>
        <rFont val="Arial"/>
        <family val="2"/>
      </rPr>
      <t>350211</t>
    </r>
  </si>
  <si>
    <r>
      <rPr>
        <sz val="10"/>
        <rFont val="Arial"/>
        <family val="2"/>
      </rPr>
      <t>350212</t>
    </r>
  </si>
  <si>
    <r>
      <rPr>
        <sz val="10"/>
        <rFont val="Arial"/>
        <family val="2"/>
      </rPr>
      <t>350300</t>
    </r>
  </si>
  <si>
    <r>
      <rPr>
        <sz val="10"/>
        <rFont val="Arial"/>
        <family val="2"/>
      </rPr>
      <t>350301</t>
    </r>
  </si>
  <si>
    <r>
      <rPr>
        <sz val="10"/>
        <rFont val="Arial"/>
        <family val="2"/>
      </rPr>
      <t>350302</t>
    </r>
  </si>
  <si>
    <r>
      <rPr>
        <sz val="10"/>
        <rFont val="Arial"/>
        <family val="2"/>
      </rPr>
      <t>350303</t>
    </r>
  </si>
  <si>
    <r>
      <rPr>
        <sz val="10"/>
        <rFont val="Arial"/>
        <family val="2"/>
      </rPr>
      <t>350304</t>
    </r>
  </si>
  <si>
    <r>
      <rPr>
        <sz val="10"/>
        <rFont val="Arial"/>
        <family val="2"/>
      </rPr>
      <t>350305</t>
    </r>
  </si>
  <si>
    <r>
      <rPr>
        <sz val="10"/>
        <rFont val="Arial"/>
        <family val="2"/>
      </rPr>
      <t>350306</t>
    </r>
  </si>
  <si>
    <r>
      <rPr>
        <sz val="10"/>
        <rFont val="Arial"/>
        <family val="2"/>
      </rPr>
      <t>350307</t>
    </r>
  </si>
  <si>
    <r>
      <rPr>
        <sz val="10"/>
        <rFont val="Arial"/>
        <family val="2"/>
      </rPr>
      <t>350308</t>
    </r>
  </si>
  <si>
    <r>
      <rPr>
        <sz val="10"/>
        <rFont val="Arial"/>
        <family val="2"/>
      </rPr>
      <t>350309</t>
    </r>
  </si>
  <si>
    <r>
      <rPr>
        <sz val="10"/>
        <rFont val="Arial"/>
        <family val="2"/>
      </rPr>
      <t>350310</t>
    </r>
  </si>
  <si>
    <r>
      <rPr>
        <sz val="10"/>
        <rFont val="Arial"/>
        <family val="2"/>
      </rPr>
      <t>350311</t>
    </r>
  </si>
  <si>
    <r>
      <rPr>
        <sz val="10"/>
        <rFont val="Arial"/>
        <family val="2"/>
      </rPr>
      <t>350312</t>
    </r>
  </si>
  <si>
    <t>350400</t>
  </si>
  <si>
    <t>350401</t>
  </si>
  <si>
    <t>350402</t>
  </si>
  <si>
    <t>350403</t>
  </si>
  <si>
    <t>350404</t>
  </si>
  <si>
    <t>350405</t>
  </si>
  <si>
    <t>350406</t>
  </si>
  <si>
    <t>350407</t>
  </si>
  <si>
    <t>350408</t>
  </si>
  <si>
    <t>350409</t>
  </si>
  <si>
    <t>350410</t>
  </si>
  <si>
    <t>350411</t>
  </si>
  <si>
    <t>350412</t>
  </si>
  <si>
    <r>
      <rPr>
        <sz val="10"/>
        <rFont val="Arial"/>
        <family val="2"/>
      </rPr>
      <t>350500</t>
    </r>
  </si>
  <si>
    <r>
      <rPr>
        <sz val="10"/>
        <rFont val="Arial"/>
        <family val="2"/>
      </rPr>
      <t>350501</t>
    </r>
  </si>
  <si>
    <r>
      <rPr>
        <sz val="10"/>
        <rFont val="Arial"/>
        <family val="2"/>
      </rPr>
      <t>350502</t>
    </r>
  </si>
  <si>
    <r>
      <rPr>
        <sz val="10"/>
        <rFont val="Arial"/>
        <family val="2"/>
      </rPr>
      <t>350503</t>
    </r>
  </si>
  <si>
    <r>
      <rPr>
        <sz val="10"/>
        <rFont val="Arial"/>
        <family val="2"/>
      </rPr>
      <t>350504</t>
    </r>
  </si>
  <si>
    <r>
      <rPr>
        <sz val="10"/>
        <rFont val="Arial"/>
        <family val="2"/>
      </rPr>
      <t>350505</t>
    </r>
  </si>
  <si>
    <r>
      <rPr>
        <sz val="10"/>
        <rFont val="Arial"/>
        <family val="2"/>
      </rPr>
      <t>350506</t>
    </r>
  </si>
  <si>
    <r>
      <rPr>
        <sz val="10"/>
        <rFont val="Arial"/>
        <family val="2"/>
      </rPr>
      <t>350507</t>
    </r>
  </si>
  <si>
    <r>
      <rPr>
        <sz val="10"/>
        <rFont val="Arial"/>
        <family val="2"/>
      </rPr>
      <t>350508</t>
    </r>
  </si>
  <si>
    <r>
      <rPr>
        <sz val="10"/>
        <rFont val="Arial"/>
        <family val="2"/>
      </rPr>
      <t>350509</t>
    </r>
  </si>
  <si>
    <r>
      <rPr>
        <sz val="10"/>
        <rFont val="Arial"/>
        <family val="2"/>
      </rPr>
      <t>350510</t>
    </r>
  </si>
  <si>
    <r>
      <rPr>
        <sz val="10"/>
        <rFont val="Arial"/>
        <family val="2"/>
      </rPr>
      <t>350511</t>
    </r>
  </si>
  <si>
    <r>
      <rPr>
        <sz val="10"/>
        <rFont val="Arial"/>
        <family val="2"/>
      </rPr>
      <t>350512</t>
    </r>
  </si>
  <si>
    <t>350600</t>
  </si>
  <si>
    <t>350601</t>
  </si>
  <si>
    <t>350602</t>
  </si>
  <si>
    <t>350603</t>
  </si>
  <si>
    <t>350604</t>
  </si>
  <si>
    <t>350605</t>
  </si>
  <si>
    <t>350606</t>
  </si>
  <si>
    <t>350607</t>
  </si>
  <si>
    <t>350608</t>
  </si>
  <si>
    <t>350609</t>
  </si>
  <si>
    <t>350610</t>
  </si>
  <si>
    <t>350611</t>
  </si>
  <si>
    <t>350612</t>
  </si>
  <si>
    <t>350700</t>
  </si>
  <si>
    <t>350701</t>
  </si>
  <si>
    <t>350702</t>
  </si>
  <si>
    <t>350703</t>
  </si>
  <si>
    <t>350704</t>
  </si>
  <si>
    <t>350705</t>
  </si>
  <si>
    <t>350706</t>
  </si>
  <si>
    <t>350707</t>
  </si>
  <si>
    <t>摆摊</t>
  </si>
  <si>
    <t>350708</t>
  </si>
  <si>
    <t>350709</t>
  </si>
  <si>
    <t>350710</t>
  </si>
  <si>
    <t>350711</t>
  </si>
  <si>
    <t>350712</t>
  </si>
  <si>
    <t>350800</t>
  </si>
  <si>
    <t>350801</t>
  </si>
  <si>
    <t>350802</t>
  </si>
  <si>
    <t>350803</t>
  </si>
  <si>
    <t>350804</t>
  </si>
  <si>
    <t>350805</t>
  </si>
  <si>
    <t>350806</t>
  </si>
  <si>
    <t>350807</t>
  </si>
  <si>
    <t>350808</t>
  </si>
  <si>
    <t>350809</t>
  </si>
  <si>
    <t>350810</t>
  </si>
  <si>
    <t>350811</t>
  </si>
  <si>
    <t>350812</t>
  </si>
  <si>
    <t>350900</t>
  </si>
  <si>
    <t>350901</t>
  </si>
  <si>
    <t>350902</t>
  </si>
  <si>
    <t>350903</t>
  </si>
  <si>
    <t>350904</t>
  </si>
  <si>
    <t>350905</t>
  </si>
  <si>
    <t>350906</t>
  </si>
  <si>
    <t>350907</t>
  </si>
  <si>
    <t>350908</t>
  </si>
  <si>
    <t>350909</t>
  </si>
  <si>
    <t>350910</t>
  </si>
  <si>
    <t>350911</t>
  </si>
  <si>
    <t>350912</t>
  </si>
  <si>
    <r>
      <rPr>
        <sz val="10"/>
        <rFont val="Arial"/>
        <family val="2"/>
      </rPr>
      <t>351000</t>
    </r>
  </si>
  <si>
    <r>
      <rPr>
        <sz val="10"/>
        <rFont val="Arial"/>
        <family val="2"/>
      </rPr>
      <t>351001</t>
    </r>
  </si>
  <si>
    <r>
      <rPr>
        <sz val="10"/>
        <rFont val="Arial"/>
        <family val="2"/>
      </rPr>
      <t>351002</t>
    </r>
  </si>
  <si>
    <r>
      <rPr>
        <sz val="10"/>
        <rFont val="Arial"/>
        <family val="2"/>
      </rPr>
      <t>351003</t>
    </r>
  </si>
  <si>
    <r>
      <rPr>
        <sz val="10"/>
        <rFont val="Arial"/>
        <family val="2"/>
      </rPr>
      <t>351004</t>
    </r>
  </si>
  <si>
    <r>
      <rPr>
        <sz val="10"/>
        <rFont val="Arial"/>
        <family val="2"/>
      </rPr>
      <t>351005</t>
    </r>
  </si>
  <si>
    <r>
      <rPr>
        <sz val="10"/>
        <rFont val="Arial"/>
        <family val="2"/>
      </rPr>
      <t>351006</t>
    </r>
  </si>
  <si>
    <r>
      <rPr>
        <sz val="10"/>
        <rFont val="Arial"/>
        <family val="2"/>
      </rPr>
      <t>351007</t>
    </r>
  </si>
  <si>
    <r>
      <rPr>
        <sz val="10"/>
        <rFont val="Arial"/>
        <family val="2"/>
      </rPr>
      <t>351008</t>
    </r>
  </si>
  <si>
    <r>
      <rPr>
        <sz val="10"/>
        <rFont val="Arial"/>
        <family val="2"/>
      </rPr>
      <t>351009</t>
    </r>
  </si>
  <si>
    <r>
      <rPr>
        <sz val="10"/>
        <rFont val="Arial"/>
        <family val="2"/>
      </rPr>
      <t>351010</t>
    </r>
  </si>
  <si>
    <r>
      <rPr>
        <sz val="10"/>
        <rFont val="Arial"/>
        <family val="2"/>
      </rPr>
      <t>351011</t>
    </r>
  </si>
  <si>
    <r>
      <rPr>
        <sz val="10"/>
        <rFont val="Arial"/>
        <family val="2"/>
      </rPr>
      <t>351012</t>
    </r>
  </si>
  <si>
    <t>331101</t>
  </si>
  <si>
    <r>
      <rPr>
        <sz val="10"/>
        <rFont val="Arial"/>
        <family val="2"/>
      </rPr>
      <t>310</t>
    </r>
  </si>
  <si>
    <t>武器模具</t>
  </si>
  <si>
    <t>lv10打造符</t>
  </si>
  <si>
    <t>等级：10</t>
  </si>
  <si>
    <t>用于打造或者修理武器。使用时，符的等级应不低于制造指南书等级。</t>
  </si>
  <si>
    <t>帮派技能-打造技巧</t>
  </si>
  <si>
    <t>331102</t>
  </si>
  <si>
    <t>lv20打造符</t>
  </si>
  <si>
    <t>等级：20</t>
  </si>
  <si>
    <t>331103</t>
  </si>
  <si>
    <t>lv30打造符</t>
  </si>
  <si>
    <t>等级：30</t>
  </si>
  <si>
    <t>331104</t>
  </si>
  <si>
    <t>lv40打造符</t>
  </si>
  <si>
    <t>等级：40</t>
  </si>
  <si>
    <t>331105</t>
  </si>
  <si>
    <t>lv50打造符</t>
  </si>
  <si>
    <t>等级：50</t>
  </si>
  <si>
    <t>331106</t>
  </si>
  <si>
    <t>lv60打造符</t>
  </si>
  <si>
    <t>等级：60</t>
  </si>
  <si>
    <t>331107</t>
  </si>
  <si>
    <t>lv70打造符</t>
  </si>
  <si>
    <t>等级：70</t>
  </si>
  <si>
    <t>331108</t>
  </si>
  <si>
    <t>lv80打造符</t>
  </si>
  <si>
    <t>等级：80</t>
  </si>
  <si>
    <t>331109</t>
  </si>
  <si>
    <t>lv90打造符</t>
  </si>
  <si>
    <t>等级：90</t>
  </si>
  <si>
    <t>331110</t>
  </si>
  <si>
    <t>lv100打造符</t>
  </si>
  <si>
    <t>等级：100</t>
  </si>
  <si>
    <t>331131</t>
  </si>
  <si>
    <r>
      <rPr>
        <sz val="10"/>
        <rFont val="Arial"/>
        <family val="2"/>
      </rPr>
      <t>326</t>
    </r>
  </si>
  <si>
    <t>防具模具</t>
  </si>
  <si>
    <t>lv10裁缝符</t>
  </si>
  <si>
    <t>用于打造或者修理头盔、发钗和铠甲、女衣。使用时，符的等级应不低于制造指南书等级。</t>
  </si>
  <si>
    <t>帮派技能-裁缝技巧</t>
  </si>
  <si>
    <t>331132</t>
  </si>
  <si>
    <t>lv20裁缝符</t>
  </si>
  <si>
    <t>331133</t>
  </si>
  <si>
    <t>lv30裁缝符</t>
  </si>
  <si>
    <t>331134</t>
  </si>
  <si>
    <t>lv40裁缝符</t>
  </si>
  <si>
    <t>331135</t>
  </si>
  <si>
    <t>lv50裁缝符</t>
  </si>
  <si>
    <t>331136</t>
  </si>
  <si>
    <t>lv60裁缝符</t>
  </si>
  <si>
    <t>331137</t>
  </si>
  <si>
    <t>lv70裁缝符</t>
  </si>
  <si>
    <t>331138</t>
  </si>
  <si>
    <t>lv80裁缝符</t>
  </si>
  <si>
    <t>331139</t>
  </si>
  <si>
    <t>lv90裁缝符</t>
  </si>
  <si>
    <t>331140</t>
  </si>
  <si>
    <t>lv100裁缝符</t>
  </si>
  <si>
    <t>331161</t>
  </si>
  <si>
    <r>
      <rPr>
        <sz val="10"/>
        <rFont val="Arial"/>
        <family val="2"/>
      </rPr>
      <t>342</t>
    </r>
  </si>
  <si>
    <t>饰品模具</t>
  </si>
  <si>
    <t>lv10炼金符</t>
  </si>
  <si>
    <t>用于打造或者修理鞋子，项链和套袋。使用时，负的等级应不低于制造指南书等级。</t>
  </si>
  <si>
    <t>帮派技能-炼金技巧</t>
  </si>
  <si>
    <t>331162</t>
  </si>
  <si>
    <t>lv20炼金符</t>
  </si>
  <si>
    <t>331163</t>
  </si>
  <si>
    <t>lv30炼金符</t>
  </si>
  <si>
    <t>331164</t>
  </si>
  <si>
    <t>lv40炼金符</t>
  </si>
  <si>
    <t>331165</t>
  </si>
  <si>
    <t>lv50炼金符</t>
  </si>
  <si>
    <t>331166</t>
  </si>
  <si>
    <t>lv60炼金符</t>
  </si>
  <si>
    <t>331167</t>
  </si>
  <si>
    <t>lv70炼金符</t>
  </si>
  <si>
    <t>331168</t>
  </si>
  <si>
    <t>lv80炼金符</t>
  </si>
  <si>
    <t>331169</t>
  </si>
  <si>
    <t>lv90炼金符</t>
  </si>
  <si>
    <t>331170</t>
  </si>
  <si>
    <t>lv100炼金符</t>
  </si>
  <si>
    <t>40008</t>
  </si>
  <si>
    <t>天火原石</t>
  </si>
  <si>
    <t>青龙石</t>
  </si>
  <si>
    <t>强化打造装备</t>
  </si>
  <si>
    <t>带有灵气的石头，是强化打造武器的材料</t>
  </si>
  <si>
    <t>积分</t>
  </si>
  <si>
    <t>40009</t>
  </si>
  <si>
    <t>风暴原石</t>
  </si>
  <si>
    <t>白虎石</t>
  </si>
  <si>
    <t>带有灵气的石头，是强化打造衣甲的材料</t>
  </si>
  <si>
    <t>40010</t>
  </si>
  <si>
    <t>宁静原石</t>
  </si>
  <si>
    <t>朱雀石</t>
  </si>
  <si>
    <t>带有灵气的石头，是强化打造头盔的材料</t>
  </si>
  <si>
    <t>40011</t>
  </si>
  <si>
    <t>洞察原石</t>
  </si>
  <si>
    <t>玄武石</t>
  </si>
  <si>
    <t>带有灵气的石头，是强化打造项链、腰带、鞋子的材料</t>
  </si>
  <si>
    <t>1级血精石</t>
  </si>
  <si>
    <t>1级光芒石</t>
  </si>
  <si>
    <t>宝石</t>
  </si>
  <si>
    <t>效果：气血+40</t>
  </si>
  <si>
    <t>镶嵌：30级以上衣甲、腰带</t>
  </si>
  <si>
    <t>普通副本</t>
  </si>
  <si>
    <t>1级红曜石</t>
  </si>
  <si>
    <t>1级太阳石</t>
  </si>
  <si>
    <t>效果：物理伤害+8</t>
  </si>
  <si>
    <t>镶嵌：30级以上武器、头盔</t>
  </si>
  <si>
    <t>1级石榴石</t>
  </si>
  <si>
    <t>1级月亮石</t>
  </si>
  <si>
    <t>效果：物理防御+12</t>
  </si>
  <si>
    <t>镶嵌：30级以上衣甲、头盔</t>
  </si>
  <si>
    <t>1级舍利子</t>
  </si>
  <si>
    <t>效果：法术伤害+6</t>
  </si>
  <si>
    <t>镶嵌：30级以上武器、项链</t>
  </si>
  <si>
    <t>1级孔雀石</t>
  </si>
  <si>
    <t>1级翡翠石</t>
  </si>
  <si>
    <t>效果：法术防御+8</t>
  </si>
  <si>
    <t>镶嵌：30级以上衣甲、项链</t>
  </si>
  <si>
    <t>1级猫眼石</t>
  </si>
  <si>
    <t>1级黑宝石</t>
  </si>
  <si>
    <t>效果：速度+8</t>
  </si>
  <si>
    <t>镶嵌：30级以上腰带、鞋</t>
  </si>
  <si>
    <t>1级茶晶石</t>
  </si>
  <si>
    <t>1级昆仑玉</t>
  </si>
  <si>
    <t>效果：治疗强度+8</t>
  </si>
  <si>
    <t>镶嵌：30级以上武器、衣甲</t>
  </si>
  <si>
    <t>1级红宝石</t>
  </si>
  <si>
    <t>1级红纹石</t>
  </si>
  <si>
    <t>效果：封印命中+6</t>
  </si>
  <si>
    <t>镶嵌：30级以上武器</t>
  </si>
  <si>
    <t>1级蓝宝石</t>
  </si>
  <si>
    <t>1级神秘石</t>
  </si>
  <si>
    <t>效果：抵抗封印+4</t>
  </si>
  <si>
    <t>2级血精石</t>
  </si>
  <si>
    <t>2级光芒石</t>
  </si>
  <si>
    <t>效果：气血+80</t>
  </si>
  <si>
    <t>合成</t>
  </si>
  <si>
    <t>2级红曜石</t>
  </si>
  <si>
    <t>2级太阳石</t>
  </si>
  <si>
    <t>效果：物理伤害+16</t>
  </si>
  <si>
    <t>2级石榴石</t>
  </si>
  <si>
    <t>2级月亮石</t>
  </si>
  <si>
    <t>效果：物理防御+24</t>
  </si>
  <si>
    <t>2级舍利子</t>
  </si>
  <si>
    <t>效果：法术伤害+12</t>
  </si>
  <si>
    <t>2级孔雀石</t>
  </si>
  <si>
    <t>2级翡翠石</t>
  </si>
  <si>
    <t>效果：法术防御+16</t>
  </si>
  <si>
    <t>2级猫眼石</t>
  </si>
  <si>
    <t>2级黑宝石</t>
  </si>
  <si>
    <t>效果：速度+16</t>
  </si>
  <si>
    <t>2级茶晶石</t>
  </si>
  <si>
    <t>2级昆仑玉</t>
  </si>
  <si>
    <t>效果：治疗强度+16</t>
  </si>
  <si>
    <t>2级红宝石</t>
  </si>
  <si>
    <t>2级红纹石</t>
  </si>
  <si>
    <t>效果：封印命中+12</t>
  </si>
  <si>
    <t>2级蓝宝石</t>
  </si>
  <si>
    <t>2级神秘石</t>
  </si>
  <si>
    <t>效果：抵抗封印+8</t>
  </si>
  <si>
    <t>3级血精石</t>
  </si>
  <si>
    <t>3级光芒石</t>
  </si>
  <si>
    <t>效果：气血+120</t>
  </si>
  <si>
    <t>3级红曜石</t>
  </si>
  <si>
    <t>3级太阳石</t>
  </si>
  <si>
    <t>效果：物理伤害+24</t>
  </si>
  <si>
    <t>3级石榴石</t>
  </si>
  <si>
    <t>3级月亮石</t>
  </si>
  <si>
    <t>效果：物理防御+36</t>
  </si>
  <si>
    <t>3级舍利子</t>
  </si>
  <si>
    <t>效果：法术伤害+18</t>
  </si>
  <si>
    <t>3级孔雀石</t>
  </si>
  <si>
    <t>3级翡翠石</t>
  </si>
  <si>
    <t>效果：法术防御+24</t>
  </si>
  <si>
    <t>3级猫眼石</t>
  </si>
  <si>
    <t>3级黑宝石</t>
  </si>
  <si>
    <t>效果：速度+24</t>
  </si>
  <si>
    <t>3级茶晶石</t>
  </si>
  <si>
    <t>3级昆仑玉</t>
  </si>
  <si>
    <t>效果：治疗强度+24</t>
  </si>
  <si>
    <t>3级红宝石</t>
  </si>
  <si>
    <t>3级红纹石</t>
  </si>
  <si>
    <t>效果：封印命中+18</t>
  </si>
  <si>
    <t>3级蓝宝石</t>
  </si>
  <si>
    <t>3级神秘石</t>
  </si>
  <si>
    <t>效果：抵抗封印+12</t>
  </si>
  <si>
    <t>4级血精石</t>
  </si>
  <si>
    <t>4级光芒石</t>
  </si>
  <si>
    <t>效果：气血+160</t>
  </si>
  <si>
    <t>镶嵌：40级以上衣甲、腰带</t>
  </si>
  <si>
    <t>4级红曜石</t>
  </si>
  <si>
    <t>4级太阳石</t>
  </si>
  <si>
    <t>效果：物理伤害+32</t>
  </si>
  <si>
    <t>镶嵌：40级以上武器、头盔</t>
  </si>
  <si>
    <t>4级石榴石</t>
  </si>
  <si>
    <t>4级月亮石</t>
  </si>
  <si>
    <t>效果：物理防御+48</t>
  </si>
  <si>
    <t>镶嵌：40级以上衣甲、头盔</t>
  </si>
  <si>
    <t>4级舍利子</t>
  </si>
  <si>
    <t>效果：法术伤害+24</t>
  </si>
  <si>
    <t>镶嵌：40级以上武器、项链</t>
  </si>
  <si>
    <t>4级孔雀石</t>
  </si>
  <si>
    <t>4级翡翠石</t>
  </si>
  <si>
    <t>效果：法术防御+32</t>
  </si>
  <si>
    <t>镶嵌：40级以上衣甲、项链</t>
  </si>
  <si>
    <t>4级猫眼石</t>
  </si>
  <si>
    <t>4级黑宝石</t>
  </si>
  <si>
    <t>效果：速度+32</t>
  </si>
  <si>
    <t>镶嵌：40级以上腰带、鞋</t>
  </si>
  <si>
    <t>4级茶晶石</t>
  </si>
  <si>
    <t>4级昆仑玉</t>
  </si>
  <si>
    <t>效果：治疗强度+32</t>
  </si>
  <si>
    <t>镶嵌：40级以上武器、衣甲</t>
  </si>
  <si>
    <t>4级红宝石</t>
  </si>
  <si>
    <t>4级红纹石</t>
  </si>
  <si>
    <t>效果：封印命中+24</t>
  </si>
  <si>
    <t>镶嵌：40级以上武器</t>
  </si>
  <si>
    <t>4级蓝宝石</t>
  </si>
  <si>
    <t>4级神秘石</t>
  </si>
  <si>
    <t>效果：抵抗封印+16</t>
  </si>
  <si>
    <t>5级血精石</t>
  </si>
  <si>
    <t>5级光芒石</t>
  </si>
  <si>
    <t>效果：气血+200</t>
  </si>
  <si>
    <t>镶嵌：50级以上衣甲、腰带</t>
  </si>
  <si>
    <t>5级红曜石</t>
  </si>
  <si>
    <t>5级太阳石</t>
  </si>
  <si>
    <t>效果：物理伤害+40</t>
  </si>
  <si>
    <t>镶嵌：50级以上武器、头盔</t>
  </si>
  <si>
    <t>5级石榴石</t>
  </si>
  <si>
    <t>5级月亮石</t>
  </si>
  <si>
    <t>效果：物理防御+60</t>
  </si>
  <si>
    <t>镶嵌：50级以上衣甲、头盔</t>
  </si>
  <si>
    <t>5级舍利子</t>
  </si>
  <si>
    <t>效果：法术伤害+30</t>
  </si>
  <si>
    <t>镶嵌：50级以上武器、项链</t>
  </si>
  <si>
    <t>5级孔雀石</t>
  </si>
  <si>
    <t>5级翡翠石</t>
  </si>
  <si>
    <t>效果：法术防御+40</t>
  </si>
  <si>
    <t>镶嵌：50级以上衣甲、项链</t>
  </si>
  <si>
    <t>5级猫眼石</t>
  </si>
  <si>
    <t>5级黑宝石</t>
  </si>
  <si>
    <t>效果：速度+40</t>
  </si>
  <si>
    <t>镶嵌：50级以上腰带、鞋</t>
  </si>
  <si>
    <t>5级茶晶石</t>
  </si>
  <si>
    <t>5级昆仑玉</t>
  </si>
  <si>
    <t>效果：治疗强度+40</t>
  </si>
  <si>
    <t>镶嵌：50级以上武器、衣甲</t>
  </si>
  <si>
    <t>5级红宝石</t>
  </si>
  <si>
    <t>5级红纹石</t>
  </si>
  <si>
    <t>效果：封印命中+30</t>
  </si>
  <si>
    <t>镶嵌：50级以上武器</t>
  </si>
  <si>
    <t>5级蓝宝石</t>
  </si>
  <si>
    <t>5级神秘石</t>
  </si>
  <si>
    <t>效果：抵抗封印+20</t>
  </si>
  <si>
    <t>6级血精石</t>
  </si>
  <si>
    <t>6级光芒石</t>
  </si>
  <si>
    <t>效果：气血+240</t>
  </si>
  <si>
    <t>镶嵌：60级以上衣甲、腰带</t>
  </si>
  <si>
    <t>6级红曜石</t>
  </si>
  <si>
    <t>6级太阳石</t>
  </si>
  <si>
    <t>效果：物理伤害+48</t>
  </si>
  <si>
    <t>镶嵌：60级以上武器、头盔</t>
  </si>
  <si>
    <t>6级石榴石</t>
  </si>
  <si>
    <t>6级月亮石</t>
  </si>
  <si>
    <t>效果：物理防御+72</t>
  </si>
  <si>
    <t>镶嵌：60级以上衣甲、头盔</t>
  </si>
  <si>
    <t>6级舍利子</t>
  </si>
  <si>
    <t>效果：法术伤害+36</t>
  </si>
  <si>
    <t>镶嵌：60级以上武器、项链</t>
  </si>
  <si>
    <t>6级孔雀石</t>
  </si>
  <si>
    <t>6级翡翠石</t>
  </si>
  <si>
    <t>效果：法术防御+48</t>
  </si>
  <si>
    <t>镶嵌：60级以上衣甲、项链</t>
  </si>
  <si>
    <t>6级猫眼石</t>
  </si>
  <si>
    <t>6级黑宝石</t>
  </si>
  <si>
    <t>效果：速度+48</t>
  </si>
  <si>
    <t>镶嵌：60级以上腰带、鞋</t>
  </si>
  <si>
    <t>6级茶晶石</t>
  </si>
  <si>
    <t>6级昆仑玉</t>
  </si>
  <si>
    <t>效果：治疗强度+48</t>
  </si>
  <si>
    <t>镶嵌：60级以上武器、衣甲</t>
  </si>
  <si>
    <t>6级红宝石</t>
  </si>
  <si>
    <t>6级红纹石</t>
  </si>
  <si>
    <t>效果：封印命中+36</t>
  </si>
  <si>
    <t>镶嵌：60级以上武器</t>
  </si>
  <si>
    <t>6级蓝宝石</t>
  </si>
  <si>
    <t>6级神秘石</t>
  </si>
  <si>
    <t>效果：抵抗封印+24</t>
  </si>
  <si>
    <t>7级血精石</t>
  </si>
  <si>
    <t>7级光芒石</t>
  </si>
  <si>
    <t>效果：气血+280</t>
  </si>
  <si>
    <t>7级红曜石</t>
  </si>
  <si>
    <t>7级太阳石</t>
  </si>
  <si>
    <t>效果：物理伤害+56</t>
  </si>
  <si>
    <t>7级石榴石</t>
  </si>
  <si>
    <t>7级月亮石</t>
  </si>
  <si>
    <t>效果：物理防御+84</t>
  </si>
  <si>
    <t>7级舍利子</t>
  </si>
  <si>
    <t>效果：法术伤害+42</t>
  </si>
  <si>
    <t>7级孔雀石</t>
  </si>
  <si>
    <t>7级翡翠石</t>
  </si>
  <si>
    <t>效果：法术防御+56</t>
  </si>
  <si>
    <t>7级猫眼石</t>
  </si>
  <si>
    <t>7级黑宝石</t>
  </si>
  <si>
    <t>效果：速度+56</t>
  </si>
  <si>
    <t>7级茶晶石</t>
  </si>
  <si>
    <t>7级昆仑玉</t>
  </si>
  <si>
    <t>效果：治疗强度+56</t>
  </si>
  <si>
    <t>7级红宝石</t>
  </si>
  <si>
    <t>7级红纹石</t>
  </si>
  <si>
    <t>效果：封印命中+42</t>
  </si>
  <si>
    <t>7级蓝宝石</t>
  </si>
  <si>
    <t>7级神秘石</t>
  </si>
  <si>
    <t>效果：抵抗封印+28</t>
  </si>
  <si>
    <t>8级血精石</t>
  </si>
  <si>
    <t>8级光芒石</t>
  </si>
  <si>
    <t>效果：气血+320</t>
  </si>
  <si>
    <t>镶嵌：70级以上衣甲、腰带</t>
  </si>
  <si>
    <t>8级红曜石</t>
  </si>
  <si>
    <t>8级太阳石</t>
  </si>
  <si>
    <t>效果：物理伤害+64</t>
  </si>
  <si>
    <t>镶嵌：70级以上武器、头盔</t>
  </si>
  <si>
    <t>8级石榴石</t>
  </si>
  <si>
    <t>8级月亮石</t>
  </si>
  <si>
    <t>效果：物理防御+96</t>
  </si>
  <si>
    <t>镶嵌：70级以上衣甲、头盔</t>
  </si>
  <si>
    <t>8级舍利子</t>
  </si>
  <si>
    <t>效果：法术伤害+48</t>
  </si>
  <si>
    <t>镶嵌：70级以上武器、项链</t>
  </si>
  <si>
    <t>8级孔雀石</t>
  </si>
  <si>
    <t>8级翡翠石</t>
  </si>
  <si>
    <t>效果：法术防御+64</t>
  </si>
  <si>
    <t>镶嵌：70级以上衣甲、项链</t>
  </si>
  <si>
    <t>8级猫眼石</t>
  </si>
  <si>
    <t>8级黑宝石</t>
  </si>
  <si>
    <t>效果：速度+64</t>
  </si>
  <si>
    <t>镶嵌：70级以上腰带、鞋</t>
  </si>
  <si>
    <t>8级茶晶石</t>
  </si>
  <si>
    <t>8级昆仑玉</t>
  </si>
  <si>
    <t>效果：治疗强度+64</t>
  </si>
  <si>
    <t>镶嵌：70级以上武器、衣甲</t>
  </si>
  <si>
    <t>8级红宝石</t>
  </si>
  <si>
    <t>8级红纹石</t>
  </si>
  <si>
    <t>效果：封印命中+48</t>
  </si>
  <si>
    <t>镶嵌：70级以上武器</t>
  </si>
  <si>
    <t>8级蓝宝石</t>
  </si>
  <si>
    <t>8级神秘石</t>
  </si>
  <si>
    <t>效果：抵抗封印+32</t>
  </si>
  <si>
    <t>9级血精石</t>
  </si>
  <si>
    <t>9级光芒石</t>
  </si>
  <si>
    <t>效果：气血+360</t>
  </si>
  <si>
    <t>9级红曜石</t>
  </si>
  <si>
    <t>9级太阳石</t>
  </si>
  <si>
    <t>效果：物理伤害+72</t>
  </si>
  <si>
    <t>9级石榴石</t>
  </si>
  <si>
    <t>9级月亮石</t>
  </si>
  <si>
    <t>效果：物理防御+108</t>
  </si>
  <si>
    <t>9级舍利子</t>
  </si>
  <si>
    <t>效果：法术伤害+54</t>
  </si>
  <si>
    <t>9级孔雀石</t>
  </si>
  <si>
    <t>9级翡翠石</t>
  </si>
  <si>
    <t>效果：法术防御+72</t>
  </si>
  <si>
    <t>9级猫眼石</t>
  </si>
  <si>
    <t>9级黑宝石</t>
  </si>
  <si>
    <t>效果：速度+72</t>
  </si>
  <si>
    <t>9级茶晶石</t>
  </si>
  <si>
    <t>9级昆仑玉</t>
  </si>
  <si>
    <t>效果：治疗强度+72</t>
  </si>
  <si>
    <t>9级红宝石</t>
  </si>
  <si>
    <t>9级红纹石</t>
  </si>
  <si>
    <t>效果：封印命中+54</t>
  </si>
  <si>
    <t>9级蓝宝石</t>
  </si>
  <si>
    <t>9级神秘石</t>
  </si>
  <si>
    <t>效果：抵抗封印+36</t>
  </si>
  <si>
    <t>10级血精石</t>
  </si>
  <si>
    <t>10级光芒石</t>
  </si>
  <si>
    <t>效果：气血+400</t>
  </si>
  <si>
    <t>镶嵌：80级以上衣甲、腰带</t>
  </si>
  <si>
    <t>10级红曜石</t>
  </si>
  <si>
    <t>10级太阳石</t>
  </si>
  <si>
    <t>效果：物理伤害+80</t>
  </si>
  <si>
    <t>镶嵌：80级以上武器、头盔</t>
  </si>
  <si>
    <t>10级石榴石</t>
  </si>
  <si>
    <t>10级月亮石</t>
  </si>
  <si>
    <t>效果：物理防御+120</t>
  </si>
  <si>
    <t>镶嵌：80级以上衣甲、头盔</t>
  </si>
  <si>
    <t>10级舍利子</t>
  </si>
  <si>
    <t>效果：法术伤害+60</t>
  </si>
  <si>
    <t>镶嵌：80级以上武器、项链</t>
  </si>
  <si>
    <t>10级孔雀石</t>
  </si>
  <si>
    <t>10级翡翠石</t>
  </si>
  <si>
    <t>效果：法术防御+80</t>
  </si>
  <si>
    <t>镶嵌：80级以上衣甲、项链</t>
  </si>
  <si>
    <t>10级猫眼石</t>
  </si>
  <si>
    <t>10级黑宝石</t>
  </si>
  <si>
    <t>效果：速度+80</t>
  </si>
  <si>
    <t>镶嵌：80级以上腰带、鞋</t>
  </si>
  <si>
    <t>10级茶晶石</t>
  </si>
  <si>
    <t>10级昆仑玉</t>
  </si>
  <si>
    <t>效果：治疗强度+80</t>
  </si>
  <si>
    <t>镶嵌：80级以上武器、衣甲</t>
  </si>
  <si>
    <t>10级红宝石</t>
  </si>
  <si>
    <t>10级红纹石</t>
  </si>
  <si>
    <t>效果：封印命中+60</t>
  </si>
  <si>
    <t>镶嵌：80级以上武器</t>
  </si>
  <si>
    <t>10级蓝宝石</t>
  </si>
  <si>
    <t>10级神秘石</t>
  </si>
  <si>
    <t>效果：抵抗封印+40</t>
  </si>
  <si>
    <t>没做</t>
  </si>
  <si>
    <t>宝石捶</t>
  </si>
  <si>
    <t>合成道具</t>
  </si>
  <si>
    <t>功能：提升合宝石成功率</t>
  </si>
  <si>
    <t>不知哪路神仙施以妙法的锤子，非常神奇，可以用来合成高级宝石</t>
  </si>
  <si>
    <t>商城（288仙玉/1个）</t>
  </si>
  <si>
    <t>40013</t>
  </si>
  <si>
    <t>150</t>
  </si>
  <si>
    <t>修理宝石</t>
  </si>
  <si>
    <t>珍珠</t>
  </si>
  <si>
    <t>修理材料</t>
  </si>
  <si>
    <t>功能：补充装备耐久</t>
  </si>
  <si>
    <t>光彩夺目，经营圆润，是呈送御前的不二之选。可以为神兵利器补充耐久度。</t>
  </si>
  <si>
    <t>商城（10仙玉/1个）</t>
  </si>
  <si>
    <t>残缺的洗炼石</t>
  </si>
  <si>
    <t>洗炼碎片</t>
  </si>
  <si>
    <t>集齐5个合成1个60级洗炼石，可以随机重置不高于60级珍品装备的特技</t>
  </si>
  <si>
    <t>集齐5个合成1个70级洗炼石，可以随机重置不高于60级珍品装备的特技</t>
  </si>
  <si>
    <t>集齐5个合成1个80级洗炼石，可以随机重置不高于60级珍品装备的特技</t>
  </si>
  <si>
    <t>集齐5个合成1个90级洗炼石，可以随机重置不高于60级珍品装备的特技</t>
  </si>
  <si>
    <t>集齐5个合成1个100级洗炼石，可以随机重置不高于60级珍品装备的特技</t>
  </si>
  <si>
    <t>宠物养成</t>
  </si>
  <si>
    <t>营养套餐</t>
  </si>
  <si>
    <t>小壶月华露</t>
  </si>
  <si>
    <t>宠物道具</t>
  </si>
  <si>
    <t>功能：增加宠物经验</t>
  </si>
  <si>
    <t>服用后可增加宠物50000经验。</t>
  </si>
  <si>
    <t>高级营养套餐</t>
  </si>
  <si>
    <t>月华露</t>
  </si>
  <si>
    <t>服用后可增加宠物500000经验。</t>
  </si>
  <si>
    <t>资质影砂</t>
  </si>
  <si>
    <t>资质培养丹</t>
  </si>
  <si>
    <t>功能：增加宠物资质</t>
  </si>
  <si>
    <t>可提升宠物的资质</t>
  </si>
  <si>
    <t>兽王纲要</t>
  </si>
  <si>
    <t>炼兽珍经</t>
  </si>
  <si>
    <t>功能：增加宠物成长</t>
  </si>
  <si>
    <t>可以提升宠物的成长</t>
  </si>
  <si>
    <t>33</t>
  </si>
  <si>
    <t>太阳井水</t>
  </si>
  <si>
    <t>金柳露</t>
  </si>
  <si>
    <t>宠物洗炼材料</t>
  </si>
  <si>
    <t>要求：35级后可使用</t>
  </si>
  <si>
    <t>难得的仙露，有着令万物回归到原始状态的奇效，可以重置宠物的资质和技能。</t>
  </si>
  <si>
    <t>永恒井水</t>
  </si>
  <si>
    <t>净瓶玉露</t>
  </si>
  <si>
    <t>拥有神奇的效果，可以重置变异宠物的资质和技能。</t>
  </si>
  <si>
    <t>宠物零食</t>
  </si>
  <si>
    <t>宠物口粮</t>
  </si>
  <si>
    <t>功能：增加宠物寿命</t>
  </si>
  <si>
    <t>美味的口粮，宠物非常喜欢的食物，可以增加宠物100点寿命。</t>
  </si>
  <si>
    <t>暴击</t>
  </si>
  <si>
    <t>必杀</t>
  </si>
  <si>
    <t>宠物技能学习</t>
  </si>
  <si>
    <t>物理攻击时暴击概率增加10%</t>
  </si>
  <si>
    <t>藏宝图</t>
  </si>
  <si>
    <t>连击</t>
  </si>
  <si>
    <t>45%的几率连续两次普通物理攻击，拥有此技能物理伤害结果会降低25%</t>
  </si>
  <si>
    <t>强力</t>
  </si>
  <si>
    <t>提升宠物少量的物理攻击力，如果对方有防御或高级防御技能，物理伤害结果会减少20%</t>
  </si>
  <si>
    <t>穿刺</t>
  </si>
  <si>
    <t>突进</t>
  </si>
  <si>
    <t>物理攻击时忽视对方少量的物理防御</t>
  </si>
  <si>
    <t>偷袭</t>
  </si>
  <si>
    <t>物理攻击不会受到反击和反震，并提高宠物5%的物理伤害结果</t>
  </si>
  <si>
    <t>法术暴击</t>
  </si>
  <si>
    <t>法术攻击时暴击概率增加10%</t>
  </si>
  <si>
    <t>法术连击</t>
  </si>
  <si>
    <t>法术攻击时，有20%概率发动第二次攻击，伤害是第一次的一半</t>
  </si>
  <si>
    <t>法术波动</t>
  </si>
  <si>
    <t>每次法术攻击伤害结果在80%至120%之间波动</t>
  </si>
  <si>
    <t>魔之心</t>
  </si>
  <si>
    <t>对敌人的法术伤害结果提高10%</t>
  </si>
  <si>
    <t>法术穿刺</t>
  </si>
  <si>
    <t>会心</t>
  </si>
  <si>
    <t>法术攻击时忽视对方少量的法术防御</t>
  </si>
  <si>
    <t>冥思</t>
  </si>
  <si>
    <t>战斗中，每回合结束时恢复等级*0.3点魔法</t>
  </si>
  <si>
    <t>吸血</t>
  </si>
  <si>
    <t>物理攻击时，吸收对方所掉血气的20%</t>
  </si>
  <si>
    <t>回春</t>
  </si>
  <si>
    <t>再生</t>
  </si>
  <si>
    <t>战斗中，每回合自动恢复等级*0.8的血气</t>
  </si>
  <si>
    <t>凤凰之心</t>
  </si>
  <si>
    <t>神佑复生</t>
  </si>
  <si>
    <t>当宠物死亡时，有20%概率复活为最大血气的60%</t>
  </si>
  <si>
    <t>格挡</t>
  </si>
  <si>
    <t>招架</t>
  </si>
  <si>
    <t>受到物理伤害时，有20%概率减免30%的伤害结果</t>
  </si>
  <si>
    <t>反弹</t>
  </si>
  <si>
    <t>反震</t>
  </si>
  <si>
    <t>受到物理攻击时有30%进行反震，反震伤害结果等于自己受到的伤害结果的25%</t>
  </si>
  <si>
    <t>神迹</t>
  </si>
  <si>
    <t>回合开始时，解除所有异常状态</t>
  </si>
  <si>
    <t>反击</t>
  </si>
  <si>
    <t>受到普通物理攻击时有30%几率自动反击，反击的伤害是正常伤害的一半</t>
  </si>
  <si>
    <t>灵敏</t>
  </si>
  <si>
    <t>敏捷</t>
  </si>
  <si>
    <t>自身速度增加10%</t>
  </si>
  <si>
    <t>强壮</t>
  </si>
  <si>
    <t>宠物气血上限提升10%</t>
  </si>
  <si>
    <t>防御</t>
  </si>
  <si>
    <t>提升等级*0.8的物理防御，但法术伤害结果会降低10%</t>
  </si>
  <si>
    <t>固法</t>
  </si>
  <si>
    <t>提升等级*0.8的法术防御，但物理伤害结果会降低10%</t>
  </si>
  <si>
    <t>幸运</t>
  </si>
  <si>
    <t>被物理攻击时，被暴击的概率降低10%</t>
  </si>
  <si>
    <t>迟钝</t>
  </si>
  <si>
    <t>减少自身速度的20%</t>
  </si>
  <si>
    <t>火元素吸收</t>
  </si>
  <si>
    <t>雷属性吸收</t>
  </si>
  <si>
    <t>有30%概率吸收雷属性的法术伤害，并恢复对应的气血</t>
  </si>
  <si>
    <t>水元素吸收</t>
  </si>
  <si>
    <t>土属性吸收</t>
  </si>
  <si>
    <t>有30%概率吸收土属性的法术伤害，并恢复对应的气血</t>
  </si>
  <si>
    <t>土元素吸收</t>
  </si>
  <si>
    <t>水属性吸收</t>
  </si>
  <si>
    <t>有30%概率吸收水属性的法术伤害，并恢复对应的气血</t>
  </si>
  <si>
    <t>雷元素吸收</t>
  </si>
  <si>
    <t>火属性吸收</t>
  </si>
  <si>
    <t>有30%概率吸收火属性的法术伤害，并恢复对应的气血</t>
  </si>
  <si>
    <t>不死亡魂</t>
  </si>
  <si>
    <t>鬼魂</t>
  </si>
  <si>
    <t>死亡5回合后自动复活，不受任何状态影响，但也不能使用药品和主动技能恢复气血</t>
  </si>
  <si>
    <t>驱魔</t>
  </si>
  <si>
    <t>驱鬼</t>
  </si>
  <si>
    <t>对有鬼魂、高级鬼魂技能的目标，物理、法术伤害效果增加50%；如果将有鬼魂、高级鬼魂的目标打死，则对方将飞出场外而不能复活</t>
  </si>
  <si>
    <t>潜行</t>
  </si>
  <si>
    <t>隐身</t>
  </si>
  <si>
    <t>自动附加隐身法术2~3回合，隐身状态下物理攻击能力会降低20%，且无法使用法术</t>
  </si>
  <si>
    <t>夜枭感知</t>
  </si>
  <si>
    <t>感知</t>
  </si>
  <si>
    <t>无视敌方的隐身状态</t>
  </si>
  <si>
    <t>永恒</t>
  </si>
  <si>
    <t>受到的增益状态时持续回合加倍</t>
  </si>
  <si>
    <t>精神集中</t>
  </si>
  <si>
    <t>可以抵御封类异常状态，但自己的物理攻击效果也会降低20%</t>
  </si>
  <si>
    <t>瘟疫</t>
  </si>
  <si>
    <t>追击</t>
  </si>
  <si>
    <t>溅射</t>
  </si>
  <si>
    <t>高级暴击</t>
  </si>
  <si>
    <t>高级必杀</t>
  </si>
  <si>
    <t>物理攻击时暴击概率增加20%</t>
  </si>
  <si>
    <t>高级连击</t>
  </si>
  <si>
    <t>55%的几率连续两次普通物理攻击，拥有此技能物理伤害结果会降低20%</t>
  </si>
  <si>
    <t>高级强力</t>
  </si>
  <si>
    <t>提升宠物一定的物理攻击力，如果对方有防御或高级防御技能，物理伤害结果会减少20%</t>
  </si>
  <si>
    <t>高级穿刺</t>
  </si>
  <si>
    <t>高级突进</t>
  </si>
  <si>
    <t>物理攻击时忽视对方一定的物理防御</t>
  </si>
  <si>
    <t>高级偷袭</t>
  </si>
  <si>
    <t>物理攻击不会受到反击和反震，并提高宠物10%的物理伤害结果</t>
  </si>
  <si>
    <t>高级法术暴击</t>
  </si>
  <si>
    <t>法术攻击时暴击概率增加15%</t>
  </si>
  <si>
    <t>高级法术连击</t>
  </si>
  <si>
    <t>法术攻击时，有30%概率发动第二次攻击，伤害是第一次的50%</t>
  </si>
  <si>
    <t>高级法术波动</t>
  </si>
  <si>
    <t>每次法术攻击伤害结果在50%至150%之间波动</t>
  </si>
  <si>
    <t>高级魔之心</t>
  </si>
  <si>
    <t>对敌人的法术伤害结果提高20%</t>
  </si>
  <si>
    <t>高级法术穿刺</t>
  </si>
  <si>
    <t>高级会心</t>
  </si>
  <si>
    <t>法术攻击时忽视对方一定的法术防御</t>
  </si>
  <si>
    <t>高级冥思</t>
  </si>
  <si>
    <t>战斗中，每回合结束时恢复等级*0.5点魔法</t>
  </si>
  <si>
    <t>高级吸血</t>
  </si>
  <si>
    <t>物理攻击时，吸收对方所掉血气的30%</t>
  </si>
  <si>
    <t>高级回春</t>
  </si>
  <si>
    <t>高级再生</t>
  </si>
  <si>
    <t>战斗中，每回合自动恢复等级*1.5的血气</t>
  </si>
  <si>
    <t>高级凤凰之心</t>
  </si>
  <si>
    <t>高级神佑复生</t>
  </si>
  <si>
    <t>当宠物死亡时，有30%概率满血复活</t>
  </si>
  <si>
    <t>高级格挡</t>
  </si>
  <si>
    <t>高级招架</t>
  </si>
  <si>
    <t>受到物理伤害时，有30%概率减免30%的伤害结果</t>
  </si>
  <si>
    <t>高级反弹</t>
  </si>
  <si>
    <t>高级反震</t>
  </si>
  <si>
    <t>受到物理攻击时有30%进行反震，反震伤害等于自己受到伤害的一半</t>
  </si>
  <si>
    <t>高级神迹</t>
  </si>
  <si>
    <t>不受到任何负面状态，包括毒，封印和负面状态</t>
  </si>
  <si>
    <t>高级反击</t>
  </si>
  <si>
    <t>受到普通物理攻击时有30%几率自动反击，反击的伤害为正常伤害</t>
  </si>
  <si>
    <t>高级灵敏</t>
  </si>
  <si>
    <t>高级敏捷</t>
  </si>
  <si>
    <t>宠物速度增加20%</t>
  </si>
  <si>
    <t>高级强壮</t>
  </si>
  <si>
    <t>宠物气血上限提升20%</t>
  </si>
  <si>
    <t>高级防御</t>
  </si>
  <si>
    <t>提升等级*1.2的物理防御，但法术伤害结果会降低10%</t>
  </si>
  <si>
    <t>高级固法</t>
  </si>
  <si>
    <t>提升等级*1.2的法术防御，但物理伤害结果会降低10%</t>
  </si>
  <si>
    <t>高级幸运</t>
  </si>
  <si>
    <t>被物理攻击时，被暴击的概率降低20%</t>
  </si>
  <si>
    <t>高级迟钝</t>
  </si>
  <si>
    <t>高级火元素吸收</t>
  </si>
  <si>
    <t>高级火属性吸收</t>
  </si>
  <si>
    <t>有30%概率吸收火属性的法术伤害，并恢复对应的气血；吸收失败也可减少火属性法术伤害的30%</t>
  </si>
  <si>
    <t>高级水元素吸收</t>
  </si>
  <si>
    <t>高级水属性吸收</t>
  </si>
  <si>
    <t>有30%概率吸收水属性的法术伤害，并恢复对应的气血；吸收失败也可减少水属性法术伤害的30%</t>
  </si>
  <si>
    <t>高级土元素吸收</t>
  </si>
  <si>
    <t>高级土属性吸收</t>
  </si>
  <si>
    <t>有30%概率吸收土属性的法术伤害，并恢复对应的气血；吸收失败也可减少土属性法术伤害的30%</t>
  </si>
  <si>
    <t>高级雷元素吸收</t>
  </si>
  <si>
    <t>高级雷属性吸收</t>
  </si>
  <si>
    <t>有30%概率吸收雷属性的法术伤害，并恢复对应的气血；吸收失败也可减少雷属性法术伤害的30%</t>
  </si>
  <si>
    <t>高级不死亡魂</t>
  </si>
  <si>
    <t>高级鬼魂</t>
  </si>
  <si>
    <t>死亡5回合后自动复活，不受异常状态影响</t>
  </si>
  <si>
    <t>高级驱魔</t>
  </si>
  <si>
    <t>高级驱鬼</t>
  </si>
  <si>
    <t>对鬼魂类怪物的物理、法术伤害效果加倍，如果将有鬼魂类怪物打死，对方将飞出场外而不能复活</t>
  </si>
  <si>
    <t>高级潜行</t>
  </si>
  <si>
    <t>高级隐身</t>
  </si>
  <si>
    <t>自动附加隐身法术2~3回合，隐身状态下物理攻击能力会降低15%，且无法使用法术</t>
  </si>
  <si>
    <t>高级夜枭感知</t>
  </si>
  <si>
    <t>高级感知</t>
  </si>
  <si>
    <t>无视敌方的隐身状态，并且有10%概率减免30%的物理伤害</t>
  </si>
  <si>
    <t>高级永恒</t>
  </si>
  <si>
    <t>受到的增益状态时持续回合增加为原来的4倍</t>
  </si>
  <si>
    <t>高级精神集中</t>
  </si>
  <si>
    <t>可以抵御封类异常状态，有10%概率减免30%的物理伤害，但物理攻击能力会降低20%</t>
  </si>
  <si>
    <t>高级瘟疫</t>
  </si>
  <si>
    <t>高级追击</t>
  </si>
  <si>
    <t>高级溅射</t>
  </si>
  <si>
    <t>烈火</t>
  </si>
  <si>
    <t>雷击</t>
  </si>
  <si>
    <t>雷系单体法术，同时有10%概率驱除对方的一项增益状态</t>
  </si>
  <si>
    <t>霜冻</t>
  </si>
  <si>
    <t>落岩</t>
  </si>
  <si>
    <t>土系单体法术，同时有10%概率降低对方速度5%，持续3回合</t>
  </si>
  <si>
    <t>陨石</t>
  </si>
  <si>
    <t>水攻</t>
  </si>
  <si>
    <t>水系单体法术，同时有10%概率降低对方物理和法术攻击力3%，持续3回合</t>
  </si>
  <si>
    <t>火系单体法术，同时有10%概率降低对方物理和法术防御力5%，持续3回合</t>
  </si>
  <si>
    <t>地狱烈火</t>
  </si>
  <si>
    <t>火系群体法术，同时有5%概率降低对方物理和法术防御力5%，持续3回合</t>
  </si>
  <si>
    <t>霜冻新星</t>
  </si>
  <si>
    <t>水漫金山</t>
  </si>
  <si>
    <t>水系群体法术，同时有5%概率降低对方无理和法术攻击力3%，持续3回合</t>
  </si>
  <si>
    <t>天崩地裂</t>
  </si>
  <si>
    <t>泰山压顶</t>
  </si>
  <si>
    <t>土系群体法术，同时有5%概率降低对方速度5%，持续3回合</t>
  </si>
  <si>
    <t>雷神之怒</t>
  </si>
  <si>
    <t>奔雷咒</t>
  </si>
  <si>
    <t>雷系群体法术，同时有5%概率驱除对方的一项增益状态</t>
  </si>
  <si>
    <t>壁垒击破</t>
  </si>
  <si>
    <t>附加等级*2的物理伤害结果，若目标防御，则会受到更大的伤害结果</t>
  </si>
  <si>
    <t>剑舞</t>
  </si>
  <si>
    <t>剑荡四方</t>
  </si>
  <si>
    <t>使用时可攻击多人。指定的目标受到一定伤害，并造成其他任意两个目标少量伤害</t>
  </si>
  <si>
    <t>舍命击</t>
  </si>
  <si>
    <t>舍身击</t>
  </si>
  <si>
    <t>攻击时提高10%的物理攻击力，同时物理和法术防御降低20%，持续2回合</t>
  </si>
  <si>
    <t>散失之刃</t>
  </si>
  <si>
    <t>惊心一剑</t>
  </si>
  <si>
    <t>使用时，可以在造成物理伤害同时消耗对方少量的魔法值，但物理伤害结果会降低10%</t>
  </si>
  <si>
    <t>英勇打击</t>
  </si>
  <si>
    <t>力劈华山</t>
  </si>
  <si>
    <t>发动攻击时，对方的物理伤害力越低，受到的伤害越高</t>
  </si>
  <si>
    <t>灵魂禁锢</t>
  </si>
  <si>
    <t>死亡召唤</t>
  </si>
  <si>
    <t>攻击时有30%使敌人附加死亡禁锢效果，效果持续3回合</t>
  </si>
  <si>
    <t>法力燃烧</t>
  </si>
  <si>
    <t>三羊开泰</t>
  </si>
  <si>
    <t>源于上古的秘法，施展群体法术攻击3个单位，攻击同时消耗对方的魔法值，在非玩家对战中还可以将对方损失的魔法值汲取给主人使用</t>
  </si>
  <si>
    <t>法术否定</t>
  </si>
  <si>
    <t>法术防御</t>
  </si>
  <si>
    <t>极强的法术防御技能。可以防御魔法攻击，减少魔法伤害结果60%，持续回合数为4，只允许对自身使用</t>
  </si>
  <si>
    <t>洞察</t>
  </si>
  <si>
    <t>普通物理攻击时，临时提升“目标物理防御-目标物理伤害”的物理伤害，最少附加1点（对怪物则最少附加自身等级*2点），最多附加自身等级*4点</t>
  </si>
  <si>
    <t>抓鬼</t>
  </si>
  <si>
    <t>阵法养成</t>
  </si>
  <si>
    <t>360000</t>
  </si>
  <si>
    <t>262</t>
  </si>
  <si>
    <t>光环卷轴碎片</t>
  </si>
  <si>
    <t>阵法残卷</t>
  </si>
  <si>
    <t>阵法道具</t>
  </si>
  <si>
    <t>功能：合成阵法书</t>
  </si>
  <si>
    <t>残破的阵法书页，集齐5页后加以修缮，即可成为阵法书传世</t>
  </si>
  <si>
    <t>武勋值兑换（400/1张）</t>
  </si>
  <si>
    <t>360001</t>
  </si>
  <si>
    <t>278</t>
  </si>
  <si>
    <t>命令光环卷轴</t>
  </si>
  <si>
    <t>天覆阵</t>
  </si>
  <si>
    <t>阵法书</t>
  </si>
  <si>
    <t>功能：提升阵法等级</t>
  </si>
  <si>
    <t>正南看北斗，如今天翻地覆。天覆阵起于战乱，拥有强大的攻击力</t>
  </si>
  <si>
    <t>三界奇缘</t>
  </si>
  <si>
    <r>
      <rPr>
        <sz val="10"/>
        <rFont val="Arial"/>
        <family val="2"/>
      </rPr>
      <t>360002</t>
    </r>
  </si>
  <si>
    <t>专注光环卷轴</t>
  </si>
  <si>
    <t>地载阵</t>
  </si>
  <si>
    <t>地势坤，厚德载物。地载阵应运而生，以强大的防御能力出名</t>
  </si>
  <si>
    <t>登陆奖励</t>
  </si>
  <si>
    <r>
      <rPr>
        <sz val="10"/>
        <rFont val="Arial"/>
        <family val="2"/>
      </rPr>
      <t>360003</t>
    </r>
  </si>
  <si>
    <t>风怒光环卷轴</t>
  </si>
  <si>
    <t>风扬阵</t>
  </si>
  <si>
    <t>大风起兮云飞扬，猛士守四方。风扬阵以速度和力量见长，颇得将士喜爱</t>
  </si>
  <si>
    <r>
      <rPr>
        <sz val="10"/>
        <rFont val="Arial"/>
        <family val="2"/>
      </rPr>
      <t>360004</t>
    </r>
  </si>
  <si>
    <t>惩戒光环卷轴</t>
  </si>
  <si>
    <t>云垂阵</t>
  </si>
  <si>
    <t>暮霭沉沉，暗云垂地。云垂阵杀气内敛，颇有山雨欲来风满楼之感</t>
  </si>
  <si>
    <r>
      <rPr>
        <sz val="10"/>
        <rFont val="Arial"/>
        <family val="2"/>
      </rPr>
      <t>360005</t>
    </r>
  </si>
  <si>
    <t>自然光环卷轴</t>
  </si>
  <si>
    <t>龙飞阵</t>
  </si>
  <si>
    <t>龙欲奋飞，直上青霄。龙飞阵在善于用兵者手中，可发挥巨大潜能</t>
  </si>
  <si>
    <r>
      <rPr>
        <sz val="10"/>
        <rFont val="Arial"/>
        <family val="2"/>
      </rPr>
      <t>360006</t>
    </r>
  </si>
  <si>
    <t>潮汐光环卷轴</t>
  </si>
  <si>
    <t>虎翼阵</t>
  </si>
  <si>
    <t>将能执兵之权，操兵之势，而临群下，譬如猛虎添翼，翱翔四海</t>
  </si>
  <si>
    <r>
      <rPr>
        <sz val="10"/>
        <rFont val="Arial"/>
        <family val="2"/>
      </rPr>
      <t>360007</t>
    </r>
  </si>
  <si>
    <t>拯救光环卷轴</t>
  </si>
  <si>
    <t>鸟翔阵</t>
  </si>
  <si>
    <t>海阔凭鱼跃，天高任鸟飞。高速加成的鸟翔阵，提供了无限可能</t>
  </si>
  <si>
    <r>
      <rPr>
        <sz val="10"/>
        <rFont val="Arial"/>
        <family val="2"/>
      </rPr>
      <t>360008</t>
    </r>
  </si>
  <si>
    <t>迅捷光环卷轴</t>
  </si>
  <si>
    <t>蛇蟠阵</t>
  </si>
  <si>
    <t>枯藤怪石，巨蟒盘结。蛇蟠阵凭借杰出的法术防御能力为众人所知</t>
  </si>
  <si>
    <r>
      <rPr>
        <sz val="10"/>
        <rFont val="Arial"/>
        <family val="2"/>
      </rPr>
      <t>360009</t>
    </r>
  </si>
  <si>
    <t>邪恶光环卷轴</t>
  </si>
  <si>
    <t>鹰啸阵</t>
  </si>
  <si>
    <t>七月流火，九月鹰飞。长空呼啸而下的苍鹰，是速与力的完美体现</t>
  </si>
  <si>
    <r>
      <rPr>
        <sz val="10"/>
        <rFont val="Arial"/>
        <family val="2"/>
      </rPr>
      <t>360010</t>
    </r>
  </si>
  <si>
    <t>信念光环卷轴</t>
  </si>
  <si>
    <t>雷绝阵</t>
  </si>
  <si>
    <t>冬雷震震，不绝于空。拥有抗封能力的雷绝阵，最擅长面对封系</t>
  </si>
  <si>
    <t>附魔道具</t>
  </si>
  <si>
    <t>331201</t>
  </si>
  <si>
    <r>
      <rPr>
        <sz val="10"/>
        <rFont val="Arial"/>
        <family val="2"/>
      </rPr>
      <t>358</t>
    </r>
  </si>
  <si>
    <t>生命附魔卷轴</t>
  </si>
  <si>
    <t>331202</t>
  </si>
  <si>
    <t>物攻附魔卷轴</t>
  </si>
  <si>
    <t>331203</t>
  </si>
  <si>
    <t>法攻附魔卷轴</t>
  </si>
  <si>
    <t>331204</t>
  </si>
  <si>
    <t>物防附魔卷轴</t>
  </si>
  <si>
    <t>331205</t>
  </si>
  <si>
    <t>法防附魔卷轴</t>
  </si>
  <si>
    <t>331206</t>
  </si>
  <si>
    <t>愤怒附魔卷轴</t>
  </si>
  <si>
    <t>331207</t>
  </si>
  <si>
    <t>治疗附魔卷轴</t>
  </si>
  <si>
    <t>331208</t>
  </si>
  <si>
    <t>控制附魔卷轴</t>
  </si>
  <si>
    <t>331209</t>
  </si>
  <si>
    <t>速度附魔卷轴</t>
  </si>
  <si>
    <t>帮派</t>
  </si>
  <si>
    <t>黄庭经</t>
  </si>
  <si>
    <t>帮派道具</t>
  </si>
  <si>
    <t>功能：上交玄武堂总管</t>
  </si>
  <si>
    <t>将此书上交给帮派玄武堂总管，可以获得帮贡等奖励</t>
  </si>
  <si>
    <t>其它</t>
  </si>
  <si>
    <t>331300</t>
  </si>
  <si>
    <t>118</t>
  </si>
  <si>
    <t>坐标：地图名称（X，Y）</t>
  </si>
  <si>
    <t>司空见惯的藏宝图，能挖出来什么谁也不知道</t>
  </si>
  <si>
    <r>
      <rPr>
        <sz val="10"/>
        <rFont val="Arial"/>
        <family val="2"/>
      </rPr>
      <t>331301</t>
    </r>
  </si>
  <si>
    <r>
      <rPr>
        <sz val="10"/>
        <rFont val="Arial"/>
        <family val="2"/>
      </rPr>
      <t>198</t>
    </r>
  </si>
  <si>
    <t>高级藏宝图</t>
  </si>
  <si>
    <t>331350</t>
  </si>
  <si>
    <t>374</t>
  </si>
  <si>
    <t>时空龙鳞</t>
  </si>
  <si>
    <t>金刚石</t>
  </si>
  <si>
    <t>五宝</t>
  </si>
  <si>
    <t>兑换高级藏宝图</t>
  </si>
  <si>
    <t>最坚硬美丽的宝石，传说中的五宝之一。集齐五宝获得高级藏宝图</t>
  </si>
  <si>
    <t>331351</t>
  </si>
  <si>
    <t>大地龙鳞</t>
  </si>
  <si>
    <t>定魂珠</t>
  </si>
  <si>
    <t>可以用来寻找失散在人间的鬼魂的奇妙宝珠，传说中的五宝之一。集齐五宝获得高级藏宝图</t>
  </si>
  <si>
    <t>331352</t>
  </si>
  <si>
    <t>魔法龙鳞</t>
  </si>
  <si>
    <t>夜光珠</t>
  </si>
  <si>
    <t>能够在夜里发光的明珠，传说中的五宝之一。集齐五宝获得高级藏宝图</t>
  </si>
  <si>
    <t>331353</t>
  </si>
  <si>
    <t>生命龙鳞</t>
  </si>
  <si>
    <t>龙鳞</t>
  </si>
  <si>
    <t>龙族下颚的鳞，愤怒和威力的象征，传说中的五宝之一。集齐五宝获得高级藏宝图</t>
  </si>
  <si>
    <t>331354</t>
  </si>
  <si>
    <t>梦境龙鳞</t>
  </si>
  <si>
    <t>避水珠</t>
  </si>
  <si>
    <t>用这件宝物，不熟水性之人也可以去到深海底，传说中的五宝之一。集齐五宝获得高级藏宝图</t>
  </si>
  <si>
    <t>玫瑰花</t>
  </si>
  <si>
    <t>礼物</t>
  </si>
  <si>
    <t>赠送小伙伴</t>
  </si>
  <si>
    <t>热情的花朵，赠予互加好友的异性好友可以增加99点好友度，但不能突破3000好友度</t>
  </si>
  <si>
    <t>商城（40仙玉/1个）</t>
  </si>
  <si>
    <t>金兰花</t>
  </si>
  <si>
    <t>339000</t>
  </si>
  <si>
    <t>4534</t>
  </si>
  <si>
    <t>染色石</t>
  </si>
  <si>
    <t>花豆</t>
  </si>
  <si>
    <t>人物染色材料</t>
  </si>
  <si>
    <t>要求：20级后可以使用</t>
  </si>
  <si>
    <t>漂亮的七彩豆，是常用的颜料，可以改变人物头发和服饰的颜色，每粒代表1个颜料</t>
  </si>
  <si>
    <t>339001</t>
  </si>
  <si>
    <t>蜃楼石</t>
  </si>
  <si>
    <t>彩果</t>
  </si>
  <si>
    <t>漂亮的七彩果，是非常难得的颜料，能够将人物头发和服饰染成特殊的颜色</t>
  </si>
  <si>
    <t>339002</t>
  </si>
  <si>
    <t>4550</t>
  </si>
  <si>
    <t>梦魇染料</t>
  </si>
  <si>
    <t>幻色丹</t>
  </si>
  <si>
    <t>宠物染色材料</t>
  </si>
  <si>
    <t>神奇的灵丹，使用后可以让您的宠物变出不同的色彩</t>
  </si>
  <si>
    <t>神兜兜</t>
  </si>
  <si>
    <t>兑换超级神兽</t>
  </si>
  <si>
    <t>攒齐99个兑换</t>
  </si>
  <si>
    <t>三界之内的神兽们最喜欢的玩具，积攒99个，神兽就会跟你回家哦</t>
  </si>
  <si>
    <t>不是道具</t>
  </si>
  <si>
    <t>地王令</t>
  </si>
  <si>
    <t>天王令</t>
  </si>
  <si>
    <t>队长礼盒</t>
  </si>
  <si>
    <t>打包好的道具类型</t>
  </si>
  <si>
    <r>
      <rPr>
        <b/>
        <sz val="10"/>
        <rFont val="Arial"/>
        <family val="2"/>
      </rPr>
      <t>名称</t>
    </r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</si>
  <si>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</t>
    </r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</si>
  <si>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</t>
    </r>
    <r>
      <rPr>
        <b/>
        <sz val="10"/>
        <rFont val="宋体"/>
        <family val="3"/>
        <charset val="134"/>
      </rPr>
      <t>权重</t>
    </r>
  </si>
  <si>
    <t>物品id2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</si>
  <si>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</t>
    </r>
    <r>
      <rPr>
        <b/>
        <sz val="10"/>
        <rFont val="宋体"/>
        <family val="3"/>
        <charset val="134"/>
      </rPr>
      <t>权重</t>
    </r>
  </si>
  <si>
    <t>物品id3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</si>
  <si>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</t>
    </r>
    <r>
      <rPr>
        <b/>
        <sz val="10"/>
        <rFont val="宋体"/>
        <family val="3"/>
        <charset val="134"/>
      </rPr>
      <t>权重</t>
    </r>
  </si>
  <si>
    <t>物品id4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</si>
  <si>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</t>
    </r>
    <r>
      <rPr>
        <b/>
        <sz val="10"/>
        <rFont val="宋体"/>
        <family val="3"/>
        <charset val="134"/>
      </rPr>
      <t>权重</t>
    </r>
  </si>
  <si>
    <t>物品id5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</si>
  <si>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</t>
    </r>
    <r>
      <rPr>
        <b/>
        <sz val="10"/>
        <rFont val="宋体"/>
        <family val="3"/>
        <charset val="134"/>
      </rPr>
      <t>权重</t>
    </r>
  </si>
  <si>
    <t>物品id6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</si>
  <si>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id6</t>
    </r>
    <r>
      <rPr>
        <b/>
        <sz val="10"/>
        <rFont val="宋体"/>
        <family val="3"/>
        <charset val="134"/>
      </rPr>
      <t>权重</t>
    </r>
  </si>
  <si>
    <t>物品id7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</si>
  <si>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id7</t>
    </r>
    <r>
      <rPr>
        <b/>
        <sz val="10"/>
        <rFont val="宋体"/>
        <family val="3"/>
        <charset val="134"/>
      </rPr>
      <t>权重</t>
    </r>
  </si>
  <si>
    <t>物品id8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</si>
  <si>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id8</t>
    </r>
    <r>
      <rPr>
        <b/>
        <sz val="10"/>
        <rFont val="宋体"/>
        <family val="3"/>
        <charset val="134"/>
      </rPr>
      <t>权重</t>
    </r>
  </si>
  <si>
    <t>物品id9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</si>
  <si>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id9</t>
    </r>
    <r>
      <rPr>
        <b/>
        <sz val="10"/>
        <rFont val="宋体"/>
        <family val="3"/>
        <charset val="134"/>
      </rPr>
      <t>权重</t>
    </r>
  </si>
  <si>
    <t>物品id10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</si>
  <si>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id10</t>
    </r>
    <r>
      <rPr>
        <b/>
        <sz val="10"/>
        <rFont val="宋体"/>
        <family val="3"/>
        <charset val="134"/>
      </rPr>
      <t>权重</t>
    </r>
  </si>
  <si>
    <t>物品id11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</si>
  <si>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id11</t>
    </r>
    <r>
      <rPr>
        <b/>
        <sz val="10"/>
        <rFont val="宋体"/>
        <family val="3"/>
        <charset val="134"/>
      </rPr>
      <t>权重</t>
    </r>
  </si>
  <si>
    <t>物品id12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</si>
  <si>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id12</t>
    </r>
    <r>
      <rPr>
        <b/>
        <sz val="10"/>
        <rFont val="宋体"/>
        <family val="3"/>
        <charset val="134"/>
      </rPr>
      <t>权重</t>
    </r>
  </si>
  <si>
    <t>物品id13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</si>
  <si>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id13</t>
    </r>
    <r>
      <rPr>
        <b/>
        <sz val="10"/>
        <rFont val="宋体"/>
        <family val="3"/>
        <charset val="134"/>
      </rPr>
      <t>权重</t>
    </r>
  </si>
  <si>
    <t>物品id14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</si>
  <si>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id14</t>
    </r>
    <r>
      <rPr>
        <b/>
        <sz val="10"/>
        <rFont val="宋体"/>
        <family val="3"/>
        <charset val="134"/>
      </rPr>
      <t>权重</t>
    </r>
  </si>
  <si>
    <t>物品id15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</si>
  <si>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id15</t>
    </r>
    <r>
      <rPr>
        <b/>
        <sz val="10"/>
        <rFont val="宋体"/>
        <family val="3"/>
        <charset val="134"/>
      </rPr>
      <t>权重</t>
    </r>
  </si>
  <si>
    <t>物品id16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</si>
  <si>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id16</t>
    </r>
    <r>
      <rPr>
        <b/>
        <sz val="10"/>
        <rFont val="宋体"/>
        <family val="3"/>
        <charset val="134"/>
      </rPr>
      <t>权重</t>
    </r>
  </si>
  <si>
    <t>物品id17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</si>
  <si>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id17</t>
    </r>
    <r>
      <rPr>
        <b/>
        <sz val="10"/>
        <rFont val="宋体"/>
        <family val="3"/>
        <charset val="134"/>
      </rPr>
      <t>权重</t>
    </r>
  </si>
  <si>
    <t>物品id18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</si>
  <si>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id18</t>
    </r>
    <r>
      <rPr>
        <b/>
        <sz val="10"/>
        <rFont val="宋体"/>
        <family val="3"/>
        <charset val="134"/>
      </rPr>
      <t>权重</t>
    </r>
  </si>
  <si>
    <t>物品id19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</si>
  <si>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id19</t>
    </r>
    <r>
      <rPr>
        <b/>
        <sz val="10"/>
        <rFont val="宋体"/>
        <family val="3"/>
        <charset val="134"/>
      </rPr>
      <t>权重</t>
    </r>
  </si>
  <si>
    <t>物品id20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</si>
  <si>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id20</t>
    </r>
    <r>
      <rPr>
        <b/>
        <sz val="10"/>
        <rFont val="宋体"/>
        <family val="3"/>
        <charset val="134"/>
      </rPr>
      <t>权重</t>
    </r>
  </si>
  <si>
    <t>物品id21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</si>
  <si>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id21</t>
    </r>
    <r>
      <rPr>
        <b/>
        <sz val="10"/>
        <rFont val="宋体"/>
        <family val="3"/>
        <charset val="134"/>
      </rPr>
      <t>权重</t>
    </r>
  </si>
  <si>
    <t>物品id22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</si>
  <si>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id22</t>
    </r>
    <r>
      <rPr>
        <b/>
        <sz val="10"/>
        <rFont val="宋体"/>
        <family val="3"/>
        <charset val="134"/>
      </rPr>
      <t>权重</t>
    </r>
  </si>
  <si>
    <t>物品id23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</si>
  <si>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id23</t>
    </r>
    <r>
      <rPr>
        <b/>
        <sz val="10"/>
        <rFont val="宋体"/>
        <family val="3"/>
        <charset val="134"/>
      </rPr>
      <t>权重</t>
    </r>
  </si>
  <si>
    <t>物品id24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</si>
  <si>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id24</t>
    </r>
    <r>
      <rPr>
        <b/>
        <sz val="10"/>
        <rFont val="宋体"/>
        <family val="3"/>
        <charset val="134"/>
      </rPr>
      <t>权重</t>
    </r>
  </si>
  <si>
    <t>物品id25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</si>
  <si>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id25</t>
    </r>
    <r>
      <rPr>
        <b/>
        <sz val="10"/>
        <rFont val="宋体"/>
        <family val="3"/>
        <charset val="134"/>
      </rPr>
      <t>权重</t>
    </r>
  </si>
  <si>
    <t>物品id26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</si>
  <si>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id26</t>
    </r>
    <r>
      <rPr>
        <b/>
        <sz val="10"/>
        <rFont val="宋体"/>
        <family val="3"/>
        <charset val="134"/>
      </rPr>
      <t>权重</t>
    </r>
  </si>
  <si>
    <t>物品id27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</si>
  <si>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id27</t>
    </r>
    <r>
      <rPr>
        <b/>
        <sz val="10"/>
        <rFont val="宋体"/>
        <family val="3"/>
        <charset val="134"/>
      </rPr>
      <t>权重</t>
    </r>
  </si>
  <si>
    <t>物品id28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</si>
  <si>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id28</t>
    </r>
    <r>
      <rPr>
        <b/>
        <sz val="10"/>
        <rFont val="宋体"/>
        <family val="3"/>
        <charset val="134"/>
      </rPr>
      <t>权重</t>
    </r>
  </si>
  <si>
    <t>物品id29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</si>
  <si>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id29</t>
    </r>
    <r>
      <rPr>
        <b/>
        <sz val="10"/>
        <rFont val="宋体"/>
        <family val="3"/>
        <charset val="134"/>
      </rPr>
      <t>权重</t>
    </r>
  </si>
  <si>
    <t>物品id30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</si>
  <si>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id30</t>
    </r>
    <r>
      <rPr>
        <b/>
        <sz val="10"/>
        <rFont val="宋体"/>
        <family val="3"/>
        <charset val="134"/>
      </rPr>
      <t>权重</t>
    </r>
  </si>
  <si>
    <t>物品id31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</si>
  <si>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id31</t>
    </r>
    <r>
      <rPr>
        <b/>
        <sz val="10"/>
        <rFont val="宋体"/>
        <family val="3"/>
        <charset val="134"/>
      </rPr>
      <t>权重</t>
    </r>
  </si>
  <si>
    <t>物品id32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</si>
  <si>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id32</t>
    </r>
    <r>
      <rPr>
        <b/>
        <sz val="10"/>
        <rFont val="宋体"/>
        <family val="3"/>
        <charset val="134"/>
      </rPr>
      <t>权重</t>
    </r>
  </si>
  <si>
    <t>物品id33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</si>
  <si>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id33</t>
    </r>
    <r>
      <rPr>
        <b/>
        <sz val="10"/>
        <rFont val="宋体"/>
        <family val="3"/>
        <charset val="134"/>
      </rPr>
      <t>权重</t>
    </r>
  </si>
  <si>
    <t>物品id34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</si>
  <si>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id34</t>
    </r>
    <r>
      <rPr>
        <b/>
        <sz val="10"/>
        <rFont val="宋体"/>
        <family val="3"/>
        <charset val="134"/>
      </rPr>
      <t>权重</t>
    </r>
  </si>
  <si>
    <t>物品id35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</si>
  <si>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id35</t>
    </r>
    <r>
      <rPr>
        <b/>
        <sz val="10"/>
        <rFont val="宋体"/>
        <family val="3"/>
        <charset val="134"/>
      </rPr>
      <t>权重</t>
    </r>
  </si>
  <si>
    <t>物品id36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</si>
  <si>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id36</t>
    </r>
    <r>
      <rPr>
        <b/>
        <sz val="10"/>
        <rFont val="宋体"/>
        <family val="3"/>
        <charset val="134"/>
      </rPr>
      <t>权重</t>
    </r>
  </si>
  <si>
    <t>物品id37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</si>
  <si>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id37</t>
    </r>
    <r>
      <rPr>
        <b/>
        <sz val="10"/>
        <rFont val="宋体"/>
        <family val="3"/>
        <charset val="134"/>
      </rPr>
      <t>权重</t>
    </r>
  </si>
  <si>
    <t>物品id38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</si>
  <si>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id38</t>
    </r>
    <r>
      <rPr>
        <b/>
        <sz val="10"/>
        <rFont val="宋体"/>
        <family val="3"/>
        <charset val="134"/>
      </rPr>
      <t>权重</t>
    </r>
  </si>
  <si>
    <t>物品id39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</si>
  <si>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id39</t>
    </r>
    <r>
      <rPr>
        <b/>
        <sz val="10"/>
        <rFont val="宋体"/>
        <family val="3"/>
        <charset val="134"/>
      </rPr>
      <t>权重</t>
    </r>
  </si>
  <si>
    <t>物品id40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</si>
  <si>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id40</t>
    </r>
    <r>
      <rPr>
        <b/>
        <sz val="10"/>
        <rFont val="宋体"/>
        <family val="3"/>
        <charset val="134"/>
      </rPr>
      <t>权重</t>
    </r>
  </si>
  <si>
    <t>物品id41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</si>
  <si>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id41</t>
    </r>
    <r>
      <rPr>
        <b/>
        <sz val="10"/>
        <rFont val="宋体"/>
        <family val="3"/>
        <charset val="134"/>
      </rPr>
      <t>权重</t>
    </r>
  </si>
  <si>
    <t>物品id42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</si>
  <si>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id42</t>
    </r>
    <r>
      <rPr>
        <b/>
        <sz val="10"/>
        <rFont val="宋体"/>
        <family val="3"/>
        <charset val="134"/>
      </rPr>
      <t>权重</t>
    </r>
  </si>
  <si>
    <t>物品id43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</si>
  <si>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id43</t>
    </r>
    <r>
      <rPr>
        <b/>
        <sz val="10"/>
        <rFont val="宋体"/>
        <family val="3"/>
        <charset val="134"/>
      </rPr>
      <t>权重</t>
    </r>
  </si>
  <si>
    <t>物品id44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</si>
  <si>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id44</t>
    </r>
    <r>
      <rPr>
        <b/>
        <sz val="10"/>
        <rFont val="宋体"/>
        <family val="3"/>
        <charset val="134"/>
      </rPr>
      <t>权重</t>
    </r>
  </si>
  <si>
    <t>物品id45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</si>
  <si>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id45</t>
    </r>
    <r>
      <rPr>
        <b/>
        <sz val="10"/>
        <rFont val="宋体"/>
        <family val="3"/>
        <charset val="134"/>
      </rPr>
      <t>权重</t>
    </r>
  </si>
  <si>
    <t>物品id46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</si>
  <si>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id46</t>
    </r>
    <r>
      <rPr>
        <b/>
        <sz val="10"/>
        <rFont val="宋体"/>
        <family val="3"/>
        <charset val="134"/>
      </rPr>
      <t>权重</t>
    </r>
  </si>
  <si>
    <t>物品id47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</si>
  <si>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id47</t>
    </r>
    <r>
      <rPr>
        <b/>
        <sz val="10"/>
        <rFont val="宋体"/>
        <family val="3"/>
        <charset val="134"/>
      </rPr>
      <t>权重</t>
    </r>
  </si>
  <si>
    <t>物品id48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</si>
  <si>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id48</t>
    </r>
    <r>
      <rPr>
        <b/>
        <sz val="10"/>
        <rFont val="宋体"/>
        <family val="3"/>
        <charset val="134"/>
      </rPr>
      <t>权重</t>
    </r>
  </si>
  <si>
    <t>物品id49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</si>
  <si>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id49</t>
    </r>
    <r>
      <rPr>
        <b/>
        <sz val="10"/>
        <rFont val="宋体"/>
        <family val="3"/>
        <charset val="134"/>
      </rPr>
      <t>权重</t>
    </r>
  </si>
  <si>
    <t>物品id50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</si>
  <si>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id50</t>
    </r>
    <r>
      <rPr>
        <b/>
        <sz val="10"/>
        <rFont val="宋体"/>
        <family val="3"/>
        <charset val="134"/>
      </rPr>
      <t>权重</t>
    </r>
  </si>
  <si>
    <t>物品id51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</si>
  <si>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id51</t>
    </r>
    <r>
      <rPr>
        <b/>
        <sz val="10"/>
        <rFont val="宋体"/>
        <family val="3"/>
        <charset val="134"/>
      </rPr>
      <t>权重</t>
    </r>
  </si>
  <si>
    <t>物品id52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</si>
  <si>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id52</t>
    </r>
    <r>
      <rPr>
        <b/>
        <sz val="10"/>
        <rFont val="宋体"/>
        <family val="3"/>
        <charset val="134"/>
      </rPr>
      <t>权重</t>
    </r>
  </si>
  <si>
    <t>物品id53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</si>
  <si>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id53</t>
    </r>
    <r>
      <rPr>
        <b/>
        <sz val="10"/>
        <rFont val="宋体"/>
        <family val="3"/>
        <charset val="134"/>
      </rPr>
      <t>权重</t>
    </r>
  </si>
  <si>
    <t>物品id54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</si>
  <si>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id54</t>
    </r>
    <r>
      <rPr>
        <b/>
        <sz val="10"/>
        <rFont val="宋体"/>
        <family val="3"/>
        <charset val="134"/>
      </rPr>
      <t>权重</t>
    </r>
  </si>
  <si>
    <t>物品id55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</si>
  <si>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id55</t>
    </r>
    <r>
      <rPr>
        <b/>
        <sz val="10"/>
        <rFont val="宋体"/>
        <family val="3"/>
        <charset val="134"/>
      </rPr>
      <t>权重</t>
    </r>
  </si>
  <si>
    <t>物品id56</t>
  </si>
  <si>
    <r>
      <rPr>
        <b/>
        <sz val="10"/>
        <rFont val="宋体"/>
        <family val="3"/>
        <charset val="134"/>
      </rPr>
      <t>物品</t>
    </r>
    <r>
      <rPr>
        <b/>
        <sz val="10"/>
        <rFont val="Arial"/>
        <family val="2"/>
      </rPr>
      <t>id56</t>
    </r>
    <r>
      <rPr>
        <b/>
        <sz val="10"/>
        <rFont val="宋体"/>
        <family val="3"/>
        <charset val="134"/>
      </rPr>
      <t>权重</t>
    </r>
  </si>
  <si>
    <r>
      <rPr>
        <sz val="10"/>
        <rFont val="宋体"/>
        <family val="3"/>
        <charset val="134"/>
      </rPr>
      <t>藏宝图</t>
    </r>
  </si>
  <si>
    <r>
      <rPr>
        <sz val="10"/>
        <rFont val="宋体"/>
        <family val="3"/>
        <charset val="134"/>
      </rPr>
      <t>捉鬼任务奖励</t>
    </r>
  </si>
  <si>
    <r>
      <rPr>
        <sz val="10"/>
        <rFont val="宋体"/>
        <family val="3"/>
        <charset val="134"/>
      </rPr>
      <t>师门任务奖励</t>
    </r>
  </si>
  <si>
    <r>
      <rPr>
        <sz val="10"/>
        <rFont val="宋体"/>
        <family val="3"/>
        <charset val="134"/>
      </rPr>
      <t>一级宝石奖励</t>
    </r>
  </si>
  <si>
    <r>
      <rPr>
        <sz val="10"/>
        <rFont val="宋体"/>
        <family val="3"/>
        <charset val="134"/>
      </rPr>
      <t>二级宝石奖励</t>
    </r>
  </si>
  <si>
    <r>
      <rPr>
        <sz val="10"/>
        <rFont val="宋体"/>
        <family val="3"/>
        <charset val="134"/>
      </rPr>
      <t>三级宝石奖励</t>
    </r>
  </si>
  <si>
    <t>魔宠秘籍</t>
  </si>
  <si>
    <t>高级魔宠秘籍</t>
  </si>
  <si>
    <r>
      <rPr>
        <sz val="10"/>
        <rFont val="宋体"/>
        <family val="3"/>
        <charset val="134"/>
      </rPr>
      <t>远古宝藏宝箱</t>
    </r>
  </si>
  <si>
    <r>
      <rPr>
        <sz val="10"/>
        <rFont val="Arial"/>
        <family val="2"/>
      </rPr>
      <t>40</t>
    </r>
    <r>
      <rPr>
        <sz val="10"/>
        <rFont val="宋体"/>
        <family val="3"/>
        <charset val="134"/>
      </rPr>
      <t>级蓝装库</t>
    </r>
  </si>
  <si>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级蓝装库</t>
    </r>
  </si>
  <si>
    <r>
      <rPr>
        <sz val="10"/>
        <rFont val="Arial"/>
        <family val="2"/>
      </rPr>
      <t>60级蓝装库</t>
    </r>
  </si>
  <si>
    <r>
      <rPr>
        <sz val="10"/>
        <rFont val="Arial"/>
        <family val="2"/>
      </rPr>
      <t>40</t>
    </r>
    <r>
      <rPr>
        <sz val="10"/>
        <rFont val="宋体"/>
        <family val="3"/>
        <charset val="134"/>
      </rPr>
      <t>级紫装库</t>
    </r>
  </si>
  <si>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级紫装库</t>
    </r>
  </si>
  <si>
    <r>
      <rPr>
        <sz val="10"/>
        <rFont val="Arial"/>
        <family val="2"/>
      </rPr>
      <t>60级紫装库</t>
    </r>
  </si>
  <si>
    <t>二级药库</t>
  </si>
  <si>
    <t>帮派二级药库</t>
  </si>
  <si>
    <r>
      <rPr>
        <sz val="10"/>
        <rFont val="Arial"/>
        <family val="2"/>
      </rPr>
      <t>40-50</t>
    </r>
    <r>
      <rPr>
        <sz val="10"/>
        <rFont val="宋体"/>
        <family val="3"/>
        <charset val="134"/>
      </rPr>
      <t>蓝装混合库</t>
    </r>
  </si>
  <si>
    <r>
      <rPr>
        <sz val="10"/>
        <rFont val="Arial"/>
        <family val="2"/>
      </rPr>
      <t>40-50</t>
    </r>
    <r>
      <rPr>
        <sz val="10"/>
        <rFont val="宋体"/>
        <family val="3"/>
        <charset val="134"/>
      </rPr>
      <t>紫装混合库</t>
    </r>
    <r>
      <rPr>
        <sz val="10"/>
        <rFont val="Arial"/>
        <family val="2"/>
      </rPr>
      <t>A</t>
    </r>
  </si>
  <si>
    <r>
      <rPr>
        <sz val="10"/>
        <rFont val="Arial"/>
        <family val="2"/>
      </rPr>
      <t>40-50</t>
    </r>
    <r>
      <rPr>
        <sz val="10"/>
        <rFont val="宋体"/>
        <family val="3"/>
        <charset val="134"/>
      </rPr>
      <t>紫装混合库</t>
    </r>
    <r>
      <rPr>
        <sz val="10"/>
        <rFont val="Arial"/>
        <family val="2"/>
      </rPr>
      <t>B</t>
    </r>
  </si>
  <si>
    <r>
      <rPr>
        <sz val="10"/>
        <rFont val="Arial"/>
        <family val="2"/>
      </rPr>
      <t>40-50-60</t>
    </r>
    <r>
      <rPr>
        <sz val="10"/>
        <rFont val="宋体"/>
        <family val="3"/>
        <charset val="134"/>
      </rPr>
      <t>蓝装混合库</t>
    </r>
  </si>
  <si>
    <r>
      <rPr>
        <sz val="10"/>
        <rFont val="Arial"/>
        <family val="2"/>
      </rPr>
      <t>40-50-60</t>
    </r>
    <r>
      <rPr>
        <sz val="10"/>
        <rFont val="宋体"/>
        <family val="3"/>
        <charset val="134"/>
      </rPr>
      <t>紫装混合库</t>
    </r>
  </si>
  <si>
    <r>
      <rPr>
        <sz val="10"/>
        <rFont val="Arial"/>
        <family val="2"/>
      </rPr>
      <t>50-60</t>
    </r>
    <r>
      <rPr>
        <sz val="10"/>
        <rFont val="宋体"/>
        <family val="3"/>
        <charset val="134"/>
      </rPr>
      <t>蓝装混合库</t>
    </r>
  </si>
  <si>
    <r>
      <rPr>
        <sz val="10"/>
        <rFont val="Arial"/>
        <family val="2"/>
      </rPr>
      <t>50-60</t>
    </r>
    <r>
      <rPr>
        <sz val="10"/>
        <rFont val="宋体"/>
        <family val="3"/>
        <charset val="134"/>
      </rPr>
      <t>紫装混合库</t>
    </r>
  </si>
  <si>
    <r>
      <rPr>
        <sz val="10"/>
        <rFont val="Arial"/>
        <family val="2"/>
      </rPr>
      <t>40-50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</si>
  <si>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50-60-70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</si>
  <si>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40</t>
    </r>
    <r>
      <rPr>
        <sz val="10"/>
        <rFont val="宋体"/>
        <family val="3"/>
        <charset val="134"/>
      </rPr>
      <t>级环装库</t>
    </r>
  </si>
  <si>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级环装库</t>
    </r>
  </si>
  <si>
    <r>
      <rPr>
        <sz val="10"/>
        <rFont val="Arial"/>
        <family val="2"/>
      </rPr>
      <t>60</t>
    </r>
    <r>
      <rPr>
        <sz val="10"/>
        <rFont val="宋体"/>
        <family val="3"/>
        <charset val="134"/>
      </rPr>
      <t>级环装库</t>
    </r>
  </si>
  <si>
    <r>
      <rPr>
        <sz val="10"/>
        <rFont val="Arial"/>
        <family val="2"/>
      </rPr>
      <t>10-20-30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</si>
  <si>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30-40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</si>
  <si>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30-40-50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</si>
  <si>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40-50-60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</si>
  <si>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50-60</t>
    </r>
    <r>
      <rPr>
        <sz val="10"/>
        <rFont val="宋体"/>
        <family val="3"/>
        <charset val="134"/>
      </rPr>
      <t>精铁库</t>
    </r>
  </si>
  <si>
    <r>
      <rPr>
        <sz val="10"/>
        <rFont val="Arial"/>
        <family val="2"/>
      </rPr>
      <t>10-20-30</t>
    </r>
    <r>
      <rPr>
        <sz val="10"/>
        <rFont val="宋体"/>
        <family val="3"/>
        <charset val="134"/>
      </rPr>
      <t>制作书</t>
    </r>
  </si>
  <si>
    <r>
      <rPr>
        <sz val="10"/>
        <rFont val="Arial"/>
        <family val="2"/>
      </rPr>
      <t>30-40</t>
    </r>
    <r>
      <rPr>
        <sz val="10"/>
        <rFont val="宋体"/>
        <family val="3"/>
        <charset val="134"/>
      </rPr>
      <t>制作书</t>
    </r>
  </si>
  <si>
    <r>
      <rPr>
        <sz val="10"/>
        <rFont val="Arial"/>
        <family val="2"/>
      </rPr>
      <t>30-40-50</t>
    </r>
    <r>
      <rPr>
        <sz val="10"/>
        <rFont val="宋体"/>
        <family val="3"/>
        <charset val="134"/>
      </rPr>
      <t>制作书</t>
    </r>
  </si>
  <si>
    <r>
      <rPr>
        <sz val="10"/>
        <rFont val="Arial"/>
        <family val="2"/>
      </rPr>
      <t>40-50-60</t>
    </r>
    <r>
      <rPr>
        <sz val="10"/>
        <rFont val="宋体"/>
        <family val="3"/>
        <charset val="134"/>
      </rPr>
      <t>制作书</t>
    </r>
  </si>
  <si>
    <r>
      <rPr>
        <sz val="10"/>
        <rFont val="Arial"/>
        <family val="2"/>
      </rPr>
      <t>50-60</t>
    </r>
    <r>
      <rPr>
        <sz val="10"/>
        <rFont val="宋体"/>
        <family val="3"/>
        <charset val="134"/>
      </rPr>
      <t>制作书</t>
    </r>
  </si>
  <si>
    <r>
      <rPr>
        <sz val="10"/>
        <rFont val="Arial"/>
        <family val="2"/>
      </rPr>
      <t>40-50</t>
    </r>
    <r>
      <rPr>
        <sz val="10"/>
        <rFont val="宋体"/>
        <family val="3"/>
        <charset val="134"/>
      </rPr>
      <t>环装库</t>
    </r>
  </si>
  <si>
    <r>
      <rPr>
        <sz val="10"/>
        <rFont val="Arial"/>
        <family val="2"/>
      </rPr>
      <t>50-60</t>
    </r>
    <r>
      <rPr>
        <sz val="10"/>
        <rFont val="宋体"/>
        <family val="3"/>
        <charset val="134"/>
      </rPr>
      <t>环装库</t>
    </r>
  </si>
  <si>
    <t>光环阵法库</t>
  </si>
  <si>
    <t>360002</t>
  </si>
  <si>
    <t>360003</t>
  </si>
  <si>
    <t>360004</t>
  </si>
  <si>
    <t>360005</t>
  </si>
  <si>
    <t>360006</t>
  </si>
  <si>
    <t>360007</t>
  </si>
  <si>
    <t>360008</t>
  </si>
  <si>
    <t>360009</t>
  </si>
  <si>
    <t>360010</t>
  </si>
  <si>
    <t>时读星读库</t>
  </si>
  <si>
    <t>强化石库</t>
  </si>
  <si>
    <t>小血瓶蓝瓶库</t>
  </si>
  <si>
    <t>大血瓶蓝瓶库</t>
  </si>
  <si>
    <t>一级药库</t>
  </si>
  <si>
    <t>洗单点卷轴库</t>
  </si>
  <si>
    <t>修炼丹库</t>
  </si>
  <si>
    <t>打造强化石库</t>
  </si>
  <si>
    <t>1级宝石库</t>
  </si>
  <si>
    <t>2级宝石库</t>
  </si>
  <si>
    <t>3级宝石库</t>
  </si>
  <si>
    <t>低级魔兽要诀库</t>
  </si>
  <si>
    <t>高级魔兽要诀库</t>
  </si>
  <si>
    <t>光环卷轴库</t>
  </si>
  <si>
    <t>珍稀五宝库</t>
  </si>
  <si>
    <t>普通五宝库</t>
  </si>
  <si>
    <t>坐骑库</t>
  </si>
  <si>
    <t>10级铁</t>
  </si>
  <si>
    <t>20级铁</t>
  </si>
  <si>
    <t>30级铁</t>
  </si>
  <si>
    <t>40级铁</t>
  </si>
  <si>
    <t>50级铁</t>
  </si>
  <si>
    <t>60级铁</t>
  </si>
  <si>
    <t>70级铁</t>
  </si>
  <si>
    <t>80级铁</t>
  </si>
  <si>
    <t>90级铁</t>
  </si>
  <si>
    <t>100级铁</t>
  </si>
  <si>
    <t>110级铁</t>
  </si>
  <si>
    <t>120级铁</t>
  </si>
  <si>
    <t>130级铁</t>
  </si>
  <si>
    <t>140级铁</t>
  </si>
  <si>
    <t>150级铁</t>
  </si>
  <si>
    <t>10级打造图纸库</t>
  </si>
  <si>
    <t>20级打造图纸库</t>
  </si>
  <si>
    <t>30级打造图纸库</t>
  </si>
  <si>
    <t>40级打造图纸库</t>
  </si>
  <si>
    <t>50级打造图纸库</t>
  </si>
  <si>
    <t>60级打造图纸库</t>
  </si>
  <si>
    <t>70级打造图纸库</t>
  </si>
  <si>
    <t>80级打造图纸库</t>
  </si>
  <si>
    <t>90级打造图纸库</t>
  </si>
  <si>
    <t>100级打造图纸库</t>
  </si>
  <si>
    <t>110级打造图纸库</t>
  </si>
  <si>
    <t>120级打造图纸库</t>
  </si>
  <si>
    <t>130级打造图纸库</t>
  </si>
  <si>
    <t>140级打造图纸库</t>
  </si>
  <si>
    <t>150级打造图纸库</t>
  </si>
  <si>
    <t>10级环装库</t>
  </si>
  <si>
    <t>20级环装库</t>
  </si>
  <si>
    <t>30级环装库</t>
  </si>
  <si>
    <t>40级环装库</t>
  </si>
  <si>
    <t>50级环装库</t>
  </si>
  <si>
    <t>60级环装库</t>
  </si>
  <si>
    <t>70级环装库</t>
  </si>
  <si>
    <t>80级环装库</t>
  </si>
  <si>
    <t>90级环装库</t>
  </si>
  <si>
    <t>100级环装库</t>
  </si>
  <si>
    <t>110级环装库</t>
  </si>
  <si>
    <t>120级环装库</t>
  </si>
  <si>
    <t>130级环装库</t>
  </si>
  <si>
    <t>140级环装库</t>
  </si>
  <si>
    <t>150级环装库</t>
  </si>
  <si>
    <t>10级绿装库</t>
  </si>
  <si>
    <t>20级绿装库</t>
  </si>
  <si>
    <t>30级绿装库</t>
  </si>
  <si>
    <t>40级绿装库</t>
  </si>
  <si>
    <t>50级绿装库</t>
  </si>
  <si>
    <t>60级绿装库</t>
  </si>
  <si>
    <t>70级绿装库</t>
  </si>
  <si>
    <t>80级绿装库</t>
  </si>
  <si>
    <t>90级绿装库</t>
  </si>
  <si>
    <t>100级绿装库</t>
  </si>
  <si>
    <t>110级绿装库</t>
  </si>
  <si>
    <t>120级绿装库</t>
  </si>
  <si>
    <t>130级绿装库</t>
  </si>
  <si>
    <t>140级绿装库</t>
  </si>
  <si>
    <t>150级绿装库</t>
  </si>
  <si>
    <t>10级蓝装库</t>
  </si>
  <si>
    <t>20级蓝装库</t>
  </si>
  <si>
    <t>30级蓝装库</t>
  </si>
  <si>
    <t>40级蓝装库</t>
  </si>
  <si>
    <t>50级蓝装库</t>
  </si>
  <si>
    <t>60级蓝装库</t>
  </si>
  <si>
    <t>70级蓝装库</t>
  </si>
  <si>
    <t>80级蓝装库</t>
  </si>
  <si>
    <t>90级蓝装库</t>
  </si>
  <si>
    <t>100级蓝装库</t>
  </si>
  <si>
    <t>110级蓝装库</t>
  </si>
  <si>
    <t>120级蓝装库</t>
  </si>
  <si>
    <t>130级蓝装库</t>
  </si>
  <si>
    <t>140级蓝装库</t>
  </si>
  <si>
    <t>150级蓝装库</t>
  </si>
  <si>
    <t>10级紫装库</t>
  </si>
  <si>
    <t>20级紫装库</t>
  </si>
  <si>
    <t>30级紫装库</t>
  </si>
  <si>
    <t>40级紫装库</t>
  </si>
  <si>
    <t>50级紫装库</t>
  </si>
  <si>
    <t>60级紫装库</t>
  </si>
  <si>
    <t>70级紫装库</t>
  </si>
  <si>
    <t>80级紫装库</t>
  </si>
  <si>
    <t>90级紫装库</t>
  </si>
  <si>
    <t>100级紫装库</t>
  </si>
  <si>
    <t>110级紫装库</t>
  </si>
  <si>
    <t>120级紫装库</t>
  </si>
  <si>
    <t>130级紫装库</t>
  </si>
  <si>
    <t>140级紫装库</t>
  </si>
  <si>
    <t>150级紫装库</t>
  </si>
  <si>
    <t>10级橙装库</t>
  </si>
  <si>
    <t>标准角色养成开启</t>
  </si>
  <si>
    <t>养成极限</t>
  </si>
  <si>
    <t>标准角色养成</t>
  </si>
  <si>
    <t>标准角色养成拟合</t>
  </si>
  <si>
    <t>等级</t>
  </si>
  <si>
    <t>一级属性</t>
  </si>
  <si>
    <t>装备等级</t>
  </si>
  <si>
    <t>装备白属性</t>
  </si>
  <si>
    <t>装备附加属性</t>
  </si>
  <si>
    <t>装备附魔</t>
  </si>
  <si>
    <t>宝石1</t>
  </si>
  <si>
    <t>宝石2</t>
  </si>
  <si>
    <t>职业技能</t>
  </si>
  <si>
    <t>公会技能</t>
  </si>
  <si>
    <t>阵法</t>
  </si>
  <si>
    <t>修炼</t>
  </si>
  <si>
    <t>各道具在各玩法的产出比重</t>
  </si>
  <si>
    <t>道具ID</t>
  </si>
  <si>
    <t>道具</t>
  </si>
  <si>
    <t>日总产量</t>
  </si>
  <si>
    <t>职业日常</t>
  </si>
  <si>
    <t>日常副本</t>
  </si>
  <si>
    <t>英雄试炼</t>
  </si>
  <si>
    <t>冰封王座</t>
  </si>
  <si>
    <t>考古</t>
  </si>
  <si>
    <t>运镖</t>
  </si>
  <si>
    <t>卡拉赞系列</t>
  </si>
  <si>
    <t>卡拉赞精英</t>
  </si>
  <si>
    <t>精英副本</t>
  </si>
  <si>
    <t>公会任务(周7轮)</t>
  </si>
  <si>
    <t>野外挂机/离线经验</t>
  </si>
  <si>
    <t>经验道具</t>
  </si>
  <si>
    <t>分享</t>
  </si>
  <si>
    <t>双倍点数</t>
  </si>
  <si>
    <t>帮助战斗</t>
  </si>
  <si>
    <t>古神</t>
  </si>
  <si>
    <t>艾泽拉斯地理探索</t>
  </si>
  <si>
    <t>艾泽拉斯百科竞赛</t>
  </si>
  <si>
    <t>职业闯关(周2次)</t>
  </si>
  <si>
    <t>竞技场</t>
  </si>
  <si>
    <t>公会副本(周1次)</t>
  </si>
  <si>
    <t>帮派强盗</t>
  </si>
  <si>
    <t>帮派采药</t>
  </si>
  <si>
    <t>节日活动1</t>
  </si>
  <si>
    <t>节日活动2</t>
  </si>
  <si>
    <t>活跃度打卡</t>
  </si>
  <si>
    <t>日常副本roll</t>
  </si>
  <si>
    <t>精英副本roll</t>
  </si>
  <si>
    <t>奖励表中每个掉落点ID中掉落物品ID为道具经济表（道具产出规划）中的掉落物品ID。</t>
  </si>
  <si>
    <t>掉落物品库的意思是同类型物品做在一个掉落ID中。库中的物品掉落几率按照类型个数均分。</t>
  </si>
  <si>
    <t>掉落点ID一栏的物品1类至物品16类为这个掉落点ID所掉的所有掉落物品</t>
  </si>
  <si>
    <t>物品N类权重是对应物品N类的掉落权重（总权重为1000，部分总权重有变动是为了必掉），</t>
  </si>
  <si>
    <t>按照以上规则每个掉落点只能掉一个物品。为解决同一掉落点可以同时掉多个物品的问题，可以在奖励表中的必给物品ID一栏中添加其他掉落点ID，此掉落点可同时触发其他掉落点中的物品</t>
  </si>
  <si>
    <t>道具经济表中的页签中是不同玩法所掉落的物品种类以及掉落权重</t>
  </si>
  <si>
    <t>掉落物品ID</t>
  </si>
  <si>
    <t>物品名称</t>
  </si>
  <si>
    <t>掉落点ID</t>
  </si>
  <si>
    <t>掉落包名称</t>
  </si>
  <si>
    <t>物品1类</t>
  </si>
  <si>
    <t>物品2类</t>
  </si>
  <si>
    <t>物品3类</t>
  </si>
  <si>
    <t>到物品16类</t>
  </si>
  <si>
    <t>物品1类权重</t>
  </si>
  <si>
    <t>物品2类权重</t>
  </si>
  <si>
    <t>物品3类权重</t>
  </si>
  <si>
    <t>总权重</t>
  </si>
  <si>
    <t>职业日常每环奖励0</t>
  </si>
  <si>
    <t>职业日常每轮奖励0</t>
  </si>
  <si>
    <t>职业日常每轮奖励附加</t>
  </si>
  <si>
    <t>职业日常高品和额外</t>
  </si>
  <si>
    <t>特殊职业日常</t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</si>
  <si>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20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</si>
  <si>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30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</si>
  <si>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40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</si>
  <si>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</si>
  <si>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60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</si>
  <si>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日常副本开双附加道具</t>
    </r>
    <r>
      <rPr>
        <sz val="10"/>
        <rFont val="Arial"/>
        <family val="2"/>
      </rPr>
      <t>70</t>
    </r>
    <r>
      <rPr>
        <sz val="10"/>
        <rFont val="宋体"/>
        <family val="3"/>
        <charset val="134"/>
      </rPr>
      <t>级以上</t>
    </r>
  </si>
  <si>
    <r>
      <rPr>
        <b/>
        <sz val="10"/>
        <rFont val="宋体"/>
        <family val="3"/>
        <charset val="134"/>
      </rPr>
      <t>日常副本基础</t>
    </r>
    <r>
      <rPr>
        <b/>
        <sz val="10"/>
        <rFont val="Arial"/>
        <family val="2"/>
      </rPr>
      <t>20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</si>
  <si>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日常副本基础</t>
    </r>
    <r>
      <rPr>
        <b/>
        <sz val="10"/>
        <rFont val="Arial"/>
        <family val="2"/>
      </rPr>
      <t>30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</si>
  <si>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日常副本基础</t>
    </r>
    <r>
      <rPr>
        <b/>
        <sz val="10"/>
        <rFont val="Arial"/>
        <family val="2"/>
      </rPr>
      <t>40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</si>
  <si>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日常副本基础</t>
    </r>
    <r>
      <rPr>
        <b/>
        <sz val="10"/>
        <rFont val="Arial"/>
        <family val="2"/>
      </rPr>
      <t>50</t>
    </r>
    <r>
      <rPr>
        <b/>
        <sz val="10"/>
        <rFont val="宋体"/>
        <family val="3"/>
        <charset val="134"/>
      </rPr>
      <t>级以上</t>
    </r>
    <r>
      <rPr>
        <b/>
        <sz val="10"/>
        <rFont val="Arial"/>
        <family val="2"/>
      </rPr>
      <t>0</t>
    </r>
  </si>
  <si>
    <r>
      <rPr>
        <sz val="10"/>
        <rFont val="宋体"/>
        <family val="3"/>
        <charset val="134"/>
      </rPr>
      <t>日常副本</t>
    </r>
    <r>
      <rPr>
        <sz val="10"/>
        <rFont val="Arial"/>
        <family val="2"/>
      </rPr>
      <t>20</t>
    </r>
    <r>
      <rPr>
        <sz val="10"/>
        <rFont val="宋体"/>
        <family val="3"/>
        <charset val="134"/>
      </rPr>
      <t>级</t>
    </r>
    <r>
      <rPr>
        <sz val="10"/>
        <rFont val="Arial"/>
        <family val="2"/>
      </rPr>
      <t>roll</t>
    </r>
  </si>
  <si>
    <r>
      <rPr>
        <sz val="10"/>
        <rFont val="宋体"/>
        <family val="3"/>
        <charset val="134"/>
      </rPr>
      <t>日常副本</t>
    </r>
    <r>
      <rPr>
        <sz val="10"/>
        <rFont val="Arial"/>
        <family val="2"/>
      </rPr>
      <t>30</t>
    </r>
    <r>
      <rPr>
        <sz val="10"/>
        <rFont val="宋体"/>
        <family val="3"/>
        <charset val="134"/>
      </rPr>
      <t>级</t>
    </r>
    <r>
      <rPr>
        <sz val="10"/>
        <rFont val="Arial"/>
        <family val="2"/>
      </rPr>
      <t>roll</t>
    </r>
  </si>
  <si>
    <r>
      <rPr>
        <sz val="10"/>
        <rFont val="宋体"/>
        <family val="3"/>
        <charset val="134"/>
      </rPr>
      <t>日常副本</t>
    </r>
    <r>
      <rPr>
        <sz val="10"/>
        <rFont val="Arial"/>
        <family val="2"/>
      </rPr>
      <t>40</t>
    </r>
    <r>
      <rPr>
        <sz val="10"/>
        <rFont val="宋体"/>
        <family val="3"/>
        <charset val="134"/>
      </rPr>
      <t>级</t>
    </r>
    <r>
      <rPr>
        <sz val="10"/>
        <rFont val="Arial"/>
        <family val="2"/>
      </rPr>
      <t>roll</t>
    </r>
  </si>
  <si>
    <r>
      <rPr>
        <sz val="10"/>
        <rFont val="宋体"/>
        <family val="3"/>
        <charset val="134"/>
      </rPr>
      <t>日常副本</t>
    </r>
    <r>
      <rPr>
        <sz val="10"/>
        <rFont val="Arial"/>
        <family val="2"/>
      </rPr>
      <t>50</t>
    </r>
    <r>
      <rPr>
        <sz val="10"/>
        <rFont val="宋体"/>
        <family val="3"/>
        <charset val="134"/>
      </rPr>
      <t>级</t>
    </r>
    <r>
      <rPr>
        <sz val="10"/>
        <rFont val="Arial"/>
        <family val="2"/>
      </rPr>
      <t>roll</t>
    </r>
  </si>
  <si>
    <r>
      <rPr>
        <b/>
        <sz val="10"/>
        <rFont val="宋体"/>
        <family val="3"/>
        <charset val="134"/>
      </rPr>
      <t>阿尔萨斯基础+roll</t>
    </r>
    <r>
      <rPr>
        <b/>
        <sz val="10"/>
        <rFont val="Arial"/>
        <family val="2"/>
      </rPr>
      <t>20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</si>
  <si>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阿尔萨斯基础</t>
    </r>
    <r>
      <rPr>
        <b/>
        <sz val="10"/>
        <rFont val="Arial"/>
        <family val="2"/>
      </rPr>
      <t>+roll30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</si>
  <si>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阿尔萨斯基础</t>
    </r>
    <r>
      <rPr>
        <b/>
        <sz val="10"/>
        <rFont val="Arial"/>
        <family val="2"/>
      </rPr>
      <t>+roll40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</si>
  <si>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阿尔萨斯基础</t>
    </r>
    <r>
      <rPr>
        <b/>
        <sz val="10"/>
        <rFont val="Arial"/>
        <family val="2"/>
      </rPr>
      <t>+roll50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</si>
  <si>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阿尔萨斯基础</t>
    </r>
    <r>
      <rPr>
        <b/>
        <sz val="10"/>
        <rFont val="Arial"/>
        <family val="2"/>
      </rPr>
      <t>+roll60</t>
    </r>
    <r>
      <rPr>
        <b/>
        <sz val="10"/>
        <rFont val="宋体"/>
        <family val="3"/>
        <charset val="134"/>
      </rPr>
      <t>级</t>
    </r>
    <r>
      <rPr>
        <b/>
        <sz val="10"/>
        <rFont val="Arial"/>
        <family val="2"/>
      </rPr>
      <t>0</t>
    </r>
  </si>
  <si>
    <r>
      <rPr>
        <b/>
        <sz val="10"/>
        <rFont val="宋体"/>
        <family val="3"/>
        <charset val="134"/>
      </rPr>
      <t>阿尔萨斯基础</t>
    </r>
    <r>
      <rPr>
        <b/>
        <sz val="10"/>
        <rFont val="Arial"/>
        <family val="2"/>
      </rPr>
      <t>+roll70</t>
    </r>
    <r>
      <rPr>
        <b/>
        <sz val="10"/>
        <rFont val="宋体"/>
        <family val="3"/>
        <charset val="134"/>
      </rPr>
      <t>级以上</t>
    </r>
    <r>
      <rPr>
        <b/>
        <sz val="10"/>
        <rFont val="Arial"/>
        <family val="2"/>
      </rPr>
      <t>0</t>
    </r>
  </si>
  <si>
    <t>阿尔萨斯宝箱</t>
  </si>
  <si>
    <t>队长礼盒奖励物品</t>
  </si>
  <si>
    <t>英雄试炼0</t>
  </si>
  <si>
    <t>冰封王座普通奖励0</t>
  </si>
  <si>
    <r>
      <rPr>
        <sz val="10"/>
        <color indexed="23"/>
        <rFont val="宋体"/>
        <family val="3"/>
        <charset val="134"/>
      </rPr>
      <t>冰封王座大关宝箱</t>
    </r>
    <r>
      <rPr>
        <sz val="10"/>
        <color indexed="23"/>
        <rFont val="Arial"/>
        <family val="2"/>
      </rPr>
      <t>A</t>
    </r>
  </si>
  <si>
    <t>冰封王座大关宝箱B</t>
  </si>
  <si>
    <t>冰封王座大关宝箱C</t>
  </si>
  <si>
    <t>冰封王座大关宝箱D</t>
  </si>
  <si>
    <t>冰封王座第1名奖励</t>
  </si>
  <si>
    <t>冰封王座第2名奖励</t>
  </si>
  <si>
    <t>冰封王座第3名奖励</t>
  </si>
  <si>
    <t>冰封王座第4名奖励</t>
  </si>
  <si>
    <t>冰封王座第5名奖励</t>
  </si>
  <si>
    <t>冰封王座第6名奖励</t>
  </si>
  <si>
    <t>冰封王座第7名奖励</t>
  </si>
  <si>
    <t>冰封王座第8名奖励</t>
  </si>
  <si>
    <t>冰封王座第9名奖励</t>
  </si>
  <si>
    <t>冰封王座第10名奖励</t>
  </si>
  <si>
    <r>
      <rPr>
        <sz val="10"/>
        <color indexed="63"/>
        <rFont val="Arial"/>
        <family val="2"/>
      </rPr>
      <t>25</t>
    </r>
    <r>
      <rPr>
        <sz val="10"/>
        <color indexed="63"/>
        <rFont val="宋体"/>
        <family val="3"/>
        <charset val="134"/>
      </rPr>
      <t>级低级藏宝图</t>
    </r>
  </si>
  <si>
    <r>
      <rPr>
        <sz val="10"/>
        <color indexed="63"/>
        <rFont val="Arial"/>
        <family val="2"/>
      </rPr>
      <t>35</t>
    </r>
    <r>
      <rPr>
        <sz val="10"/>
        <color indexed="63"/>
        <rFont val="宋体"/>
        <family val="3"/>
        <charset val="134"/>
      </rPr>
      <t>级低级藏宝图</t>
    </r>
  </si>
  <si>
    <r>
      <rPr>
        <sz val="10"/>
        <color indexed="63"/>
        <rFont val="Arial"/>
        <family val="2"/>
      </rPr>
      <t>45</t>
    </r>
    <r>
      <rPr>
        <sz val="10"/>
        <color indexed="63"/>
        <rFont val="宋体"/>
        <family val="3"/>
        <charset val="134"/>
      </rPr>
      <t>级低级藏宝图</t>
    </r>
  </si>
  <si>
    <r>
      <rPr>
        <sz val="10"/>
        <color indexed="63"/>
        <rFont val="Arial"/>
        <family val="2"/>
      </rPr>
      <t>55</t>
    </r>
    <r>
      <rPr>
        <sz val="10"/>
        <color indexed="63"/>
        <rFont val="宋体"/>
        <family val="3"/>
        <charset val="134"/>
      </rPr>
      <t>级低级藏宝图</t>
    </r>
  </si>
  <si>
    <r>
      <rPr>
        <sz val="10"/>
        <color indexed="63"/>
        <rFont val="Arial"/>
        <family val="2"/>
      </rPr>
      <t>65</t>
    </r>
    <r>
      <rPr>
        <sz val="10"/>
        <color indexed="63"/>
        <rFont val="宋体"/>
        <family val="3"/>
        <charset val="134"/>
      </rPr>
      <t>级以上低级藏宝图</t>
    </r>
  </si>
  <si>
    <t>低级藏宝图直接得银币</t>
  </si>
  <si>
    <t>考古任务掉藏宝图</t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</si>
  <si>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roll30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</si>
  <si>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roll40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</si>
  <si>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roll50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</si>
  <si>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roll60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</si>
  <si>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roll70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</si>
  <si>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roll80</t>
    </r>
    <r>
      <rPr>
        <sz val="10"/>
        <rFont val="宋体"/>
        <family val="3"/>
        <charset val="134"/>
      </rPr>
      <t>级</t>
    </r>
  </si>
  <si>
    <r>
      <rPr>
        <sz val="10"/>
        <rFont val="宋体"/>
        <family val="3"/>
        <charset val="134"/>
      </rPr>
      <t>精英副本最后一关</t>
    </r>
    <r>
      <rPr>
        <sz val="10"/>
        <rFont val="Arial"/>
        <family val="2"/>
      </rPr>
      <t>roll90</t>
    </r>
    <r>
      <rPr>
        <sz val="10"/>
        <rFont val="宋体"/>
        <family val="3"/>
        <charset val="134"/>
      </rPr>
      <t>级以上</t>
    </r>
  </si>
  <si>
    <t>精英副本每关单人0</t>
  </si>
  <si>
    <t>精英副本前4关roll</t>
  </si>
  <si>
    <t>精英副本roll附带</t>
  </si>
  <si>
    <t>公会任务每环奖励0</t>
  </si>
  <si>
    <t>公会任务每轮奖励0</t>
  </si>
  <si>
    <t>公会任务高品和额外</t>
  </si>
  <si>
    <t>50级暗夜马戏团每100环奖励</t>
  </si>
  <si>
    <t>60级暗夜马戏团每100环奖励</t>
  </si>
  <si>
    <t>70级暗夜马戏团每100环奖励</t>
  </si>
  <si>
    <t>80级暗夜马戏团每100环奖励</t>
  </si>
  <si>
    <t>90级以上暗夜马戏团每100环奖励</t>
  </si>
  <si>
    <t>暗夜马戏团每100环奖励附加</t>
  </si>
  <si>
    <t>暗夜马戏团每环经验奖励0</t>
  </si>
  <si>
    <t>野外挂机0</t>
  </si>
  <si>
    <t>离线经验每分钟0</t>
  </si>
  <si>
    <t>经验宝珠0</t>
  </si>
  <si>
    <t>分享0</t>
  </si>
  <si>
    <t>帮助战斗0</t>
  </si>
  <si>
    <t>25级古神爪牙0</t>
  </si>
  <si>
    <t>35级古神爪牙0</t>
  </si>
  <si>
    <t>45级古神爪牙0</t>
  </si>
  <si>
    <t>55级古神爪牙0</t>
  </si>
  <si>
    <t>65级以上古神爪牙0</t>
  </si>
  <si>
    <t>幼龙0</t>
  </si>
  <si>
    <t>屠龙0</t>
  </si>
  <si>
    <t>古神0</t>
  </si>
  <si>
    <t>古神roll</t>
  </si>
  <si>
    <t>古神roll附带</t>
  </si>
  <si>
    <r>
      <rPr>
        <sz val="10"/>
        <rFont val="宋体"/>
        <family val="3"/>
        <charset val="134"/>
      </rPr>
      <t>艾泽拉斯地理问答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正确</t>
    </r>
    <r>
      <rPr>
        <sz val="10"/>
        <rFont val="Arial"/>
        <family val="2"/>
      </rPr>
      <t>0</t>
    </r>
  </si>
  <si>
    <r>
      <rPr>
        <sz val="10"/>
        <rFont val="宋体"/>
        <family val="3"/>
        <charset val="134"/>
      </rPr>
      <t>艾泽拉斯地理问答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错误</t>
    </r>
  </si>
  <si>
    <r>
      <rPr>
        <sz val="10"/>
        <rFont val="宋体"/>
        <family val="3"/>
        <charset val="134"/>
      </rPr>
      <t>艾泽拉斯地理问答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宝箱</t>
    </r>
  </si>
  <si>
    <t>艾泽拉斯百科竞赛初赛0</t>
  </si>
  <si>
    <t>艾泽拉斯百科竞赛初赛-错误</t>
  </si>
  <si>
    <t>艾泽拉斯百科竞赛初赛-宝箱</t>
  </si>
  <si>
    <t>艾泽拉斯百科竞赛决赛0</t>
  </si>
  <si>
    <t>艾泽拉斯百科竞赛决赛-错误</t>
  </si>
  <si>
    <t>艾泽拉斯百科竞赛决赛-宝箱</t>
  </si>
  <si>
    <t>艾泽拉斯百科竞赛决赛第1名</t>
  </si>
  <si>
    <t>艾泽拉斯百科竞赛决赛第2名</t>
  </si>
  <si>
    <t>艾泽拉斯百科竞赛决赛第3名</t>
  </si>
  <si>
    <t>职业闯关0</t>
  </si>
  <si>
    <t>职业闯关第1名</t>
  </si>
  <si>
    <t>职业闯关第2名</t>
  </si>
  <si>
    <t>职业闯关第3名</t>
  </si>
  <si>
    <t>1v1竞技场40级-赢0</t>
  </si>
  <si>
    <t>1v1竞技场50级-赢0</t>
  </si>
  <si>
    <t>1v1竞技场60级-赢0</t>
  </si>
  <si>
    <t>1v1竞技场70级以上-赢0</t>
  </si>
  <si>
    <t>1v1竞技场40级-输0</t>
  </si>
  <si>
    <t>1v1竞技场50级-输0</t>
  </si>
  <si>
    <t>1v1竞技场60级-输0</t>
  </si>
  <si>
    <t>1v1竞技场70级以上-输0</t>
  </si>
  <si>
    <t>1v1竞技场首胜礼包</t>
  </si>
  <si>
    <t>1v1竞技场5战礼包</t>
  </si>
  <si>
    <t>3v3竞技场40级-赢0</t>
  </si>
  <si>
    <t>3v3竞技场50级-赢0</t>
  </si>
  <si>
    <t>3v3竞技场60级-赢0</t>
  </si>
  <si>
    <t>3v3竞技场70级以上-赢0</t>
  </si>
  <si>
    <t>3v3竞技场40级-输0</t>
  </si>
  <si>
    <t>3v3竞技场50级-输0</t>
  </si>
  <si>
    <t>3v3竞技场60级-输0</t>
  </si>
  <si>
    <t>3v3竞技场70级以上-输0</t>
  </si>
  <si>
    <t>3v3竞技场首胜礼包</t>
  </si>
  <si>
    <t>3v3竞技场10战礼包</t>
  </si>
  <si>
    <t>3v3竞技场5胜礼包</t>
  </si>
  <si>
    <t>5v5竞技场40级-赢0</t>
  </si>
  <si>
    <t>5v5竞技场50级-赢0</t>
  </si>
  <si>
    <t>5v5竞技场60级-赢0</t>
  </si>
  <si>
    <t>5v5竞技场70级以上-赢0</t>
  </si>
  <si>
    <t>5v5竞技场40级-输0</t>
  </si>
  <si>
    <t>5v5竞技场50级-输0</t>
  </si>
  <si>
    <t>5v5竞技场60级-输0</t>
  </si>
  <si>
    <t>5v5竞技场70级以上-输0</t>
  </si>
  <si>
    <r>
      <rPr>
        <sz val="10"/>
        <rFont val="宋体"/>
        <family val="3"/>
        <charset val="134"/>
      </rPr>
      <t>公会副本</t>
    </r>
    <r>
      <rPr>
        <sz val="10"/>
        <rFont val="Arial"/>
        <family val="2"/>
      </rPr>
      <t>0</t>
    </r>
  </si>
  <si>
    <r>
      <rPr>
        <sz val="10"/>
        <rFont val="宋体"/>
        <family val="3"/>
        <charset val="134"/>
      </rPr>
      <t>公会副本泡温泉每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秒</t>
    </r>
    <r>
      <rPr>
        <sz val="10"/>
        <rFont val="Arial"/>
        <family val="2"/>
      </rPr>
      <t>0</t>
    </r>
  </si>
  <si>
    <t>公会副本boss奖励</t>
  </si>
  <si>
    <t>公会副本宝箱</t>
  </si>
  <si>
    <t>概率</t>
  </si>
  <si>
    <t>掉落次数</t>
  </si>
  <si>
    <t>掉落权重</t>
  </si>
  <si>
    <t>概率/5（人）</t>
  </si>
  <si>
    <t xml:space="preserve">  </t>
  </si>
  <si>
    <t xml:space="preserve"> </t>
  </si>
  <si>
    <t>200138</t>
  </si>
  <si>
    <t>200139</t>
  </si>
  <si>
    <t>200140</t>
  </si>
  <si>
    <t>200080</t>
  </si>
  <si>
    <t>200081</t>
  </si>
  <si>
    <t>200082</t>
  </si>
  <si>
    <t>200083</t>
  </si>
  <si>
    <t>boss关宝箱</t>
  </si>
  <si>
    <t>普通</t>
  </si>
  <si>
    <t>A</t>
  </si>
  <si>
    <t>B</t>
  </si>
  <si>
    <t>C</t>
  </si>
  <si>
    <t>D</t>
  </si>
  <si>
    <t>200066</t>
  </si>
  <si>
    <t>200068</t>
  </si>
  <si>
    <t>200069</t>
  </si>
  <si>
    <t>200073</t>
  </si>
  <si>
    <t>320100</t>
  </si>
  <si>
    <t>310101</t>
  </si>
  <si>
    <t>310102</t>
  </si>
  <si>
    <t>200067</t>
  </si>
  <si>
    <t>前10名奖励</t>
  </si>
  <si>
    <t>获得次数</t>
  </si>
  <si>
    <t>获得权重</t>
  </si>
  <si>
    <t>道具ID是不是道具表里面的ID</t>
  </si>
  <si>
    <t>25级低级藏宝图</t>
  </si>
  <si>
    <t/>
  </si>
  <si>
    <t>35级低级藏宝图</t>
  </si>
  <si>
    <t>45级低级藏宝图</t>
  </si>
  <si>
    <t>55级低级藏宝图</t>
  </si>
  <si>
    <t>65级以上低级藏宝图</t>
  </si>
  <si>
    <t xml:space="preserve">蓝色区域为不同等级挖宝图产出的不同物品（主要是不同等级的环装、铁、打造图纸） </t>
  </si>
  <si>
    <t>掉落物品</t>
  </si>
  <si>
    <t>25级考古</t>
  </si>
  <si>
    <t>35级考古</t>
  </si>
  <si>
    <t>45级考古</t>
  </si>
  <si>
    <t>55级考古</t>
  </si>
  <si>
    <t>65级以上考古</t>
  </si>
  <si>
    <t>200079</t>
  </si>
  <si>
    <t>200108</t>
  </si>
  <si>
    <t>200109</t>
  </si>
  <si>
    <t>200110</t>
  </si>
  <si>
    <t>200111</t>
  </si>
  <si>
    <t>200112</t>
  </si>
  <si>
    <t>200113</t>
  </si>
  <si>
    <t>200062</t>
  </si>
  <si>
    <t>蓝色区域内的物品的掉落次数为2次，都是ROLL玩法的掉落物品，掉落几率*5（人）</t>
  </si>
  <si>
    <t>附带</t>
  </si>
  <si>
    <t>200141</t>
  </si>
  <si>
    <t>200142</t>
  </si>
  <si>
    <t>200084</t>
  </si>
  <si>
    <t>200143</t>
  </si>
  <si>
    <t>200085</t>
  </si>
  <si>
    <t>200144</t>
  </si>
  <si>
    <t>90以上</t>
  </si>
  <si>
    <t>200145</t>
  </si>
  <si>
    <t>次数</t>
  </si>
  <si>
    <t>权重</t>
  </si>
  <si>
    <t>宝箱奖励</t>
  </si>
  <si>
    <t>200075</t>
  </si>
  <si>
    <t>200076</t>
  </si>
  <si>
    <t>310100</t>
  </si>
  <si>
    <t>决赛奖励</t>
  </si>
  <si>
    <t>奖励表中艾泽拉斯宝箱的总权重为改为443</t>
  </si>
  <si>
    <t>总掉率</t>
  </si>
  <si>
    <t>1v1</t>
  </si>
  <si>
    <t>3v3</t>
  </si>
  <si>
    <t>5v5</t>
  </si>
  <si>
    <t>5.5</t>
  </si>
  <si>
    <t>200071</t>
  </si>
  <si>
    <t>0.5</t>
  </si>
  <si>
    <t>200074</t>
  </si>
  <si>
    <t>0.735</t>
  </si>
  <si>
    <t>3.2</t>
  </si>
  <si>
    <t>0.07</t>
  </si>
  <si>
    <t>0.9</t>
  </si>
  <si>
    <t>0.746</t>
  </si>
  <si>
    <t>0.496</t>
  </si>
  <si>
    <t>0.196</t>
  </si>
  <si>
    <t>40级</t>
  </si>
  <si>
    <t>50级</t>
  </si>
  <si>
    <t>60级</t>
  </si>
  <si>
    <t>70级以上</t>
  </si>
  <si>
    <t>排名奖励</t>
    <phoneticPr fontId="28" type="noConversion"/>
  </si>
  <si>
    <t>巨龙护卫</t>
    <phoneticPr fontId="28" type="noConversion"/>
  </si>
  <si>
    <t>巨龙</t>
    <phoneticPr fontId="28" type="noConversion"/>
  </si>
  <si>
    <t>染料</t>
    <phoneticPr fontId="28" type="noConversion"/>
  </si>
  <si>
    <t>浓缩染料</t>
    <phoneticPr fontId="28" type="noConversion"/>
  </si>
  <si>
    <t>宠物染料</t>
    <phoneticPr fontId="28" type="noConversion"/>
  </si>
  <si>
    <t>迪奥布斯</t>
    <phoneticPr fontId="28" type="noConversion"/>
  </si>
  <si>
    <t>魔像</t>
    <phoneticPr fontId="28" type="noConversion"/>
  </si>
  <si>
    <t>暗夜马戏团(周20轮)</t>
    <phoneticPr fontId="28" type="noConversion"/>
  </si>
  <si>
    <t>职业日常</t>
    <phoneticPr fontId="28" type="noConversion"/>
  </si>
  <si>
    <t>精英副本</t>
    <phoneticPr fontId="28" type="noConversion"/>
  </si>
  <si>
    <t>考古</t>
    <phoneticPr fontId="28" type="noConversion"/>
  </si>
  <si>
    <t>宝宝幼儿园</t>
  </si>
  <si>
    <t>高级魔兽要诀库</t>
    <phoneticPr fontId="28" type="noConversion"/>
  </si>
  <si>
    <t>60级蓝装库</t>
    <phoneticPr fontId="28" type="noConversion"/>
  </si>
  <si>
    <t>永恒井水</t>
    <phoneticPr fontId="28" type="noConversion"/>
  </si>
  <si>
    <t>蜃楼石</t>
    <phoneticPr fontId="28" type="noConversion"/>
  </si>
  <si>
    <t>梦魇染料</t>
    <phoneticPr fontId="28" type="noConversion"/>
  </si>
  <si>
    <t>氪金钥匙</t>
    <phoneticPr fontId="28" type="noConversion"/>
  </si>
  <si>
    <t>瑟银钥匙</t>
    <phoneticPr fontId="28" type="noConversion"/>
  </si>
  <si>
    <t>艾泽拉斯地理探索</t>
    <phoneticPr fontId="28" type="noConversion"/>
  </si>
  <si>
    <t>艾泽拉斯百科竞赛</t>
    <phoneticPr fontId="28" type="noConversion"/>
  </si>
  <si>
    <t>迪奥布斯宝箱</t>
    <phoneticPr fontId="28" type="noConversion"/>
  </si>
  <si>
    <t>迪奥布斯宝箱</t>
    <phoneticPr fontId="28" type="noConversion"/>
  </si>
  <si>
    <t>浓缩染料</t>
  </si>
</sst>
</file>

<file path=xl/styles.xml><?xml version="1.0" encoding="utf-8"?>
<styleSheet xmlns="http://schemas.openxmlformats.org/spreadsheetml/2006/main">
  <fonts count="30">
    <font>
      <sz val="11"/>
      <color indexed="8"/>
      <name val="宋体"/>
      <charset val="134"/>
    </font>
    <font>
      <b/>
      <sz val="11"/>
      <color indexed="1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1"/>
      <name val="宋体"/>
      <family val="3"/>
      <charset val="134"/>
    </font>
    <font>
      <b/>
      <sz val="10"/>
      <name val="Arial"/>
      <family val="2"/>
    </font>
    <font>
      <sz val="10"/>
      <color indexed="23"/>
      <name val="宋体"/>
      <family val="3"/>
      <charset val="134"/>
    </font>
    <font>
      <sz val="10"/>
      <color indexed="63"/>
      <name val="Arial"/>
      <family val="2"/>
    </font>
    <font>
      <sz val="10"/>
      <color indexed="63"/>
      <name val="宋体"/>
      <family val="3"/>
      <charset val="134"/>
    </font>
    <font>
      <sz val="11"/>
      <name val="Arial"/>
      <family val="2"/>
    </font>
    <font>
      <sz val="10"/>
      <color indexed="10"/>
      <name val="宋体"/>
      <family val="3"/>
      <charset val="134"/>
    </font>
    <font>
      <sz val="10"/>
      <color indexed="25"/>
      <name val="宋体"/>
      <family val="3"/>
      <charset val="134"/>
    </font>
    <font>
      <sz val="10"/>
      <color indexed="13"/>
      <name val="宋体"/>
      <family val="3"/>
      <charset val="134"/>
    </font>
    <font>
      <sz val="10"/>
      <color indexed="17"/>
      <name val="宋体"/>
      <family val="3"/>
      <charset val="134"/>
    </font>
    <font>
      <sz val="10"/>
      <color indexed="40"/>
      <name val="宋体"/>
      <family val="3"/>
      <charset val="134"/>
    </font>
    <font>
      <sz val="10"/>
      <color indexed="53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color indexed="17"/>
      <name val="宋体"/>
      <family val="3"/>
      <charset val="134"/>
    </font>
    <font>
      <b/>
      <sz val="10"/>
      <color indexed="10"/>
      <name val="宋体"/>
      <family val="3"/>
      <charset val="134"/>
    </font>
    <font>
      <sz val="10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color indexed="23"/>
      <name val="Arial"/>
      <family val="2"/>
    </font>
    <font>
      <sz val="11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5">
    <xf numFmtId="0" fontId="0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24" fillId="9" borderId="14" applyNumberFormat="0" applyAlignment="0" applyProtection="0">
      <alignment vertical="center"/>
    </xf>
  </cellStyleXfs>
  <cellXfs count="17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Fo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0" applyFont="1" applyFill="1" applyBorder="1">
      <alignment vertical="center"/>
    </xf>
    <xf numFmtId="0" fontId="5" fillId="0" borderId="1" xfId="0" applyFont="1" applyFill="1" applyBorder="1" applyAlignment="1">
      <alignment vertical="center"/>
    </xf>
    <xf numFmtId="0" fontId="0" fillId="4" borderId="0" xfId="0" applyFill="1">
      <alignment vertical="center"/>
    </xf>
    <xf numFmtId="0" fontId="4" fillId="2" borderId="0" xfId="0" applyFont="1" applyFill="1" applyAlignment="1">
      <alignment vertical="center"/>
    </xf>
    <xf numFmtId="0" fontId="0" fillId="2" borderId="0" xfId="1" applyFont="1" applyFill="1" applyBorder="1">
      <alignment vertical="center"/>
    </xf>
    <xf numFmtId="0" fontId="3" fillId="2" borderId="0" xfId="1" applyFont="1" applyFill="1" applyBorder="1">
      <alignment vertical="center"/>
    </xf>
    <xf numFmtId="0" fontId="6" fillId="2" borderId="0" xfId="1" applyFont="1" applyFill="1" applyBorder="1">
      <alignment vertical="center"/>
    </xf>
    <xf numFmtId="0" fontId="6" fillId="5" borderId="0" xfId="1" applyFont="1" applyFill="1" applyBorder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0" fillId="5" borderId="0" xfId="1" applyFont="1" applyFill="1" applyBorder="1">
      <alignment vertical="center"/>
    </xf>
    <xf numFmtId="0" fontId="5" fillId="5" borderId="4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12" fillId="0" borderId="1" xfId="0" applyFont="1" applyBorder="1" applyAlignment="1">
      <alignment horizontal="right" vertical="center"/>
    </xf>
    <xf numFmtId="0" fontId="13" fillId="0" borderId="0" xfId="0" applyFont="1">
      <alignment vertical="center"/>
    </xf>
    <xf numFmtId="0" fontId="12" fillId="0" borderId="1" xfId="0" applyFont="1" applyBorder="1">
      <alignment vertical="center"/>
    </xf>
    <xf numFmtId="0" fontId="12" fillId="0" borderId="0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0" fontId="3" fillId="5" borderId="0" xfId="1" applyFont="1" applyFill="1" applyBorder="1">
      <alignment vertical="center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8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2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7" fillId="0" borderId="1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9" fillId="5" borderId="4" xfId="0" applyFont="1" applyFill="1" applyBorder="1" applyAlignment="1">
      <alignment vertical="center" textRotation="255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18" fillId="7" borderId="4" xfId="0" applyFont="1" applyFill="1" applyBorder="1" applyAlignment="1">
      <alignment vertical="center" textRotation="255"/>
    </xf>
    <xf numFmtId="0" fontId="10" fillId="0" borderId="0" xfId="0" applyFont="1" applyAlignment="1">
      <alignment vertical="center"/>
    </xf>
    <xf numFmtId="0" fontId="19" fillId="2" borderId="4" xfId="0" applyFont="1" applyFill="1" applyBorder="1" applyAlignment="1">
      <alignment vertical="center" textRotation="255"/>
    </xf>
    <xf numFmtId="0" fontId="19" fillId="7" borderId="4" xfId="0" applyFont="1" applyFill="1" applyBorder="1" applyAlignment="1">
      <alignment vertical="center" textRotation="255"/>
    </xf>
    <xf numFmtId="0" fontId="19" fillId="7" borderId="5" xfId="0" applyFont="1" applyFill="1" applyBorder="1" applyAlignment="1">
      <alignment vertical="center" textRotation="255"/>
    </xf>
    <xf numFmtId="0" fontId="19" fillId="8" borderId="1" xfId="0" applyFont="1" applyFill="1" applyBorder="1" applyAlignment="1">
      <alignment vertical="center" textRotation="255"/>
    </xf>
    <xf numFmtId="0" fontId="19" fillId="6" borderId="0" xfId="0" applyFont="1" applyFill="1" applyBorder="1" applyAlignment="1">
      <alignment vertical="center" textRotation="255"/>
    </xf>
    <xf numFmtId="0" fontId="19" fillId="9" borderId="1" xfId="0" applyFont="1" applyFill="1" applyBorder="1" applyAlignment="1">
      <alignment vertical="center" textRotation="255"/>
    </xf>
    <xf numFmtId="0" fontId="4" fillId="0" borderId="0" xfId="0" applyFont="1" applyAlignment="1">
      <alignment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" fillId="0" borderId="9" xfId="0" applyFont="1" applyBorder="1">
      <alignment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12" fillId="0" borderId="8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NumberFormat="1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2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2" fillId="0" borderId="11" xfId="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left"/>
    </xf>
    <xf numFmtId="49" fontId="2" fillId="10" borderId="0" xfId="0" applyNumberFormat="1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2" fillId="10" borderId="0" xfId="0" applyNumberFormat="1" applyFont="1" applyFill="1" applyAlignment="1">
      <alignment horizontal="left"/>
    </xf>
    <xf numFmtId="0" fontId="2" fillId="10" borderId="0" xfId="0" applyFont="1" applyFill="1" applyAlignment="1">
      <alignment horizontal="left" vertical="center"/>
    </xf>
    <xf numFmtId="0" fontId="5" fillId="10" borderId="0" xfId="0" applyNumberFormat="1" applyFont="1" applyFill="1" applyAlignment="1">
      <alignment horizontal="left"/>
    </xf>
    <xf numFmtId="0" fontId="4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49" fontId="5" fillId="10" borderId="0" xfId="0" applyNumberFormat="1" applyFont="1" applyFill="1" applyAlignment="1"/>
    <xf numFmtId="0" fontId="12" fillId="0" borderId="0" xfId="0" applyFont="1" applyAlignment="1">
      <alignment horizontal="right" vertical="center"/>
    </xf>
    <xf numFmtId="0" fontId="5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/>
    </xf>
    <xf numFmtId="0" fontId="0" fillId="0" borderId="0" xfId="0" applyNumberFormat="1" applyFill="1" applyAlignment="1"/>
    <xf numFmtId="0" fontId="0" fillId="0" borderId="0" xfId="0" applyFill="1" applyAlignment="1"/>
    <xf numFmtId="0" fontId="5" fillId="0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>
      <alignment vertical="center"/>
    </xf>
    <xf numFmtId="49" fontId="4" fillId="0" borderId="0" xfId="0" applyNumberFormat="1" applyFont="1" applyFill="1" applyAlignment="1">
      <alignment horizontal="left" wrapText="1"/>
    </xf>
    <xf numFmtId="49" fontId="2" fillId="8" borderId="0" xfId="0" applyNumberFormat="1" applyFont="1" applyFill="1" applyAlignment="1"/>
    <xf numFmtId="49" fontId="4" fillId="0" borderId="0" xfId="3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22" fillId="11" borderId="0" xfId="1" applyFont="1">
      <alignment vertical="center"/>
    </xf>
    <xf numFmtId="0" fontId="4" fillId="0" borderId="0" xfId="2" applyFont="1" applyFill="1" applyAlignment="1">
      <alignment horizontal="left"/>
    </xf>
    <xf numFmtId="0" fontId="26" fillId="0" borderId="0" xfId="0" applyFont="1">
      <alignment vertical="center"/>
    </xf>
    <xf numFmtId="0" fontId="2" fillId="12" borderId="1" xfId="0" applyFont="1" applyFill="1" applyBorder="1">
      <alignment vertical="center"/>
    </xf>
    <xf numFmtId="0" fontId="0" fillId="12" borderId="1" xfId="0" applyFill="1" applyBorder="1">
      <alignment vertical="center"/>
    </xf>
    <xf numFmtId="0" fontId="0" fillId="12" borderId="0" xfId="0" applyFill="1" applyBorder="1">
      <alignment vertical="center"/>
    </xf>
    <xf numFmtId="0" fontId="26" fillId="13" borderId="0" xfId="0" applyFont="1" applyFill="1">
      <alignment vertical="center"/>
    </xf>
    <xf numFmtId="0" fontId="2" fillId="0" borderId="0" xfId="0" applyFont="1" applyFill="1" applyAlignment="1">
      <alignment horizontal="left" vertical="center" wrapText="1"/>
    </xf>
    <xf numFmtId="0" fontId="4" fillId="14" borderId="0" xfId="0" applyFont="1" applyFill="1" applyAlignment="1">
      <alignment vertical="center"/>
    </xf>
    <xf numFmtId="0" fontId="2" fillId="14" borderId="0" xfId="0" applyFont="1" applyFill="1">
      <alignment vertical="center"/>
    </xf>
    <xf numFmtId="0" fontId="10" fillId="14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19" fillId="14" borderId="4" xfId="0" applyFont="1" applyFill="1" applyBorder="1" applyAlignment="1">
      <alignment vertical="center" textRotation="255"/>
    </xf>
    <xf numFmtId="0" fontId="19" fillId="14" borderId="1" xfId="0" applyFont="1" applyFill="1" applyBorder="1" applyAlignment="1">
      <alignment vertical="center" textRotation="255"/>
    </xf>
    <xf numFmtId="0" fontId="18" fillId="6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9" fillId="0" borderId="0" xfId="0" applyFont="1">
      <alignment vertical="center"/>
    </xf>
  </cellXfs>
  <cellStyles count="5">
    <cellStyle name="常规" xfId="0" builtinId="0"/>
    <cellStyle name="常规 2" xfId="3"/>
    <cellStyle name="常规 3" xfId="2"/>
    <cellStyle name="适中" xfId="1"/>
    <cellStyle name="输入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97"/>
  <sheetViews>
    <sheetView workbookViewId="0">
      <pane xSplit="7" ySplit="1" topLeftCell="H50" activePane="bottomRight" state="frozen"/>
      <selection pane="topRight"/>
      <selection pane="bottomLeft"/>
      <selection pane="bottomRight" activeCell="D91" sqref="D91"/>
    </sheetView>
  </sheetViews>
  <sheetFormatPr defaultColWidth="9" defaultRowHeight="12"/>
  <cols>
    <col min="1" max="1" width="9" style="6" customWidth="1"/>
    <col min="2" max="3" width="9" style="143"/>
    <col min="4" max="4" width="15.125" style="143" customWidth="1"/>
    <col min="5" max="6" width="9" style="143" customWidth="1"/>
    <col min="7" max="7" width="15.125" style="6" customWidth="1"/>
    <col min="8" max="8" width="13" style="6" customWidth="1"/>
    <col min="9" max="9" width="29.375" style="6" customWidth="1"/>
    <col min="10" max="10" width="67.375" style="6" customWidth="1"/>
    <col min="11" max="11" width="24.875" style="6" customWidth="1"/>
    <col min="12" max="13" width="18.375" style="6" customWidth="1"/>
    <col min="14" max="14" width="22.5" style="6" customWidth="1"/>
    <col min="15" max="15" width="16.25" style="6" customWidth="1"/>
    <col min="16" max="16" width="6.25" style="6" customWidth="1"/>
    <col min="17" max="17" width="11" style="6" customWidth="1"/>
    <col min="18" max="16384" width="9" style="6"/>
  </cols>
  <sheetData>
    <row r="1" spans="1:20">
      <c r="A1" s="6" t="s">
        <v>0</v>
      </c>
      <c r="B1" s="143" t="s">
        <v>1</v>
      </c>
      <c r="C1" s="143" t="s">
        <v>2</v>
      </c>
      <c r="D1" s="143" t="s">
        <v>3</v>
      </c>
      <c r="E1" s="143" t="s">
        <v>4</v>
      </c>
      <c r="F1" s="143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>
      <c r="A2" s="6" t="s">
        <v>20</v>
      </c>
    </row>
    <row r="3" spans="1:20" ht="12.75">
      <c r="B3" s="135" t="s">
        <v>21</v>
      </c>
      <c r="C3" s="135" t="s">
        <v>22</v>
      </c>
      <c r="D3" s="144" t="s">
        <v>23</v>
      </c>
      <c r="E3" s="135">
        <v>10000</v>
      </c>
      <c r="F3" s="135"/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6" t="s">
        <v>30</v>
      </c>
      <c r="N3" s="6" t="s">
        <v>31</v>
      </c>
      <c r="O3" s="6" t="s">
        <v>32</v>
      </c>
    </row>
    <row r="4" spans="1:20" ht="12.75">
      <c r="B4" s="135">
        <v>32014</v>
      </c>
      <c r="C4" s="135">
        <v>66</v>
      </c>
      <c r="D4" s="145" t="s">
        <v>33</v>
      </c>
      <c r="E4" s="146">
        <v>100000</v>
      </c>
      <c r="F4" s="146"/>
      <c r="G4" s="6" t="s">
        <v>34</v>
      </c>
      <c r="H4" s="6" t="s">
        <v>25</v>
      </c>
      <c r="I4" s="6" t="s">
        <v>26</v>
      </c>
      <c r="J4" s="6" t="s">
        <v>35</v>
      </c>
      <c r="K4" s="6" t="s">
        <v>28</v>
      </c>
      <c r="L4" s="6" t="s">
        <v>29</v>
      </c>
    </row>
    <row r="5" spans="1:20" ht="12.75">
      <c r="B5" s="135">
        <v>32038</v>
      </c>
      <c r="C5" s="135" t="s">
        <v>22</v>
      </c>
      <c r="D5" s="144" t="s">
        <v>36</v>
      </c>
      <c r="E5" s="135">
        <v>10000</v>
      </c>
      <c r="F5" s="135"/>
      <c r="G5" s="6" t="s">
        <v>37</v>
      </c>
      <c r="H5" s="6" t="s">
        <v>25</v>
      </c>
      <c r="I5" s="6" t="s">
        <v>38</v>
      </c>
      <c r="J5" s="6" t="s">
        <v>39</v>
      </c>
      <c r="K5" s="6" t="s">
        <v>28</v>
      </c>
      <c r="L5" s="6" t="s">
        <v>29</v>
      </c>
      <c r="M5" s="6" t="s">
        <v>30</v>
      </c>
      <c r="N5" s="6" t="s">
        <v>31</v>
      </c>
      <c r="O5" s="6" t="s">
        <v>32</v>
      </c>
    </row>
    <row r="6" spans="1:20" ht="12.75">
      <c r="B6" s="135">
        <v>32015</v>
      </c>
      <c r="C6" s="135" t="s">
        <v>22</v>
      </c>
      <c r="D6" s="145" t="s">
        <v>40</v>
      </c>
      <c r="E6" s="146">
        <v>100000</v>
      </c>
      <c r="F6" s="146"/>
      <c r="G6" s="6" t="s">
        <v>41</v>
      </c>
      <c r="H6" s="6" t="s">
        <v>25</v>
      </c>
      <c r="I6" s="6" t="s">
        <v>38</v>
      </c>
      <c r="J6" s="6" t="s">
        <v>42</v>
      </c>
      <c r="K6" s="6" t="s">
        <v>28</v>
      </c>
      <c r="L6" s="6" t="s">
        <v>29</v>
      </c>
    </row>
    <row r="7" spans="1:20" ht="12.75">
      <c r="B7" s="135">
        <v>320000</v>
      </c>
      <c r="C7" s="135">
        <v>290</v>
      </c>
      <c r="D7" s="135" t="s">
        <v>43</v>
      </c>
      <c r="E7" s="135"/>
      <c r="F7" s="135"/>
      <c r="G7" s="6" t="s">
        <v>44</v>
      </c>
      <c r="H7" s="6" t="s">
        <v>45</v>
      </c>
      <c r="I7" s="6" t="s">
        <v>46</v>
      </c>
      <c r="J7" s="6" t="s">
        <v>47</v>
      </c>
      <c r="K7" s="6" t="s">
        <v>48</v>
      </c>
      <c r="R7" s="6" t="s">
        <v>49</v>
      </c>
    </row>
    <row r="8" spans="1:20" ht="12.75">
      <c r="B8" s="135">
        <v>320001</v>
      </c>
      <c r="C8" s="135">
        <v>290</v>
      </c>
      <c r="D8" s="135" t="s">
        <v>50</v>
      </c>
      <c r="E8" s="135"/>
      <c r="F8" s="135"/>
      <c r="G8" s="6" t="s">
        <v>51</v>
      </c>
      <c r="H8" s="6" t="s">
        <v>45</v>
      </c>
      <c r="I8" s="6" t="s">
        <v>52</v>
      </c>
      <c r="J8" s="6" t="s">
        <v>53</v>
      </c>
      <c r="K8" s="6" t="s">
        <v>48</v>
      </c>
      <c r="R8" s="6" t="s">
        <v>49</v>
      </c>
    </row>
    <row r="9" spans="1:20" ht="12.75">
      <c r="B9" s="135">
        <v>320002</v>
      </c>
      <c r="C9" s="135">
        <v>290</v>
      </c>
      <c r="D9" s="135" t="s">
        <v>54</v>
      </c>
      <c r="E9" s="135"/>
      <c r="F9" s="135"/>
      <c r="G9" s="6" t="s">
        <v>55</v>
      </c>
      <c r="H9" s="6" t="s">
        <v>45</v>
      </c>
      <c r="I9" s="6" t="s">
        <v>52</v>
      </c>
      <c r="J9" s="6" t="s">
        <v>56</v>
      </c>
      <c r="K9" s="6" t="s">
        <v>48</v>
      </c>
      <c r="R9" s="6" t="s">
        <v>49</v>
      </c>
    </row>
    <row r="10" spans="1:20" ht="12.75">
      <c r="B10" s="135">
        <v>320003</v>
      </c>
      <c r="C10" s="135">
        <v>290</v>
      </c>
      <c r="D10" s="144" t="s">
        <v>57</v>
      </c>
      <c r="E10" s="144"/>
      <c r="F10" s="144"/>
      <c r="G10" s="6" t="s">
        <v>58</v>
      </c>
      <c r="H10" s="6" t="s">
        <v>45</v>
      </c>
      <c r="I10" s="6" t="s">
        <v>52</v>
      </c>
      <c r="J10" s="6" t="s">
        <v>59</v>
      </c>
      <c r="K10" s="6" t="s">
        <v>48</v>
      </c>
      <c r="R10" s="6" t="s">
        <v>49</v>
      </c>
    </row>
    <row r="11" spans="1:20" ht="12.75">
      <c r="B11" s="135">
        <v>320004</v>
      </c>
      <c r="C11" s="135">
        <v>290</v>
      </c>
      <c r="D11" s="135" t="s">
        <v>60</v>
      </c>
      <c r="E11" s="135"/>
      <c r="F11" s="135"/>
      <c r="G11" s="6" t="s">
        <v>61</v>
      </c>
      <c r="H11" s="6" t="s">
        <v>45</v>
      </c>
      <c r="I11" s="6" t="s">
        <v>52</v>
      </c>
      <c r="J11" s="6" t="s">
        <v>62</v>
      </c>
      <c r="K11" s="6" t="s">
        <v>48</v>
      </c>
      <c r="R11" s="6" t="s">
        <v>49</v>
      </c>
    </row>
    <row r="12" spans="1:20" ht="12.75">
      <c r="B12" s="135">
        <v>320005</v>
      </c>
      <c r="C12" s="135">
        <v>290</v>
      </c>
      <c r="D12" s="135" t="s">
        <v>63</v>
      </c>
      <c r="E12" s="135"/>
      <c r="F12" s="135"/>
      <c r="G12" s="6" t="s">
        <v>64</v>
      </c>
      <c r="H12" s="6" t="s">
        <v>45</v>
      </c>
      <c r="I12" s="6" t="s">
        <v>52</v>
      </c>
      <c r="J12" s="6" t="s">
        <v>65</v>
      </c>
      <c r="K12" s="6" t="s">
        <v>48</v>
      </c>
      <c r="R12" s="6" t="s">
        <v>49</v>
      </c>
    </row>
    <row r="13" spans="1:20" ht="12.75">
      <c r="B13" s="135">
        <v>320006</v>
      </c>
      <c r="C13" s="135">
        <v>290</v>
      </c>
      <c r="D13" s="135" t="s">
        <v>66</v>
      </c>
      <c r="E13" s="135"/>
      <c r="F13" s="135"/>
      <c r="G13" s="6" t="s">
        <v>67</v>
      </c>
      <c r="H13" s="6" t="s">
        <v>45</v>
      </c>
      <c r="I13" s="6" t="s">
        <v>52</v>
      </c>
      <c r="J13" s="6" t="s">
        <v>68</v>
      </c>
      <c r="K13" s="6" t="s">
        <v>48</v>
      </c>
      <c r="R13" s="6" t="s">
        <v>49</v>
      </c>
    </row>
    <row r="14" spans="1:20" ht="12.75">
      <c r="B14" s="135">
        <v>320007</v>
      </c>
      <c r="C14" s="135">
        <v>290</v>
      </c>
      <c r="D14" s="135" t="s">
        <v>69</v>
      </c>
      <c r="E14" s="135"/>
      <c r="F14" s="135"/>
      <c r="G14" s="6" t="s">
        <v>70</v>
      </c>
      <c r="H14" s="6" t="s">
        <v>45</v>
      </c>
      <c r="I14" s="6" t="s">
        <v>52</v>
      </c>
      <c r="J14" s="6" t="s">
        <v>71</v>
      </c>
      <c r="K14" s="6" t="s">
        <v>48</v>
      </c>
      <c r="R14" s="6" t="s">
        <v>49</v>
      </c>
    </row>
    <row r="15" spans="1:20" ht="12.75">
      <c r="B15" s="135">
        <v>320100</v>
      </c>
      <c r="C15" s="135">
        <v>291</v>
      </c>
      <c r="D15" s="144" t="s">
        <v>72</v>
      </c>
      <c r="E15" s="144"/>
      <c r="F15" s="144"/>
      <c r="G15" s="6" t="s">
        <v>73</v>
      </c>
      <c r="H15" s="6" t="s">
        <v>74</v>
      </c>
      <c r="I15" s="6" t="s">
        <v>75</v>
      </c>
      <c r="J15" s="6" t="s">
        <v>76</v>
      </c>
      <c r="K15" s="6" t="s">
        <v>77</v>
      </c>
      <c r="L15" s="6" t="s">
        <v>78</v>
      </c>
      <c r="R15" s="6" t="s">
        <v>79</v>
      </c>
    </row>
    <row r="16" spans="1:20" ht="12.75">
      <c r="B16" s="135">
        <v>320101</v>
      </c>
      <c r="C16" s="135">
        <v>291</v>
      </c>
      <c r="D16" s="144" t="s">
        <v>80</v>
      </c>
      <c r="E16" s="144"/>
      <c r="F16" s="144"/>
      <c r="G16" s="6" t="s">
        <v>81</v>
      </c>
      <c r="H16" s="6" t="s">
        <v>82</v>
      </c>
      <c r="I16" s="6" t="s">
        <v>52</v>
      </c>
      <c r="J16" s="6" t="s">
        <v>83</v>
      </c>
      <c r="K16" s="6" t="s">
        <v>78</v>
      </c>
      <c r="R16" s="6" t="s">
        <v>49</v>
      </c>
    </row>
    <row r="17" spans="1:18" ht="12.75">
      <c r="B17" s="135">
        <v>320102</v>
      </c>
      <c r="C17" s="135">
        <v>291</v>
      </c>
      <c r="D17" s="144" t="s">
        <v>84</v>
      </c>
      <c r="E17" s="144"/>
      <c r="F17" s="144"/>
      <c r="G17" s="6" t="s">
        <v>85</v>
      </c>
      <c r="H17" s="6" t="s">
        <v>82</v>
      </c>
      <c r="I17" s="6" t="s">
        <v>52</v>
      </c>
      <c r="J17" s="6" t="s">
        <v>86</v>
      </c>
      <c r="K17" s="6" t="s">
        <v>78</v>
      </c>
      <c r="R17" s="6" t="s">
        <v>49</v>
      </c>
    </row>
    <row r="18" spans="1:18" ht="12.75">
      <c r="B18" s="135">
        <v>320103</v>
      </c>
      <c r="C18" s="135">
        <v>291</v>
      </c>
      <c r="D18" s="144" t="s">
        <v>87</v>
      </c>
      <c r="E18" s="144"/>
      <c r="F18" s="144"/>
      <c r="G18" s="6" t="s">
        <v>88</v>
      </c>
      <c r="H18" s="6" t="s">
        <v>82</v>
      </c>
      <c r="I18" s="6" t="s">
        <v>52</v>
      </c>
      <c r="J18" s="6" t="s">
        <v>89</v>
      </c>
      <c r="K18" s="6" t="s">
        <v>78</v>
      </c>
      <c r="R18" s="6" t="s">
        <v>49</v>
      </c>
    </row>
    <row r="19" spans="1:18" ht="12.75">
      <c r="B19" s="135">
        <v>320104</v>
      </c>
      <c r="C19" s="135">
        <v>291</v>
      </c>
      <c r="D19" s="144" t="s">
        <v>90</v>
      </c>
      <c r="E19" s="144"/>
      <c r="F19" s="144"/>
      <c r="G19" s="6" t="s">
        <v>91</v>
      </c>
      <c r="H19" s="6" t="s">
        <v>82</v>
      </c>
      <c r="I19" s="6" t="s">
        <v>52</v>
      </c>
      <c r="J19" s="6" t="s">
        <v>92</v>
      </c>
      <c r="K19" s="6" t="s">
        <v>78</v>
      </c>
      <c r="R19" s="6" t="s">
        <v>49</v>
      </c>
    </row>
    <row r="20" spans="1:18" ht="12.75">
      <c r="B20" s="135">
        <v>320105</v>
      </c>
      <c r="C20" s="135">
        <v>291</v>
      </c>
      <c r="D20" s="144" t="s">
        <v>93</v>
      </c>
      <c r="E20" s="144"/>
      <c r="F20" s="144"/>
      <c r="G20" s="6" t="s">
        <v>94</v>
      </c>
      <c r="H20" s="6" t="s">
        <v>74</v>
      </c>
      <c r="I20" s="6" t="s">
        <v>95</v>
      </c>
      <c r="J20" s="6" t="s">
        <v>96</v>
      </c>
      <c r="K20" s="6" t="s">
        <v>77</v>
      </c>
      <c r="R20" s="6" t="s">
        <v>79</v>
      </c>
    </row>
    <row r="21" spans="1:18" ht="12.75">
      <c r="B21" s="135">
        <v>320150</v>
      </c>
      <c r="C21" s="135">
        <v>275</v>
      </c>
      <c r="D21" s="144" t="s">
        <v>97</v>
      </c>
      <c r="E21" s="144"/>
      <c r="F21" s="144"/>
      <c r="G21" s="6" t="s">
        <v>98</v>
      </c>
      <c r="H21" s="6" t="s">
        <v>99</v>
      </c>
      <c r="I21" s="6" t="s">
        <v>100</v>
      </c>
      <c r="J21" s="6" t="s">
        <v>101</v>
      </c>
      <c r="K21" s="6" t="s">
        <v>77</v>
      </c>
      <c r="R21" s="6" t="s">
        <v>79</v>
      </c>
    </row>
    <row r="22" spans="1:18" ht="12.75">
      <c r="B22" s="135">
        <v>320151</v>
      </c>
      <c r="C22" s="135">
        <v>275</v>
      </c>
      <c r="D22" s="135" t="s">
        <v>102</v>
      </c>
      <c r="E22" s="135"/>
      <c r="F22" s="135"/>
      <c r="G22" s="6" t="s">
        <v>103</v>
      </c>
      <c r="H22" s="6" t="s">
        <v>99</v>
      </c>
      <c r="I22" s="6" t="s">
        <v>104</v>
      </c>
      <c r="J22" s="6" t="s">
        <v>105</v>
      </c>
      <c r="K22" s="6" t="s">
        <v>77</v>
      </c>
      <c r="R22" s="6" t="s">
        <v>79</v>
      </c>
    </row>
    <row r="23" spans="1:18" ht="12.75">
      <c r="B23" s="135">
        <v>320152</v>
      </c>
      <c r="C23" s="135">
        <v>275</v>
      </c>
      <c r="D23" s="135" t="s">
        <v>106</v>
      </c>
      <c r="E23" s="135"/>
      <c r="F23" s="135"/>
      <c r="G23" s="6" t="s">
        <v>107</v>
      </c>
      <c r="H23" s="6" t="s">
        <v>99</v>
      </c>
      <c r="I23" s="6" t="s">
        <v>108</v>
      </c>
      <c r="J23" s="6" t="s">
        <v>109</v>
      </c>
      <c r="K23" s="6" t="s">
        <v>77</v>
      </c>
      <c r="R23" s="6" t="s">
        <v>79</v>
      </c>
    </row>
    <row r="24" spans="1:18" ht="12.75">
      <c r="B24" s="135">
        <v>320153</v>
      </c>
      <c r="C24" s="135">
        <v>275</v>
      </c>
      <c r="D24" s="135" t="s">
        <v>110</v>
      </c>
      <c r="E24" s="135"/>
      <c r="F24" s="135"/>
      <c r="G24" s="6" t="s">
        <v>111</v>
      </c>
      <c r="H24" s="6" t="s">
        <v>99</v>
      </c>
      <c r="I24" s="6" t="s">
        <v>112</v>
      </c>
      <c r="J24" s="6" t="s">
        <v>113</v>
      </c>
      <c r="K24" s="6" t="s">
        <v>77</v>
      </c>
      <c r="R24" s="6" t="s">
        <v>79</v>
      </c>
    </row>
    <row r="25" spans="1:18" ht="12.75">
      <c r="B25" s="135">
        <v>320154</v>
      </c>
      <c r="C25" s="135">
        <v>275</v>
      </c>
      <c r="D25" s="135" t="s">
        <v>114</v>
      </c>
      <c r="E25" s="135"/>
      <c r="F25" s="135"/>
      <c r="G25" s="6" t="s">
        <v>115</v>
      </c>
      <c r="H25" s="6" t="s">
        <v>116</v>
      </c>
      <c r="I25" s="6" t="s">
        <v>117</v>
      </c>
      <c r="J25" s="6" t="s">
        <v>118</v>
      </c>
    </row>
    <row r="26" spans="1:18" ht="12.75">
      <c r="B26" s="135">
        <v>320155</v>
      </c>
      <c r="C26" s="135">
        <v>275</v>
      </c>
      <c r="D26" s="135" t="s">
        <v>119</v>
      </c>
      <c r="E26" s="135"/>
      <c r="F26" s="135"/>
      <c r="G26" s="6" t="s">
        <v>120</v>
      </c>
      <c r="H26" s="6" t="s">
        <v>116</v>
      </c>
      <c r="I26" s="6" t="s">
        <v>121</v>
      </c>
      <c r="J26" s="6" t="s">
        <v>122</v>
      </c>
    </row>
    <row r="27" spans="1:18" ht="12.75">
      <c r="B27" s="135">
        <v>320156</v>
      </c>
      <c r="C27" s="135">
        <v>275</v>
      </c>
      <c r="D27" s="135" t="s">
        <v>123</v>
      </c>
      <c r="E27" s="135"/>
      <c r="F27" s="135"/>
      <c r="G27" s="6" t="s">
        <v>124</v>
      </c>
      <c r="H27" s="6" t="s">
        <v>116</v>
      </c>
      <c r="I27" s="6" t="s">
        <v>108</v>
      </c>
      <c r="J27" s="6" t="s">
        <v>109</v>
      </c>
    </row>
    <row r="28" spans="1:18" ht="12.75">
      <c r="B28" s="135">
        <v>320157</v>
      </c>
      <c r="C28" s="135">
        <v>275</v>
      </c>
      <c r="D28" s="135" t="s">
        <v>125</v>
      </c>
      <c r="E28" s="135"/>
      <c r="F28" s="135"/>
      <c r="G28" s="6" t="s">
        <v>126</v>
      </c>
      <c r="H28" s="6" t="s">
        <v>116</v>
      </c>
      <c r="I28" s="6" t="s">
        <v>112</v>
      </c>
      <c r="J28" s="6" t="s">
        <v>113</v>
      </c>
      <c r="M28" s="6" t="s">
        <v>127</v>
      </c>
    </row>
    <row r="30" spans="1:18">
      <c r="A30" s="6" t="s">
        <v>128</v>
      </c>
    </row>
    <row r="31" spans="1:18" ht="12.75">
      <c r="B31" s="147" t="s">
        <v>129</v>
      </c>
      <c r="C31" s="147" t="s">
        <v>130</v>
      </c>
      <c r="D31" s="148" t="s">
        <v>131</v>
      </c>
      <c r="E31" s="148"/>
      <c r="F31" s="148"/>
      <c r="G31" s="6" t="s">
        <v>132</v>
      </c>
      <c r="H31" s="6" t="s">
        <v>133</v>
      </c>
      <c r="I31" s="6" t="s">
        <v>134</v>
      </c>
      <c r="J31" s="6" t="s">
        <v>135</v>
      </c>
      <c r="K31" s="6" t="s">
        <v>136</v>
      </c>
      <c r="L31" s="6" t="s">
        <v>137</v>
      </c>
      <c r="M31" s="6" t="s">
        <v>138</v>
      </c>
      <c r="N31" s="6" t="s">
        <v>32</v>
      </c>
      <c r="O31" s="6" t="s">
        <v>139</v>
      </c>
    </row>
    <row r="32" spans="1:18" ht="12.75">
      <c r="B32" s="147" t="s">
        <v>140</v>
      </c>
      <c r="C32" s="147" t="s">
        <v>141</v>
      </c>
      <c r="D32" s="148" t="s">
        <v>142</v>
      </c>
      <c r="E32" s="148"/>
      <c r="F32" s="148"/>
      <c r="G32" s="6" t="s">
        <v>143</v>
      </c>
      <c r="H32" s="6" t="s">
        <v>144</v>
      </c>
      <c r="I32" s="6" t="s">
        <v>145</v>
      </c>
      <c r="J32" s="6" t="s">
        <v>146</v>
      </c>
      <c r="K32" s="6" t="s">
        <v>147</v>
      </c>
    </row>
    <row r="33" spans="1:17" ht="12.75">
      <c r="B33" s="138" t="s">
        <v>148</v>
      </c>
      <c r="C33" s="138" t="s">
        <v>149</v>
      </c>
      <c r="D33" s="146" t="s">
        <v>150</v>
      </c>
      <c r="E33" s="146"/>
      <c r="F33" s="146"/>
      <c r="G33" s="6" t="s">
        <v>151</v>
      </c>
      <c r="H33" s="6" t="s">
        <v>152</v>
      </c>
      <c r="I33" s="6" t="s">
        <v>153</v>
      </c>
      <c r="J33" s="6" t="s">
        <v>154</v>
      </c>
    </row>
    <row r="34" spans="1:17" ht="12.75">
      <c r="B34" s="138" t="s">
        <v>155</v>
      </c>
      <c r="C34" s="138" t="s">
        <v>149</v>
      </c>
      <c r="D34" s="145" t="s">
        <v>156</v>
      </c>
      <c r="E34" s="145"/>
      <c r="F34" s="145"/>
      <c r="G34" s="6" t="s">
        <v>157</v>
      </c>
      <c r="H34" s="6" t="s">
        <v>152</v>
      </c>
      <c r="I34" s="6" t="s">
        <v>158</v>
      </c>
      <c r="J34" s="6" t="s">
        <v>159</v>
      </c>
    </row>
    <row r="35" spans="1:17" ht="12.75">
      <c r="B35" s="138" t="s">
        <v>160</v>
      </c>
      <c r="C35" s="138" t="s">
        <v>149</v>
      </c>
      <c r="D35" s="145" t="s">
        <v>161</v>
      </c>
      <c r="E35" s="145"/>
      <c r="F35" s="145"/>
      <c r="G35" s="6" t="s">
        <v>162</v>
      </c>
      <c r="H35" s="6" t="s">
        <v>152</v>
      </c>
      <c r="I35" s="6" t="s">
        <v>163</v>
      </c>
      <c r="J35" s="6" t="s">
        <v>164</v>
      </c>
    </row>
    <row r="36" spans="1:17" ht="12.75">
      <c r="B36" s="138" t="s">
        <v>165</v>
      </c>
      <c r="C36" s="138" t="s">
        <v>149</v>
      </c>
      <c r="D36" s="145" t="s">
        <v>166</v>
      </c>
      <c r="E36" s="145"/>
      <c r="F36" s="145"/>
      <c r="G36" s="6" t="s">
        <v>167</v>
      </c>
      <c r="H36" s="6" t="s">
        <v>152</v>
      </c>
      <c r="I36" s="6" t="s">
        <v>168</v>
      </c>
      <c r="J36" s="6" t="s">
        <v>169</v>
      </c>
    </row>
    <row r="37" spans="1:17" ht="12.75">
      <c r="B37" s="138" t="s">
        <v>170</v>
      </c>
      <c r="C37" s="138" t="s">
        <v>149</v>
      </c>
      <c r="D37" s="145" t="s">
        <v>171</v>
      </c>
      <c r="E37" s="145"/>
      <c r="F37" s="145"/>
      <c r="G37" s="6" t="s">
        <v>172</v>
      </c>
      <c r="H37" s="6" t="s">
        <v>152</v>
      </c>
      <c r="I37" s="6" t="s">
        <v>173</v>
      </c>
      <c r="J37" s="6" t="s">
        <v>174</v>
      </c>
    </row>
    <row r="38" spans="1:17" ht="12.75">
      <c r="B38" s="138" t="s">
        <v>175</v>
      </c>
      <c r="C38" s="138" t="s">
        <v>149</v>
      </c>
      <c r="D38" s="145" t="s">
        <v>176</v>
      </c>
      <c r="E38" s="145"/>
      <c r="F38" s="145"/>
      <c r="G38" s="6" t="s">
        <v>177</v>
      </c>
      <c r="H38" s="6" t="s">
        <v>152</v>
      </c>
      <c r="I38" s="6" t="s">
        <v>178</v>
      </c>
      <c r="J38" s="6" t="s">
        <v>179</v>
      </c>
      <c r="K38" s="6" t="s">
        <v>29</v>
      </c>
      <c r="L38" s="6" t="s">
        <v>180</v>
      </c>
    </row>
    <row r="39" spans="1:17" ht="12.75">
      <c r="B39" s="147" t="s">
        <v>181</v>
      </c>
      <c r="C39" s="138" t="s">
        <v>182</v>
      </c>
      <c r="D39" s="148" t="s">
        <v>183</v>
      </c>
      <c r="E39" s="148"/>
      <c r="F39" s="148"/>
      <c r="G39" s="6" t="s">
        <v>184</v>
      </c>
      <c r="H39" s="6" t="s">
        <v>185</v>
      </c>
      <c r="I39" s="6" t="s">
        <v>186</v>
      </c>
      <c r="J39" s="6" t="s">
        <v>187</v>
      </c>
      <c r="K39" s="6" t="s">
        <v>136</v>
      </c>
      <c r="L39" s="6" t="s">
        <v>30</v>
      </c>
      <c r="M39" s="6" t="s">
        <v>188</v>
      </c>
      <c r="N39" s="6" t="s">
        <v>138</v>
      </c>
      <c r="O39" s="6" t="s">
        <v>189</v>
      </c>
      <c r="P39" s="6" t="s">
        <v>190</v>
      </c>
      <c r="Q39" s="6" t="s">
        <v>191</v>
      </c>
    </row>
    <row r="40" spans="1:17" ht="12.75">
      <c r="B40" s="147" t="s">
        <v>192</v>
      </c>
      <c r="C40" s="138" t="s">
        <v>193</v>
      </c>
      <c r="D40" s="148" t="s">
        <v>194</v>
      </c>
      <c r="E40" s="148"/>
      <c r="F40" s="148"/>
      <c r="G40" s="6" t="s">
        <v>195</v>
      </c>
      <c r="H40" s="6" t="s">
        <v>185</v>
      </c>
      <c r="I40" s="6" t="s">
        <v>196</v>
      </c>
      <c r="J40" s="6" t="s">
        <v>197</v>
      </c>
    </row>
    <row r="41" spans="1:17">
      <c r="B41" s="143">
        <v>335102</v>
      </c>
      <c r="C41" s="143">
        <v>4262</v>
      </c>
      <c r="D41" s="149" t="s">
        <v>198</v>
      </c>
      <c r="E41" s="149"/>
      <c r="F41" s="149"/>
      <c r="G41" s="150" t="s">
        <v>199</v>
      </c>
    </row>
    <row r="42" spans="1:17">
      <c r="D42" s="149"/>
      <c r="E42" s="149"/>
      <c r="F42" s="149"/>
      <c r="G42" s="150"/>
    </row>
    <row r="43" spans="1:17">
      <c r="A43" s="6" t="s">
        <v>200</v>
      </c>
    </row>
    <row r="44" spans="1:17" ht="12.75">
      <c r="B44" s="147" t="s">
        <v>201</v>
      </c>
      <c r="C44" s="147" t="s">
        <v>202</v>
      </c>
      <c r="D44" s="151" t="s">
        <v>203</v>
      </c>
      <c r="E44" s="151"/>
      <c r="F44" s="151"/>
      <c r="G44" s="6" t="s">
        <v>204</v>
      </c>
      <c r="H44" s="6" t="s">
        <v>205</v>
      </c>
      <c r="I44" s="6" t="s">
        <v>206</v>
      </c>
      <c r="J44" s="6" t="s">
        <v>207</v>
      </c>
      <c r="K44" s="6" t="s">
        <v>208</v>
      </c>
      <c r="L44" s="6" t="s">
        <v>209</v>
      </c>
      <c r="M44" s="6" t="s">
        <v>210</v>
      </c>
      <c r="N44" s="6" t="s">
        <v>211</v>
      </c>
      <c r="O44" s="6" t="s">
        <v>212</v>
      </c>
    </row>
    <row r="45" spans="1:17" ht="12.75">
      <c r="B45" s="138" t="s">
        <v>213</v>
      </c>
      <c r="C45" s="147" t="s">
        <v>202</v>
      </c>
      <c r="D45" s="151" t="s">
        <v>203</v>
      </c>
      <c r="E45" s="151"/>
      <c r="F45" s="151"/>
      <c r="G45" s="6" t="s">
        <v>204</v>
      </c>
      <c r="H45" s="6" t="s">
        <v>205</v>
      </c>
      <c r="I45" s="6" t="s">
        <v>214</v>
      </c>
      <c r="J45" s="6" t="s">
        <v>207</v>
      </c>
      <c r="K45" s="6" t="s">
        <v>208</v>
      </c>
      <c r="L45" s="6" t="s">
        <v>209</v>
      </c>
      <c r="M45" s="6" t="s">
        <v>210</v>
      </c>
      <c r="N45" s="6" t="s">
        <v>211</v>
      </c>
      <c r="O45" s="6" t="s">
        <v>212</v>
      </c>
    </row>
    <row r="46" spans="1:17" ht="12.75">
      <c r="B46" s="138" t="s">
        <v>215</v>
      </c>
      <c r="C46" s="147" t="s">
        <v>202</v>
      </c>
      <c r="D46" s="151" t="s">
        <v>203</v>
      </c>
      <c r="E46" s="151"/>
      <c r="F46" s="151"/>
      <c r="G46" s="6" t="s">
        <v>204</v>
      </c>
      <c r="H46" s="6" t="s">
        <v>205</v>
      </c>
      <c r="I46" s="6" t="s">
        <v>216</v>
      </c>
      <c r="J46" s="6" t="s">
        <v>207</v>
      </c>
      <c r="K46" s="6" t="s">
        <v>208</v>
      </c>
      <c r="L46" s="6" t="s">
        <v>209</v>
      </c>
      <c r="M46" s="6" t="s">
        <v>210</v>
      </c>
      <c r="N46" s="6" t="s">
        <v>211</v>
      </c>
      <c r="O46" s="6" t="s">
        <v>212</v>
      </c>
    </row>
    <row r="47" spans="1:17" ht="12.75">
      <c r="B47" s="138" t="s">
        <v>217</v>
      </c>
      <c r="C47" s="147" t="s">
        <v>202</v>
      </c>
      <c r="D47" s="151" t="s">
        <v>203</v>
      </c>
      <c r="E47" s="151"/>
      <c r="F47" s="151"/>
      <c r="G47" s="6" t="s">
        <v>204</v>
      </c>
      <c r="H47" s="6" t="s">
        <v>205</v>
      </c>
      <c r="I47" s="6" t="s">
        <v>218</v>
      </c>
      <c r="J47" s="6" t="s">
        <v>207</v>
      </c>
      <c r="K47" s="6" t="s">
        <v>208</v>
      </c>
      <c r="L47" s="6" t="s">
        <v>209</v>
      </c>
      <c r="M47" s="6" t="s">
        <v>210</v>
      </c>
      <c r="N47" s="6" t="s">
        <v>211</v>
      </c>
      <c r="O47" s="6" t="s">
        <v>212</v>
      </c>
    </row>
    <row r="48" spans="1:17" ht="12.75">
      <c r="B48" s="138" t="s">
        <v>219</v>
      </c>
      <c r="C48" s="147" t="s">
        <v>202</v>
      </c>
      <c r="D48" s="151" t="s">
        <v>203</v>
      </c>
      <c r="E48" s="151"/>
      <c r="F48" s="151"/>
      <c r="G48" s="6" t="s">
        <v>204</v>
      </c>
      <c r="H48" s="6" t="s">
        <v>205</v>
      </c>
      <c r="I48" s="6" t="s">
        <v>220</v>
      </c>
      <c r="J48" s="6" t="s">
        <v>207</v>
      </c>
      <c r="K48" s="6" t="s">
        <v>208</v>
      </c>
      <c r="L48" s="6" t="s">
        <v>209</v>
      </c>
      <c r="M48" s="6" t="s">
        <v>210</v>
      </c>
      <c r="N48" s="6" t="s">
        <v>211</v>
      </c>
      <c r="O48" s="6" t="s">
        <v>212</v>
      </c>
    </row>
    <row r="49" spans="2:15" ht="12.75">
      <c r="B49" s="138" t="s">
        <v>221</v>
      </c>
      <c r="C49" s="147" t="s">
        <v>202</v>
      </c>
      <c r="D49" s="151" t="s">
        <v>203</v>
      </c>
      <c r="E49" s="151"/>
      <c r="F49" s="151"/>
      <c r="G49" s="6" t="s">
        <v>204</v>
      </c>
      <c r="H49" s="6" t="s">
        <v>205</v>
      </c>
      <c r="I49" s="6" t="s">
        <v>222</v>
      </c>
      <c r="J49" s="6" t="s">
        <v>207</v>
      </c>
      <c r="K49" s="6" t="s">
        <v>208</v>
      </c>
      <c r="L49" s="6" t="s">
        <v>209</v>
      </c>
      <c r="M49" s="6" t="s">
        <v>210</v>
      </c>
      <c r="N49" s="6" t="s">
        <v>211</v>
      </c>
      <c r="O49" s="6" t="s">
        <v>212</v>
      </c>
    </row>
    <row r="50" spans="2:15" ht="12.75">
      <c r="B50" s="138" t="s">
        <v>223</v>
      </c>
      <c r="C50" s="147" t="s">
        <v>202</v>
      </c>
      <c r="D50" s="151" t="s">
        <v>203</v>
      </c>
      <c r="E50" s="151"/>
      <c r="F50" s="151"/>
      <c r="G50" s="6" t="s">
        <v>204</v>
      </c>
      <c r="H50" s="6" t="s">
        <v>205</v>
      </c>
      <c r="I50" s="6" t="s">
        <v>224</v>
      </c>
      <c r="J50" s="6" t="s">
        <v>207</v>
      </c>
      <c r="K50" s="6" t="s">
        <v>208</v>
      </c>
      <c r="L50" s="6" t="s">
        <v>209</v>
      </c>
      <c r="M50" s="6" t="s">
        <v>210</v>
      </c>
      <c r="N50" s="6" t="s">
        <v>211</v>
      </c>
      <c r="O50" s="6" t="s">
        <v>212</v>
      </c>
    </row>
    <row r="51" spans="2:15" ht="12.75">
      <c r="B51" s="138" t="s">
        <v>225</v>
      </c>
      <c r="C51" s="147" t="s">
        <v>202</v>
      </c>
      <c r="D51" s="151" t="s">
        <v>203</v>
      </c>
      <c r="E51" s="151"/>
      <c r="F51" s="151"/>
      <c r="G51" s="6" t="s">
        <v>204</v>
      </c>
      <c r="H51" s="6" t="s">
        <v>205</v>
      </c>
      <c r="I51" s="6" t="s">
        <v>226</v>
      </c>
      <c r="J51" s="6" t="s">
        <v>207</v>
      </c>
      <c r="K51" s="6" t="s">
        <v>208</v>
      </c>
      <c r="L51" s="6" t="s">
        <v>209</v>
      </c>
      <c r="M51" s="6" t="s">
        <v>210</v>
      </c>
      <c r="N51" s="6" t="s">
        <v>211</v>
      </c>
      <c r="O51" s="6" t="s">
        <v>212</v>
      </c>
    </row>
    <row r="52" spans="2:15" ht="12.75">
      <c r="B52" s="138" t="s">
        <v>227</v>
      </c>
      <c r="C52" s="147" t="s">
        <v>202</v>
      </c>
      <c r="D52" s="151" t="s">
        <v>203</v>
      </c>
      <c r="E52" s="151"/>
      <c r="F52" s="151"/>
      <c r="G52" s="6" t="s">
        <v>204</v>
      </c>
      <c r="H52" s="6" t="s">
        <v>205</v>
      </c>
      <c r="I52" s="6" t="s">
        <v>228</v>
      </c>
      <c r="J52" s="6" t="s">
        <v>207</v>
      </c>
      <c r="K52" s="6" t="s">
        <v>208</v>
      </c>
      <c r="L52" s="6" t="s">
        <v>209</v>
      </c>
      <c r="M52" s="6" t="s">
        <v>210</v>
      </c>
      <c r="N52" s="6" t="s">
        <v>211</v>
      </c>
      <c r="O52" s="6" t="s">
        <v>212</v>
      </c>
    </row>
    <row r="53" spans="2:15" ht="12.75">
      <c r="B53" s="138" t="s">
        <v>229</v>
      </c>
      <c r="C53" s="147" t="s">
        <v>202</v>
      </c>
      <c r="D53" s="151" t="s">
        <v>203</v>
      </c>
      <c r="E53" s="151"/>
      <c r="F53" s="151"/>
      <c r="G53" s="6" t="s">
        <v>204</v>
      </c>
      <c r="H53" s="6" t="s">
        <v>205</v>
      </c>
      <c r="I53" s="6" t="s">
        <v>230</v>
      </c>
      <c r="J53" s="6" t="s">
        <v>207</v>
      </c>
      <c r="K53" s="6" t="s">
        <v>208</v>
      </c>
      <c r="L53" s="6" t="s">
        <v>209</v>
      </c>
      <c r="M53" s="6" t="s">
        <v>210</v>
      </c>
      <c r="N53" s="6" t="s">
        <v>211</v>
      </c>
      <c r="O53" s="6" t="s">
        <v>212</v>
      </c>
    </row>
    <row r="54" spans="2:15" ht="12.75">
      <c r="B54" s="138" t="s">
        <v>231</v>
      </c>
      <c r="C54" s="147" t="s">
        <v>202</v>
      </c>
      <c r="D54" s="151" t="s">
        <v>203</v>
      </c>
      <c r="E54" s="151"/>
      <c r="F54" s="151"/>
      <c r="G54" s="6" t="s">
        <v>204</v>
      </c>
      <c r="H54" s="6" t="s">
        <v>205</v>
      </c>
      <c r="I54" s="6" t="s">
        <v>232</v>
      </c>
      <c r="J54" s="6" t="s">
        <v>207</v>
      </c>
      <c r="K54" s="6" t="s">
        <v>208</v>
      </c>
      <c r="L54" s="6" t="s">
        <v>209</v>
      </c>
      <c r="M54" s="6" t="s">
        <v>210</v>
      </c>
      <c r="N54" s="6" t="s">
        <v>211</v>
      </c>
      <c r="O54" s="6" t="s">
        <v>212</v>
      </c>
    </row>
    <row r="55" spans="2:15" ht="12.75">
      <c r="B55" s="138" t="s">
        <v>233</v>
      </c>
      <c r="C55" s="147" t="s">
        <v>202</v>
      </c>
      <c r="D55" s="151" t="s">
        <v>203</v>
      </c>
      <c r="E55" s="151"/>
      <c r="F55" s="151"/>
      <c r="G55" s="6" t="s">
        <v>204</v>
      </c>
      <c r="H55" s="6" t="s">
        <v>205</v>
      </c>
      <c r="I55" s="6" t="s">
        <v>234</v>
      </c>
      <c r="J55" s="6" t="s">
        <v>207</v>
      </c>
      <c r="K55" s="6" t="s">
        <v>208</v>
      </c>
      <c r="L55" s="6" t="s">
        <v>209</v>
      </c>
      <c r="M55" s="6" t="s">
        <v>210</v>
      </c>
      <c r="N55" s="6" t="s">
        <v>211</v>
      </c>
      <c r="O55" s="6" t="s">
        <v>212</v>
      </c>
    </row>
    <row r="56" spans="2:15" ht="12.75">
      <c r="B56" s="138" t="s">
        <v>235</v>
      </c>
      <c r="C56" s="147" t="s">
        <v>202</v>
      </c>
      <c r="D56" s="151" t="s">
        <v>203</v>
      </c>
      <c r="E56" s="151"/>
      <c r="F56" s="151"/>
      <c r="G56" s="6" t="s">
        <v>204</v>
      </c>
      <c r="H56" s="6" t="s">
        <v>205</v>
      </c>
      <c r="I56" s="6" t="s">
        <v>236</v>
      </c>
      <c r="J56" s="6" t="s">
        <v>207</v>
      </c>
      <c r="K56" s="6" t="s">
        <v>208</v>
      </c>
      <c r="L56" s="6" t="s">
        <v>209</v>
      </c>
      <c r="M56" s="6" t="s">
        <v>210</v>
      </c>
      <c r="N56" s="6" t="s">
        <v>211</v>
      </c>
      <c r="O56" s="6" t="s">
        <v>212</v>
      </c>
    </row>
    <row r="57" spans="2:15" ht="12.75">
      <c r="B57" s="138" t="s">
        <v>237</v>
      </c>
      <c r="C57" s="147" t="s">
        <v>202</v>
      </c>
      <c r="D57" s="151" t="s">
        <v>203</v>
      </c>
      <c r="E57" s="151"/>
      <c r="F57" s="151"/>
      <c r="G57" s="6" t="s">
        <v>204</v>
      </c>
      <c r="H57" s="6" t="s">
        <v>205</v>
      </c>
      <c r="I57" s="6" t="s">
        <v>238</v>
      </c>
      <c r="J57" s="6" t="s">
        <v>207</v>
      </c>
      <c r="K57" s="6" t="s">
        <v>208</v>
      </c>
      <c r="L57" s="6" t="s">
        <v>209</v>
      </c>
      <c r="M57" s="6" t="s">
        <v>210</v>
      </c>
      <c r="N57" s="6" t="s">
        <v>211</v>
      </c>
      <c r="O57" s="6" t="s">
        <v>212</v>
      </c>
    </row>
    <row r="58" spans="2:15" ht="12.75">
      <c r="B58" s="138" t="s">
        <v>239</v>
      </c>
      <c r="C58" s="147" t="s">
        <v>202</v>
      </c>
      <c r="D58" s="151" t="s">
        <v>203</v>
      </c>
      <c r="E58" s="151"/>
      <c r="F58" s="151"/>
      <c r="G58" s="6" t="s">
        <v>204</v>
      </c>
      <c r="H58" s="6" t="s">
        <v>205</v>
      </c>
      <c r="I58" s="6" t="s">
        <v>240</v>
      </c>
      <c r="J58" s="6" t="s">
        <v>207</v>
      </c>
      <c r="K58" s="6" t="s">
        <v>208</v>
      </c>
      <c r="L58" s="6" t="s">
        <v>209</v>
      </c>
      <c r="M58" s="6" t="s">
        <v>210</v>
      </c>
      <c r="N58" s="6" t="s">
        <v>211</v>
      </c>
      <c r="O58" s="6" t="s">
        <v>212</v>
      </c>
    </row>
    <row r="59" spans="2:15" ht="12.75">
      <c r="B59" s="138"/>
      <c r="C59" s="147"/>
      <c r="D59" s="151"/>
      <c r="E59" s="151"/>
      <c r="F59" s="151"/>
    </row>
    <row r="61" spans="2:15" ht="12.75">
      <c r="B61" s="138" t="s">
        <v>241</v>
      </c>
      <c r="C61" s="138" t="s">
        <v>242</v>
      </c>
      <c r="D61" s="151" t="s">
        <v>243</v>
      </c>
      <c r="E61" s="151"/>
      <c r="F61" s="151"/>
      <c r="G61" s="6" t="s">
        <v>244</v>
      </c>
      <c r="I61" s="152">
        <v>1</v>
      </c>
      <c r="K61" s="6" t="s">
        <v>208</v>
      </c>
      <c r="L61" s="6" t="s">
        <v>209</v>
      </c>
      <c r="M61" s="6" t="s">
        <v>245</v>
      </c>
      <c r="N61" s="6" t="s">
        <v>246</v>
      </c>
      <c r="O61" s="6" t="s">
        <v>247</v>
      </c>
    </row>
    <row r="62" spans="2:15" ht="12.75">
      <c r="B62" s="138" t="s">
        <v>248</v>
      </c>
      <c r="C62" s="138" t="s">
        <v>242</v>
      </c>
      <c r="D62" s="151" t="s">
        <v>249</v>
      </c>
      <c r="E62" s="151"/>
      <c r="F62" s="151"/>
      <c r="G62" s="6" t="s">
        <v>244</v>
      </c>
      <c r="I62" s="152">
        <v>1</v>
      </c>
      <c r="K62" s="6" t="s">
        <v>208</v>
      </c>
      <c r="L62" s="6" t="s">
        <v>209</v>
      </c>
      <c r="M62" s="6" t="s">
        <v>245</v>
      </c>
      <c r="N62" s="6" t="s">
        <v>246</v>
      </c>
      <c r="O62" s="6" t="s">
        <v>247</v>
      </c>
    </row>
    <row r="63" spans="2:15" ht="12.75">
      <c r="B63" s="138" t="s">
        <v>250</v>
      </c>
      <c r="C63" s="138" t="s">
        <v>242</v>
      </c>
      <c r="D63" s="151" t="s">
        <v>251</v>
      </c>
      <c r="E63" s="151"/>
      <c r="F63" s="151"/>
      <c r="G63" s="6" t="s">
        <v>244</v>
      </c>
      <c r="I63" s="152">
        <v>1</v>
      </c>
      <c r="K63" s="6" t="s">
        <v>208</v>
      </c>
      <c r="L63" s="6" t="s">
        <v>209</v>
      </c>
      <c r="M63" s="6" t="s">
        <v>245</v>
      </c>
      <c r="N63" s="6" t="s">
        <v>246</v>
      </c>
      <c r="O63" s="6" t="s">
        <v>247</v>
      </c>
    </row>
    <row r="64" spans="2:15" ht="12.75">
      <c r="B64" s="138" t="s">
        <v>252</v>
      </c>
      <c r="C64" s="138" t="s">
        <v>242</v>
      </c>
      <c r="D64" s="151" t="s">
        <v>253</v>
      </c>
      <c r="E64" s="151"/>
      <c r="F64" s="151"/>
      <c r="G64" s="6" t="s">
        <v>244</v>
      </c>
      <c r="I64" s="152">
        <v>1</v>
      </c>
      <c r="K64" s="6" t="s">
        <v>208</v>
      </c>
      <c r="L64" s="6" t="s">
        <v>209</v>
      </c>
      <c r="M64" s="6" t="s">
        <v>245</v>
      </c>
      <c r="N64" s="6" t="s">
        <v>246</v>
      </c>
      <c r="O64" s="6" t="s">
        <v>247</v>
      </c>
    </row>
    <row r="65" spans="2:15" ht="12.75">
      <c r="B65" s="138" t="s">
        <v>254</v>
      </c>
      <c r="C65" s="138" t="s">
        <v>242</v>
      </c>
      <c r="D65" s="151" t="s">
        <v>255</v>
      </c>
      <c r="E65" s="151"/>
      <c r="F65" s="151"/>
      <c r="G65" s="6" t="s">
        <v>244</v>
      </c>
      <c r="I65" s="152">
        <v>1</v>
      </c>
      <c r="K65" s="6" t="s">
        <v>208</v>
      </c>
      <c r="L65" s="6" t="s">
        <v>209</v>
      </c>
      <c r="M65" s="6" t="s">
        <v>245</v>
      </c>
      <c r="N65" s="6" t="s">
        <v>246</v>
      </c>
      <c r="O65" s="6" t="s">
        <v>247</v>
      </c>
    </row>
    <row r="66" spans="2:15" ht="12.75">
      <c r="B66" s="138" t="s">
        <v>256</v>
      </c>
      <c r="C66" s="138" t="s">
        <v>242</v>
      </c>
      <c r="D66" s="151" t="s">
        <v>257</v>
      </c>
      <c r="E66" s="151"/>
      <c r="F66" s="151"/>
      <c r="G66" s="6" t="s">
        <v>244</v>
      </c>
      <c r="I66" s="152">
        <v>1</v>
      </c>
      <c r="K66" s="6" t="s">
        <v>208</v>
      </c>
      <c r="L66" s="6" t="s">
        <v>209</v>
      </c>
      <c r="M66" s="6" t="s">
        <v>245</v>
      </c>
      <c r="N66" s="6" t="s">
        <v>246</v>
      </c>
      <c r="O66" s="6" t="s">
        <v>247</v>
      </c>
    </row>
    <row r="67" spans="2:15" ht="12.75">
      <c r="B67" s="138" t="s">
        <v>258</v>
      </c>
      <c r="C67" s="138" t="s">
        <v>242</v>
      </c>
      <c r="D67" s="151" t="s">
        <v>259</v>
      </c>
      <c r="E67" s="151"/>
      <c r="F67" s="151"/>
      <c r="G67" s="6" t="s">
        <v>244</v>
      </c>
      <c r="I67" s="152">
        <v>1</v>
      </c>
      <c r="K67" s="6" t="s">
        <v>208</v>
      </c>
      <c r="L67" s="6" t="s">
        <v>209</v>
      </c>
      <c r="M67" s="6" t="s">
        <v>245</v>
      </c>
      <c r="N67" s="6" t="s">
        <v>246</v>
      </c>
      <c r="O67" s="6" t="s">
        <v>247</v>
      </c>
    </row>
    <row r="68" spans="2:15" ht="12.75">
      <c r="B68" s="138" t="s">
        <v>260</v>
      </c>
      <c r="C68" s="138" t="s">
        <v>242</v>
      </c>
      <c r="D68" s="151" t="s">
        <v>261</v>
      </c>
      <c r="E68" s="151"/>
      <c r="F68" s="151"/>
      <c r="G68" s="6" t="s">
        <v>244</v>
      </c>
      <c r="I68" s="152">
        <v>1</v>
      </c>
      <c r="K68" s="6" t="s">
        <v>208</v>
      </c>
      <c r="L68" s="6" t="s">
        <v>209</v>
      </c>
      <c r="M68" s="6" t="s">
        <v>245</v>
      </c>
      <c r="N68" s="6" t="s">
        <v>246</v>
      </c>
      <c r="O68" s="6" t="s">
        <v>247</v>
      </c>
    </row>
    <row r="69" spans="2:15" ht="12.75">
      <c r="B69" s="138" t="s">
        <v>262</v>
      </c>
      <c r="C69" s="138" t="s">
        <v>242</v>
      </c>
      <c r="D69" s="151" t="s">
        <v>263</v>
      </c>
      <c r="E69" s="151"/>
      <c r="F69" s="151"/>
      <c r="G69" s="6" t="s">
        <v>244</v>
      </c>
      <c r="I69" s="152">
        <v>1</v>
      </c>
      <c r="K69" s="6" t="s">
        <v>208</v>
      </c>
      <c r="L69" s="6" t="s">
        <v>209</v>
      </c>
      <c r="M69" s="6" t="s">
        <v>245</v>
      </c>
      <c r="N69" s="6" t="s">
        <v>246</v>
      </c>
      <c r="O69" s="6" t="s">
        <v>247</v>
      </c>
    </row>
    <row r="70" spans="2:15" ht="12.75">
      <c r="B70" s="138" t="s">
        <v>264</v>
      </c>
      <c r="C70" s="138" t="s">
        <v>242</v>
      </c>
      <c r="D70" s="151" t="s">
        <v>265</v>
      </c>
      <c r="E70" s="151"/>
      <c r="F70" s="151"/>
      <c r="G70" s="6" t="s">
        <v>244</v>
      </c>
      <c r="I70" s="152">
        <v>1</v>
      </c>
      <c r="K70" s="6" t="s">
        <v>208</v>
      </c>
      <c r="L70" s="6" t="s">
        <v>209</v>
      </c>
      <c r="M70" s="6" t="s">
        <v>245</v>
      </c>
      <c r="N70" s="6" t="s">
        <v>246</v>
      </c>
      <c r="O70" s="6" t="s">
        <v>247</v>
      </c>
    </row>
    <row r="71" spans="2:15" ht="12.75">
      <c r="B71" s="138" t="s">
        <v>266</v>
      </c>
      <c r="C71" s="138" t="s">
        <v>242</v>
      </c>
      <c r="D71" s="151" t="s">
        <v>267</v>
      </c>
      <c r="E71" s="151"/>
      <c r="F71" s="151"/>
      <c r="G71" s="6" t="s">
        <v>244</v>
      </c>
      <c r="I71" s="152">
        <v>1</v>
      </c>
      <c r="K71" s="6" t="s">
        <v>208</v>
      </c>
      <c r="L71" s="6" t="s">
        <v>209</v>
      </c>
      <c r="M71" s="6" t="s">
        <v>245</v>
      </c>
      <c r="N71" s="6" t="s">
        <v>246</v>
      </c>
      <c r="O71" s="6" t="s">
        <v>247</v>
      </c>
    </row>
    <row r="72" spans="2:15" ht="12.75">
      <c r="B72" s="138" t="s">
        <v>268</v>
      </c>
      <c r="C72" s="138" t="s">
        <v>242</v>
      </c>
      <c r="D72" s="151" t="s">
        <v>269</v>
      </c>
      <c r="E72" s="151"/>
      <c r="F72" s="151"/>
      <c r="G72" s="6" t="s">
        <v>244</v>
      </c>
      <c r="I72" s="152">
        <v>1</v>
      </c>
      <c r="K72" s="6" t="s">
        <v>208</v>
      </c>
      <c r="L72" s="6" t="s">
        <v>209</v>
      </c>
      <c r="M72" s="6" t="s">
        <v>245</v>
      </c>
      <c r="N72" s="6" t="s">
        <v>246</v>
      </c>
      <c r="O72" s="6" t="s">
        <v>247</v>
      </c>
    </row>
    <row r="73" spans="2:15" ht="12.75">
      <c r="B73" s="138" t="s">
        <v>270</v>
      </c>
      <c r="C73" s="138" t="s">
        <v>242</v>
      </c>
      <c r="D73" s="151" t="s">
        <v>271</v>
      </c>
      <c r="E73" s="151"/>
      <c r="F73" s="151"/>
      <c r="G73" s="6" t="s">
        <v>244</v>
      </c>
      <c r="I73" s="152" t="s">
        <v>272</v>
      </c>
      <c r="K73" s="6" t="s">
        <v>208</v>
      </c>
      <c r="L73" s="6" t="s">
        <v>209</v>
      </c>
      <c r="M73" s="6" t="s">
        <v>245</v>
      </c>
      <c r="N73" s="6" t="s">
        <v>246</v>
      </c>
      <c r="O73" s="6" t="s">
        <v>247</v>
      </c>
    </row>
    <row r="74" spans="2:15" ht="12.75">
      <c r="B74" s="138" t="s">
        <v>273</v>
      </c>
      <c r="C74" s="138" t="s">
        <v>242</v>
      </c>
      <c r="D74" s="151" t="s">
        <v>243</v>
      </c>
      <c r="E74" s="151"/>
      <c r="F74" s="151"/>
      <c r="G74" s="6" t="s">
        <v>244</v>
      </c>
      <c r="I74" s="152" t="s">
        <v>274</v>
      </c>
      <c r="K74" s="6" t="s">
        <v>208</v>
      </c>
      <c r="L74" s="6" t="s">
        <v>209</v>
      </c>
      <c r="M74" s="6" t="s">
        <v>245</v>
      </c>
      <c r="N74" s="6" t="s">
        <v>246</v>
      </c>
      <c r="O74" s="6" t="s">
        <v>247</v>
      </c>
    </row>
    <row r="75" spans="2:15" ht="12.75">
      <c r="B75" s="138" t="s">
        <v>275</v>
      </c>
      <c r="C75" s="138" t="s">
        <v>242</v>
      </c>
      <c r="D75" s="151" t="s">
        <v>249</v>
      </c>
      <c r="E75" s="151"/>
      <c r="F75" s="151"/>
      <c r="G75" s="6" t="s">
        <v>244</v>
      </c>
      <c r="I75" s="152" t="s">
        <v>274</v>
      </c>
      <c r="K75" s="6" t="s">
        <v>208</v>
      </c>
      <c r="L75" s="6" t="s">
        <v>209</v>
      </c>
      <c r="M75" s="6" t="s">
        <v>245</v>
      </c>
      <c r="N75" s="6" t="s">
        <v>246</v>
      </c>
      <c r="O75" s="6" t="s">
        <v>247</v>
      </c>
    </row>
    <row r="76" spans="2:15" ht="12.75">
      <c r="B76" s="138" t="s">
        <v>276</v>
      </c>
      <c r="C76" s="138" t="s">
        <v>242</v>
      </c>
      <c r="D76" s="151" t="s">
        <v>251</v>
      </c>
      <c r="E76" s="151"/>
      <c r="F76" s="151"/>
      <c r="G76" s="6" t="s">
        <v>244</v>
      </c>
      <c r="I76" s="152" t="s">
        <v>274</v>
      </c>
      <c r="K76" s="6" t="s">
        <v>208</v>
      </c>
      <c r="L76" s="6" t="s">
        <v>209</v>
      </c>
      <c r="M76" s="6" t="s">
        <v>245</v>
      </c>
      <c r="N76" s="6" t="s">
        <v>246</v>
      </c>
      <c r="O76" s="6" t="s">
        <v>247</v>
      </c>
    </row>
    <row r="77" spans="2:15" ht="12.75">
      <c r="B77" s="138" t="s">
        <v>277</v>
      </c>
      <c r="C77" s="138" t="s">
        <v>242</v>
      </c>
      <c r="D77" s="151" t="s">
        <v>253</v>
      </c>
      <c r="E77" s="151"/>
      <c r="F77" s="151"/>
      <c r="G77" s="6" t="s">
        <v>244</v>
      </c>
      <c r="I77" s="152" t="s">
        <v>274</v>
      </c>
      <c r="K77" s="6" t="s">
        <v>208</v>
      </c>
      <c r="L77" s="6" t="s">
        <v>209</v>
      </c>
      <c r="M77" s="6" t="s">
        <v>245</v>
      </c>
      <c r="N77" s="6" t="s">
        <v>246</v>
      </c>
      <c r="O77" s="6" t="s">
        <v>247</v>
      </c>
    </row>
    <row r="78" spans="2:15" ht="12.75">
      <c r="B78" s="138" t="s">
        <v>278</v>
      </c>
      <c r="C78" s="138" t="s">
        <v>242</v>
      </c>
      <c r="D78" s="151" t="s">
        <v>255</v>
      </c>
      <c r="E78" s="151"/>
      <c r="F78" s="151"/>
      <c r="G78" s="6" t="s">
        <v>244</v>
      </c>
      <c r="I78" s="152" t="s">
        <v>274</v>
      </c>
      <c r="K78" s="6" t="s">
        <v>208</v>
      </c>
      <c r="L78" s="6" t="s">
        <v>209</v>
      </c>
      <c r="M78" s="6" t="s">
        <v>245</v>
      </c>
      <c r="N78" s="6" t="s">
        <v>246</v>
      </c>
      <c r="O78" s="6" t="s">
        <v>247</v>
      </c>
    </row>
    <row r="79" spans="2:15" ht="12.75">
      <c r="B79" s="138" t="s">
        <v>279</v>
      </c>
      <c r="C79" s="138" t="s">
        <v>242</v>
      </c>
      <c r="D79" s="151" t="s">
        <v>257</v>
      </c>
      <c r="E79" s="151"/>
      <c r="F79" s="151"/>
      <c r="G79" s="6" t="s">
        <v>244</v>
      </c>
      <c r="I79" s="152" t="s">
        <v>274</v>
      </c>
      <c r="K79" s="6" t="s">
        <v>208</v>
      </c>
      <c r="L79" s="6" t="s">
        <v>209</v>
      </c>
      <c r="M79" s="6" t="s">
        <v>245</v>
      </c>
      <c r="N79" s="6" t="s">
        <v>246</v>
      </c>
      <c r="O79" s="6" t="s">
        <v>247</v>
      </c>
    </row>
    <row r="80" spans="2:15" ht="12.75">
      <c r="B80" s="138" t="s">
        <v>280</v>
      </c>
      <c r="C80" s="138" t="s">
        <v>242</v>
      </c>
      <c r="D80" s="151" t="s">
        <v>259</v>
      </c>
      <c r="E80" s="151"/>
      <c r="F80" s="151"/>
      <c r="G80" s="6" t="s">
        <v>244</v>
      </c>
      <c r="I80" s="152" t="s">
        <v>274</v>
      </c>
      <c r="K80" s="6" t="s">
        <v>208</v>
      </c>
      <c r="L80" s="6" t="s">
        <v>209</v>
      </c>
      <c r="M80" s="6" t="s">
        <v>245</v>
      </c>
      <c r="N80" s="6" t="s">
        <v>246</v>
      </c>
      <c r="O80" s="6" t="s">
        <v>247</v>
      </c>
    </row>
    <row r="81" spans="2:15" ht="12.75">
      <c r="B81" s="138" t="s">
        <v>281</v>
      </c>
      <c r="C81" s="138" t="s">
        <v>242</v>
      </c>
      <c r="D81" s="151" t="s">
        <v>261</v>
      </c>
      <c r="E81" s="151"/>
      <c r="F81" s="151"/>
      <c r="G81" s="6" t="s">
        <v>244</v>
      </c>
      <c r="I81" s="152" t="s">
        <v>274</v>
      </c>
      <c r="K81" s="6" t="s">
        <v>208</v>
      </c>
      <c r="L81" s="6" t="s">
        <v>209</v>
      </c>
      <c r="M81" s="6" t="s">
        <v>245</v>
      </c>
      <c r="N81" s="6" t="s">
        <v>246</v>
      </c>
      <c r="O81" s="6" t="s">
        <v>247</v>
      </c>
    </row>
    <row r="82" spans="2:15" ht="12.75">
      <c r="B82" s="138" t="s">
        <v>282</v>
      </c>
      <c r="C82" s="138" t="s">
        <v>242</v>
      </c>
      <c r="D82" s="151" t="s">
        <v>263</v>
      </c>
      <c r="E82" s="151"/>
      <c r="F82" s="151"/>
      <c r="G82" s="6" t="s">
        <v>244</v>
      </c>
      <c r="I82" s="152" t="s">
        <v>274</v>
      </c>
      <c r="K82" s="6" t="s">
        <v>208</v>
      </c>
      <c r="L82" s="6" t="s">
        <v>209</v>
      </c>
      <c r="M82" s="6" t="s">
        <v>245</v>
      </c>
      <c r="N82" s="6" t="s">
        <v>246</v>
      </c>
      <c r="O82" s="6" t="s">
        <v>247</v>
      </c>
    </row>
    <row r="83" spans="2:15" ht="12.75">
      <c r="B83" s="138" t="s">
        <v>283</v>
      </c>
      <c r="C83" s="138" t="s">
        <v>242</v>
      </c>
      <c r="D83" s="151" t="s">
        <v>265</v>
      </c>
      <c r="E83" s="151"/>
      <c r="F83" s="151"/>
      <c r="G83" s="6" t="s">
        <v>244</v>
      </c>
      <c r="I83" s="152" t="s">
        <v>274</v>
      </c>
      <c r="K83" s="6" t="s">
        <v>208</v>
      </c>
      <c r="L83" s="6" t="s">
        <v>209</v>
      </c>
      <c r="M83" s="6" t="s">
        <v>245</v>
      </c>
      <c r="N83" s="6" t="s">
        <v>246</v>
      </c>
      <c r="O83" s="6" t="s">
        <v>247</v>
      </c>
    </row>
    <row r="84" spans="2:15" ht="12.75">
      <c r="B84" s="138" t="s">
        <v>284</v>
      </c>
      <c r="C84" s="138" t="s">
        <v>242</v>
      </c>
      <c r="D84" s="151" t="s">
        <v>267</v>
      </c>
      <c r="E84" s="151"/>
      <c r="F84" s="151"/>
      <c r="G84" s="6" t="s">
        <v>244</v>
      </c>
      <c r="I84" s="152" t="s">
        <v>274</v>
      </c>
      <c r="K84" s="6" t="s">
        <v>208</v>
      </c>
      <c r="L84" s="6" t="s">
        <v>209</v>
      </c>
      <c r="M84" s="6" t="s">
        <v>245</v>
      </c>
      <c r="N84" s="6" t="s">
        <v>246</v>
      </c>
      <c r="O84" s="6" t="s">
        <v>247</v>
      </c>
    </row>
    <row r="85" spans="2:15" ht="12.75">
      <c r="B85" s="138" t="s">
        <v>285</v>
      </c>
      <c r="C85" s="138" t="s">
        <v>242</v>
      </c>
      <c r="D85" s="151" t="s">
        <v>269</v>
      </c>
      <c r="E85" s="151"/>
      <c r="F85" s="151"/>
      <c r="G85" s="6" t="s">
        <v>244</v>
      </c>
      <c r="I85" s="152" t="s">
        <v>274</v>
      </c>
      <c r="K85" s="6" t="s">
        <v>208</v>
      </c>
      <c r="L85" s="6" t="s">
        <v>209</v>
      </c>
      <c r="M85" s="6" t="s">
        <v>245</v>
      </c>
      <c r="N85" s="6" t="s">
        <v>246</v>
      </c>
      <c r="O85" s="6" t="s">
        <v>247</v>
      </c>
    </row>
    <row r="86" spans="2:15" ht="12.75">
      <c r="B86" s="138" t="s">
        <v>286</v>
      </c>
      <c r="C86" s="138" t="s">
        <v>242</v>
      </c>
      <c r="D86" s="151" t="s">
        <v>271</v>
      </c>
      <c r="E86" s="151"/>
      <c r="F86" s="151"/>
      <c r="G86" s="6" t="s">
        <v>244</v>
      </c>
      <c r="I86" s="152" t="s">
        <v>274</v>
      </c>
      <c r="K86" s="6" t="s">
        <v>208</v>
      </c>
      <c r="L86" s="6" t="s">
        <v>209</v>
      </c>
      <c r="M86" s="6" t="s">
        <v>245</v>
      </c>
      <c r="N86" s="6" t="s">
        <v>246</v>
      </c>
      <c r="O86" s="6" t="s">
        <v>247</v>
      </c>
    </row>
    <row r="87" spans="2:15" ht="12.75">
      <c r="B87" s="138" t="s">
        <v>287</v>
      </c>
      <c r="C87" s="138" t="s">
        <v>242</v>
      </c>
      <c r="D87" s="151" t="s">
        <v>243</v>
      </c>
      <c r="E87" s="151"/>
      <c r="F87" s="151"/>
      <c r="G87" s="6" t="s">
        <v>244</v>
      </c>
      <c r="I87" s="152">
        <v>20</v>
      </c>
      <c r="K87" s="6" t="s">
        <v>208</v>
      </c>
      <c r="L87" s="6" t="s">
        <v>209</v>
      </c>
      <c r="M87" s="6" t="s">
        <v>245</v>
      </c>
      <c r="N87" s="6" t="s">
        <v>246</v>
      </c>
      <c r="O87" s="6" t="s">
        <v>247</v>
      </c>
    </row>
    <row r="88" spans="2:15" ht="12.75">
      <c r="B88" s="138" t="s">
        <v>288</v>
      </c>
      <c r="C88" s="138" t="s">
        <v>242</v>
      </c>
      <c r="D88" s="151" t="s">
        <v>249</v>
      </c>
      <c r="E88" s="151"/>
      <c r="F88" s="151"/>
      <c r="G88" s="6" t="s">
        <v>244</v>
      </c>
      <c r="I88" s="152">
        <v>20</v>
      </c>
      <c r="K88" s="6" t="s">
        <v>208</v>
      </c>
      <c r="L88" s="6" t="s">
        <v>209</v>
      </c>
      <c r="M88" s="6" t="s">
        <v>245</v>
      </c>
      <c r="N88" s="6" t="s">
        <v>246</v>
      </c>
      <c r="O88" s="6" t="s">
        <v>247</v>
      </c>
    </row>
    <row r="89" spans="2:15" ht="12.75">
      <c r="B89" s="138" t="s">
        <v>289</v>
      </c>
      <c r="C89" s="138" t="s">
        <v>242</v>
      </c>
      <c r="D89" s="151" t="s">
        <v>251</v>
      </c>
      <c r="E89" s="151"/>
      <c r="F89" s="151"/>
      <c r="G89" s="6" t="s">
        <v>244</v>
      </c>
      <c r="I89" s="152">
        <v>20</v>
      </c>
      <c r="K89" s="6" t="s">
        <v>208</v>
      </c>
      <c r="L89" s="6" t="s">
        <v>209</v>
      </c>
      <c r="M89" s="6" t="s">
        <v>245</v>
      </c>
      <c r="N89" s="6" t="s">
        <v>246</v>
      </c>
      <c r="O89" s="6" t="s">
        <v>247</v>
      </c>
    </row>
    <row r="90" spans="2:15" ht="12.75">
      <c r="B90" s="138" t="s">
        <v>290</v>
      </c>
      <c r="C90" s="138" t="s">
        <v>242</v>
      </c>
      <c r="D90" s="151" t="s">
        <v>253</v>
      </c>
      <c r="E90" s="151"/>
      <c r="F90" s="151"/>
      <c r="G90" s="6" t="s">
        <v>244</v>
      </c>
      <c r="I90" s="152">
        <v>20</v>
      </c>
      <c r="K90" s="6" t="s">
        <v>208</v>
      </c>
      <c r="L90" s="6" t="s">
        <v>209</v>
      </c>
      <c r="M90" s="6" t="s">
        <v>245</v>
      </c>
      <c r="N90" s="6" t="s">
        <v>246</v>
      </c>
      <c r="O90" s="6" t="s">
        <v>247</v>
      </c>
    </row>
    <row r="91" spans="2:15" ht="12.75">
      <c r="B91" s="138" t="s">
        <v>291</v>
      </c>
      <c r="C91" s="138" t="s">
        <v>242</v>
      </c>
      <c r="D91" s="151" t="s">
        <v>255</v>
      </c>
      <c r="E91" s="151"/>
      <c r="F91" s="151"/>
      <c r="G91" s="6" t="s">
        <v>244</v>
      </c>
      <c r="I91" s="152">
        <v>20</v>
      </c>
      <c r="K91" s="6" t="s">
        <v>208</v>
      </c>
      <c r="L91" s="6" t="s">
        <v>209</v>
      </c>
      <c r="M91" s="6" t="s">
        <v>245</v>
      </c>
      <c r="N91" s="6" t="s">
        <v>246</v>
      </c>
      <c r="O91" s="6" t="s">
        <v>247</v>
      </c>
    </row>
    <row r="92" spans="2:15" ht="12.75">
      <c r="B92" s="138" t="s">
        <v>292</v>
      </c>
      <c r="C92" s="138" t="s">
        <v>242</v>
      </c>
      <c r="D92" s="151" t="s">
        <v>257</v>
      </c>
      <c r="E92" s="151"/>
      <c r="F92" s="151"/>
      <c r="G92" s="6" t="s">
        <v>244</v>
      </c>
      <c r="I92" s="152">
        <v>20</v>
      </c>
      <c r="K92" s="6" t="s">
        <v>208</v>
      </c>
      <c r="L92" s="6" t="s">
        <v>209</v>
      </c>
      <c r="M92" s="6" t="s">
        <v>245</v>
      </c>
      <c r="N92" s="6" t="s">
        <v>246</v>
      </c>
      <c r="O92" s="6" t="s">
        <v>247</v>
      </c>
    </row>
    <row r="93" spans="2:15" ht="12.75">
      <c r="B93" s="138" t="s">
        <v>293</v>
      </c>
      <c r="C93" s="138" t="s">
        <v>242</v>
      </c>
      <c r="D93" s="151" t="s">
        <v>259</v>
      </c>
      <c r="E93" s="151"/>
      <c r="F93" s="151"/>
      <c r="G93" s="6" t="s">
        <v>244</v>
      </c>
      <c r="I93" s="152">
        <v>20</v>
      </c>
      <c r="K93" s="6" t="s">
        <v>208</v>
      </c>
      <c r="L93" s="6" t="s">
        <v>209</v>
      </c>
      <c r="M93" s="6" t="s">
        <v>245</v>
      </c>
      <c r="N93" s="6" t="s">
        <v>246</v>
      </c>
      <c r="O93" s="6" t="s">
        <v>247</v>
      </c>
    </row>
    <row r="94" spans="2:15" ht="12.75">
      <c r="B94" s="138" t="s">
        <v>294</v>
      </c>
      <c r="C94" s="138" t="s">
        <v>242</v>
      </c>
      <c r="D94" s="151" t="s">
        <v>261</v>
      </c>
      <c r="E94" s="151"/>
      <c r="F94" s="151"/>
      <c r="G94" s="6" t="s">
        <v>244</v>
      </c>
      <c r="I94" s="152">
        <v>20</v>
      </c>
      <c r="K94" s="6" t="s">
        <v>208</v>
      </c>
      <c r="L94" s="6" t="s">
        <v>209</v>
      </c>
      <c r="M94" s="6" t="s">
        <v>245</v>
      </c>
      <c r="N94" s="6" t="s">
        <v>246</v>
      </c>
      <c r="O94" s="6" t="s">
        <v>247</v>
      </c>
    </row>
    <row r="95" spans="2:15" ht="12.75">
      <c r="B95" s="138" t="s">
        <v>295</v>
      </c>
      <c r="C95" s="138" t="s">
        <v>242</v>
      </c>
      <c r="D95" s="151" t="s">
        <v>263</v>
      </c>
      <c r="E95" s="151"/>
      <c r="F95" s="151"/>
      <c r="G95" s="6" t="s">
        <v>244</v>
      </c>
      <c r="I95" s="152">
        <v>20</v>
      </c>
      <c r="K95" s="6" t="s">
        <v>208</v>
      </c>
      <c r="L95" s="6" t="s">
        <v>209</v>
      </c>
      <c r="M95" s="6" t="s">
        <v>245</v>
      </c>
      <c r="N95" s="6" t="s">
        <v>246</v>
      </c>
      <c r="O95" s="6" t="s">
        <v>247</v>
      </c>
    </row>
    <row r="96" spans="2:15" ht="12.75">
      <c r="B96" s="138" t="s">
        <v>296</v>
      </c>
      <c r="C96" s="138" t="s">
        <v>242</v>
      </c>
      <c r="D96" s="151" t="s">
        <v>265</v>
      </c>
      <c r="E96" s="151"/>
      <c r="F96" s="151"/>
      <c r="G96" s="6" t="s">
        <v>244</v>
      </c>
      <c r="I96" s="152">
        <v>20</v>
      </c>
      <c r="K96" s="6" t="s">
        <v>208</v>
      </c>
      <c r="L96" s="6" t="s">
        <v>209</v>
      </c>
      <c r="M96" s="6" t="s">
        <v>245</v>
      </c>
      <c r="N96" s="6" t="s">
        <v>246</v>
      </c>
      <c r="O96" s="6" t="s">
        <v>247</v>
      </c>
    </row>
    <row r="97" spans="2:15" ht="12.75">
      <c r="B97" s="138" t="s">
        <v>297</v>
      </c>
      <c r="C97" s="138" t="s">
        <v>242</v>
      </c>
      <c r="D97" s="151" t="s">
        <v>267</v>
      </c>
      <c r="E97" s="151"/>
      <c r="F97" s="151"/>
      <c r="G97" s="6" t="s">
        <v>244</v>
      </c>
      <c r="I97" s="152">
        <v>20</v>
      </c>
      <c r="K97" s="6" t="s">
        <v>208</v>
      </c>
      <c r="L97" s="6" t="s">
        <v>209</v>
      </c>
      <c r="M97" s="6" t="s">
        <v>245</v>
      </c>
      <c r="N97" s="6" t="s">
        <v>246</v>
      </c>
      <c r="O97" s="6" t="s">
        <v>247</v>
      </c>
    </row>
    <row r="98" spans="2:15" ht="12.75">
      <c r="B98" s="138" t="s">
        <v>298</v>
      </c>
      <c r="C98" s="138" t="s">
        <v>242</v>
      </c>
      <c r="D98" s="151" t="s">
        <v>269</v>
      </c>
      <c r="E98" s="151"/>
      <c r="F98" s="151"/>
      <c r="G98" s="6" t="s">
        <v>244</v>
      </c>
      <c r="I98" s="152">
        <v>20</v>
      </c>
      <c r="K98" s="6" t="s">
        <v>208</v>
      </c>
      <c r="L98" s="6" t="s">
        <v>209</v>
      </c>
      <c r="M98" s="6" t="s">
        <v>245</v>
      </c>
      <c r="N98" s="6" t="s">
        <v>246</v>
      </c>
      <c r="O98" s="6" t="s">
        <v>247</v>
      </c>
    </row>
    <row r="99" spans="2:15" ht="12.75">
      <c r="B99" s="138" t="s">
        <v>299</v>
      </c>
      <c r="C99" s="138" t="s">
        <v>242</v>
      </c>
      <c r="D99" s="151" t="s">
        <v>271</v>
      </c>
      <c r="E99" s="151"/>
      <c r="F99" s="151"/>
      <c r="G99" s="6" t="s">
        <v>244</v>
      </c>
      <c r="I99" s="152">
        <v>20</v>
      </c>
      <c r="K99" s="6" t="s">
        <v>208</v>
      </c>
      <c r="L99" s="6" t="s">
        <v>209</v>
      </c>
      <c r="M99" s="6" t="s">
        <v>245</v>
      </c>
      <c r="N99" s="6" t="s">
        <v>246</v>
      </c>
      <c r="O99" s="6" t="s">
        <v>247</v>
      </c>
    </row>
    <row r="100" spans="2:15" ht="12.75">
      <c r="B100" s="138" t="s">
        <v>300</v>
      </c>
      <c r="C100" s="138" t="s">
        <v>242</v>
      </c>
      <c r="D100" s="151" t="s">
        <v>243</v>
      </c>
      <c r="E100" s="151"/>
      <c r="F100" s="151"/>
      <c r="G100" s="6" t="s">
        <v>244</v>
      </c>
      <c r="I100" s="152">
        <v>30</v>
      </c>
      <c r="K100" s="6" t="s">
        <v>208</v>
      </c>
      <c r="L100" s="6" t="s">
        <v>209</v>
      </c>
      <c r="M100" s="6" t="s">
        <v>245</v>
      </c>
      <c r="N100" s="6" t="s">
        <v>246</v>
      </c>
      <c r="O100" s="6" t="s">
        <v>247</v>
      </c>
    </row>
    <row r="101" spans="2:15" ht="12.75">
      <c r="B101" s="138" t="s">
        <v>301</v>
      </c>
      <c r="C101" s="138" t="s">
        <v>242</v>
      </c>
      <c r="D101" s="151" t="s">
        <v>249</v>
      </c>
      <c r="E101" s="151"/>
      <c r="F101" s="151"/>
      <c r="G101" s="6" t="s">
        <v>244</v>
      </c>
      <c r="I101" s="152">
        <v>30</v>
      </c>
      <c r="K101" s="6" t="s">
        <v>208</v>
      </c>
      <c r="L101" s="6" t="s">
        <v>209</v>
      </c>
      <c r="M101" s="6" t="s">
        <v>245</v>
      </c>
      <c r="N101" s="6" t="s">
        <v>246</v>
      </c>
      <c r="O101" s="6" t="s">
        <v>247</v>
      </c>
    </row>
    <row r="102" spans="2:15" ht="12.75">
      <c r="B102" s="138" t="s">
        <v>302</v>
      </c>
      <c r="C102" s="138" t="s">
        <v>242</v>
      </c>
      <c r="D102" s="151" t="s">
        <v>251</v>
      </c>
      <c r="E102" s="151"/>
      <c r="F102" s="151"/>
      <c r="G102" s="6" t="s">
        <v>244</v>
      </c>
      <c r="I102" s="152">
        <v>30</v>
      </c>
      <c r="K102" s="6" t="s">
        <v>208</v>
      </c>
      <c r="L102" s="6" t="s">
        <v>209</v>
      </c>
      <c r="M102" s="6" t="s">
        <v>245</v>
      </c>
      <c r="N102" s="6" t="s">
        <v>246</v>
      </c>
      <c r="O102" s="6" t="s">
        <v>247</v>
      </c>
    </row>
    <row r="103" spans="2:15" ht="12.75">
      <c r="B103" s="138" t="s">
        <v>303</v>
      </c>
      <c r="C103" s="138" t="s">
        <v>242</v>
      </c>
      <c r="D103" s="151" t="s">
        <v>253</v>
      </c>
      <c r="E103" s="151"/>
      <c r="F103" s="151"/>
      <c r="G103" s="6" t="s">
        <v>244</v>
      </c>
      <c r="I103" s="152">
        <v>30</v>
      </c>
      <c r="K103" s="6" t="s">
        <v>208</v>
      </c>
      <c r="L103" s="6" t="s">
        <v>209</v>
      </c>
      <c r="M103" s="6" t="s">
        <v>245</v>
      </c>
      <c r="N103" s="6" t="s">
        <v>246</v>
      </c>
      <c r="O103" s="6" t="s">
        <v>247</v>
      </c>
    </row>
    <row r="104" spans="2:15" ht="12.75">
      <c r="B104" s="138" t="s">
        <v>304</v>
      </c>
      <c r="C104" s="138" t="s">
        <v>242</v>
      </c>
      <c r="D104" s="151" t="s">
        <v>255</v>
      </c>
      <c r="E104" s="151"/>
      <c r="F104" s="151"/>
      <c r="G104" s="6" t="s">
        <v>244</v>
      </c>
      <c r="I104" s="152">
        <v>30</v>
      </c>
      <c r="K104" s="6" t="s">
        <v>208</v>
      </c>
      <c r="L104" s="6" t="s">
        <v>209</v>
      </c>
      <c r="M104" s="6" t="s">
        <v>245</v>
      </c>
      <c r="N104" s="6" t="s">
        <v>246</v>
      </c>
      <c r="O104" s="6" t="s">
        <v>247</v>
      </c>
    </row>
    <row r="105" spans="2:15" ht="12.75">
      <c r="B105" s="138" t="s">
        <v>305</v>
      </c>
      <c r="C105" s="138" t="s">
        <v>242</v>
      </c>
      <c r="D105" s="151" t="s">
        <v>257</v>
      </c>
      <c r="E105" s="151"/>
      <c r="F105" s="151"/>
      <c r="G105" s="6" t="s">
        <v>244</v>
      </c>
      <c r="I105" s="152">
        <v>30</v>
      </c>
      <c r="K105" s="6" t="s">
        <v>208</v>
      </c>
      <c r="L105" s="6" t="s">
        <v>209</v>
      </c>
      <c r="M105" s="6" t="s">
        <v>245</v>
      </c>
      <c r="N105" s="6" t="s">
        <v>246</v>
      </c>
      <c r="O105" s="6" t="s">
        <v>247</v>
      </c>
    </row>
    <row r="106" spans="2:15" ht="12.75">
      <c r="B106" s="138" t="s">
        <v>306</v>
      </c>
      <c r="C106" s="138" t="s">
        <v>242</v>
      </c>
      <c r="D106" s="151" t="s">
        <v>259</v>
      </c>
      <c r="E106" s="151"/>
      <c r="F106" s="151"/>
      <c r="G106" s="6" t="s">
        <v>244</v>
      </c>
      <c r="I106" s="152">
        <v>30</v>
      </c>
      <c r="K106" s="6" t="s">
        <v>208</v>
      </c>
      <c r="L106" s="6" t="s">
        <v>209</v>
      </c>
      <c r="M106" s="6" t="s">
        <v>245</v>
      </c>
      <c r="N106" s="6" t="s">
        <v>246</v>
      </c>
      <c r="O106" s="6" t="s">
        <v>247</v>
      </c>
    </row>
    <row r="107" spans="2:15" ht="12.75">
      <c r="B107" s="138" t="s">
        <v>307</v>
      </c>
      <c r="C107" s="138" t="s">
        <v>242</v>
      </c>
      <c r="D107" s="151" t="s">
        <v>261</v>
      </c>
      <c r="E107" s="151"/>
      <c r="F107" s="151"/>
      <c r="G107" s="6" t="s">
        <v>244</v>
      </c>
      <c r="I107" s="152">
        <v>30</v>
      </c>
      <c r="K107" s="6" t="s">
        <v>208</v>
      </c>
      <c r="L107" s="6" t="s">
        <v>209</v>
      </c>
      <c r="M107" s="6" t="s">
        <v>245</v>
      </c>
      <c r="N107" s="6" t="s">
        <v>246</v>
      </c>
      <c r="O107" s="6" t="s">
        <v>247</v>
      </c>
    </row>
    <row r="108" spans="2:15" ht="12.75">
      <c r="B108" s="138" t="s">
        <v>308</v>
      </c>
      <c r="C108" s="138" t="s">
        <v>242</v>
      </c>
      <c r="D108" s="151" t="s">
        <v>263</v>
      </c>
      <c r="E108" s="151"/>
      <c r="F108" s="151"/>
      <c r="G108" s="6" t="s">
        <v>244</v>
      </c>
      <c r="I108" s="152">
        <v>30</v>
      </c>
      <c r="K108" s="6" t="s">
        <v>208</v>
      </c>
      <c r="L108" s="6" t="s">
        <v>209</v>
      </c>
      <c r="M108" s="6" t="s">
        <v>245</v>
      </c>
      <c r="N108" s="6" t="s">
        <v>246</v>
      </c>
      <c r="O108" s="6" t="s">
        <v>247</v>
      </c>
    </row>
    <row r="109" spans="2:15" ht="12.75">
      <c r="B109" s="138" t="s">
        <v>309</v>
      </c>
      <c r="C109" s="138" t="s">
        <v>242</v>
      </c>
      <c r="D109" s="151" t="s">
        <v>265</v>
      </c>
      <c r="E109" s="151"/>
      <c r="F109" s="151"/>
      <c r="G109" s="6" t="s">
        <v>244</v>
      </c>
      <c r="I109" s="152">
        <v>30</v>
      </c>
      <c r="K109" s="6" t="s">
        <v>208</v>
      </c>
      <c r="L109" s="6" t="s">
        <v>209</v>
      </c>
      <c r="M109" s="6" t="s">
        <v>245</v>
      </c>
      <c r="N109" s="6" t="s">
        <v>246</v>
      </c>
      <c r="O109" s="6" t="s">
        <v>247</v>
      </c>
    </row>
    <row r="110" spans="2:15" ht="12.75">
      <c r="B110" s="138" t="s">
        <v>310</v>
      </c>
      <c r="C110" s="138" t="s">
        <v>242</v>
      </c>
      <c r="D110" s="151" t="s">
        <v>267</v>
      </c>
      <c r="E110" s="151"/>
      <c r="F110" s="151"/>
      <c r="G110" s="6" t="s">
        <v>244</v>
      </c>
      <c r="I110" s="152">
        <v>30</v>
      </c>
      <c r="K110" s="6" t="s">
        <v>208</v>
      </c>
      <c r="L110" s="6" t="s">
        <v>209</v>
      </c>
      <c r="M110" s="6" t="s">
        <v>245</v>
      </c>
      <c r="N110" s="6" t="s">
        <v>246</v>
      </c>
      <c r="O110" s="6" t="s">
        <v>247</v>
      </c>
    </row>
    <row r="111" spans="2:15" ht="12.75">
      <c r="B111" s="138" t="s">
        <v>311</v>
      </c>
      <c r="C111" s="138" t="s">
        <v>242</v>
      </c>
      <c r="D111" s="151" t="s">
        <v>269</v>
      </c>
      <c r="E111" s="151"/>
      <c r="F111" s="151"/>
      <c r="G111" s="6" t="s">
        <v>244</v>
      </c>
      <c r="I111" s="152">
        <v>30</v>
      </c>
      <c r="K111" s="6" t="s">
        <v>208</v>
      </c>
      <c r="L111" s="6" t="s">
        <v>209</v>
      </c>
      <c r="M111" s="6" t="s">
        <v>245</v>
      </c>
      <c r="N111" s="6" t="s">
        <v>246</v>
      </c>
      <c r="O111" s="6" t="s">
        <v>247</v>
      </c>
    </row>
    <row r="112" spans="2:15" ht="12.75">
      <c r="B112" s="138" t="s">
        <v>312</v>
      </c>
      <c r="C112" s="138" t="s">
        <v>242</v>
      </c>
      <c r="D112" s="151" t="s">
        <v>271</v>
      </c>
      <c r="E112" s="151"/>
      <c r="F112" s="151"/>
      <c r="G112" s="6" t="s">
        <v>244</v>
      </c>
      <c r="I112" s="152">
        <v>30</v>
      </c>
      <c r="K112" s="6" t="s">
        <v>208</v>
      </c>
      <c r="L112" s="6" t="s">
        <v>209</v>
      </c>
      <c r="M112" s="6" t="s">
        <v>245</v>
      </c>
      <c r="N112" s="6" t="s">
        <v>246</v>
      </c>
      <c r="O112" s="6" t="s">
        <v>247</v>
      </c>
    </row>
    <row r="113" spans="2:15" ht="12.75">
      <c r="B113" s="138" t="s">
        <v>313</v>
      </c>
      <c r="C113" s="138" t="s">
        <v>242</v>
      </c>
      <c r="D113" s="151" t="s">
        <v>243</v>
      </c>
      <c r="E113" s="151"/>
      <c r="F113" s="151"/>
      <c r="G113" s="6" t="s">
        <v>244</v>
      </c>
      <c r="I113" s="152">
        <v>40</v>
      </c>
      <c r="K113" s="6" t="s">
        <v>208</v>
      </c>
      <c r="L113" s="6" t="s">
        <v>209</v>
      </c>
      <c r="M113" s="6" t="s">
        <v>245</v>
      </c>
      <c r="N113" s="6" t="s">
        <v>246</v>
      </c>
      <c r="O113" s="6" t="s">
        <v>247</v>
      </c>
    </row>
    <row r="114" spans="2:15" ht="12.75">
      <c r="B114" s="138" t="s">
        <v>314</v>
      </c>
      <c r="C114" s="138" t="s">
        <v>242</v>
      </c>
      <c r="D114" s="151" t="s">
        <v>249</v>
      </c>
      <c r="E114" s="151"/>
      <c r="F114" s="151"/>
      <c r="G114" s="6" t="s">
        <v>244</v>
      </c>
      <c r="I114" s="152">
        <v>40</v>
      </c>
      <c r="K114" s="6" t="s">
        <v>208</v>
      </c>
      <c r="L114" s="6" t="s">
        <v>209</v>
      </c>
      <c r="M114" s="6" t="s">
        <v>245</v>
      </c>
      <c r="N114" s="6" t="s">
        <v>246</v>
      </c>
      <c r="O114" s="6" t="s">
        <v>247</v>
      </c>
    </row>
    <row r="115" spans="2:15" ht="12.75">
      <c r="B115" s="138" t="s">
        <v>315</v>
      </c>
      <c r="C115" s="138" t="s">
        <v>242</v>
      </c>
      <c r="D115" s="151" t="s">
        <v>251</v>
      </c>
      <c r="E115" s="151"/>
      <c r="F115" s="151"/>
      <c r="G115" s="6" t="s">
        <v>244</v>
      </c>
      <c r="I115" s="152">
        <v>40</v>
      </c>
      <c r="K115" s="6" t="s">
        <v>208</v>
      </c>
      <c r="L115" s="6" t="s">
        <v>209</v>
      </c>
      <c r="M115" s="6" t="s">
        <v>245</v>
      </c>
      <c r="N115" s="6" t="s">
        <v>246</v>
      </c>
      <c r="O115" s="6" t="s">
        <v>247</v>
      </c>
    </row>
    <row r="116" spans="2:15" ht="12.75">
      <c r="B116" s="138" t="s">
        <v>316</v>
      </c>
      <c r="C116" s="138" t="s">
        <v>242</v>
      </c>
      <c r="D116" s="151" t="s">
        <v>253</v>
      </c>
      <c r="E116" s="151"/>
      <c r="F116" s="151"/>
      <c r="G116" s="6" t="s">
        <v>244</v>
      </c>
      <c r="I116" s="152">
        <v>40</v>
      </c>
      <c r="K116" s="6" t="s">
        <v>208</v>
      </c>
      <c r="L116" s="6" t="s">
        <v>209</v>
      </c>
      <c r="M116" s="6" t="s">
        <v>245</v>
      </c>
      <c r="N116" s="6" t="s">
        <v>246</v>
      </c>
      <c r="O116" s="6" t="s">
        <v>247</v>
      </c>
    </row>
    <row r="117" spans="2:15" ht="12.75">
      <c r="B117" s="138" t="s">
        <v>317</v>
      </c>
      <c r="C117" s="138" t="s">
        <v>242</v>
      </c>
      <c r="D117" s="151" t="s">
        <v>255</v>
      </c>
      <c r="E117" s="151"/>
      <c r="F117" s="151"/>
      <c r="G117" s="6" t="s">
        <v>244</v>
      </c>
      <c r="I117" s="152">
        <v>40</v>
      </c>
      <c r="K117" s="6" t="s">
        <v>208</v>
      </c>
      <c r="L117" s="6" t="s">
        <v>209</v>
      </c>
      <c r="M117" s="6" t="s">
        <v>245</v>
      </c>
      <c r="N117" s="6" t="s">
        <v>246</v>
      </c>
      <c r="O117" s="6" t="s">
        <v>247</v>
      </c>
    </row>
    <row r="118" spans="2:15" ht="12.75">
      <c r="B118" s="138" t="s">
        <v>318</v>
      </c>
      <c r="C118" s="138" t="s">
        <v>242</v>
      </c>
      <c r="D118" s="151" t="s">
        <v>257</v>
      </c>
      <c r="E118" s="151"/>
      <c r="F118" s="151"/>
      <c r="G118" s="6" t="s">
        <v>244</v>
      </c>
      <c r="I118" s="152">
        <v>40</v>
      </c>
      <c r="K118" s="6" t="s">
        <v>208</v>
      </c>
      <c r="L118" s="6" t="s">
        <v>209</v>
      </c>
      <c r="M118" s="6" t="s">
        <v>245</v>
      </c>
      <c r="N118" s="6" t="s">
        <v>246</v>
      </c>
      <c r="O118" s="6" t="s">
        <v>247</v>
      </c>
    </row>
    <row r="119" spans="2:15" ht="12.75">
      <c r="B119" s="138" t="s">
        <v>319</v>
      </c>
      <c r="C119" s="138" t="s">
        <v>242</v>
      </c>
      <c r="D119" s="151" t="s">
        <v>259</v>
      </c>
      <c r="E119" s="151"/>
      <c r="F119" s="151"/>
      <c r="G119" s="6" t="s">
        <v>244</v>
      </c>
      <c r="I119" s="152">
        <v>40</v>
      </c>
      <c r="K119" s="6" t="s">
        <v>208</v>
      </c>
      <c r="L119" s="6" t="s">
        <v>209</v>
      </c>
      <c r="M119" s="6" t="s">
        <v>245</v>
      </c>
      <c r="N119" s="6" t="s">
        <v>246</v>
      </c>
      <c r="O119" s="6" t="s">
        <v>247</v>
      </c>
    </row>
    <row r="120" spans="2:15" ht="12.75">
      <c r="B120" s="138" t="s">
        <v>320</v>
      </c>
      <c r="C120" s="138" t="s">
        <v>242</v>
      </c>
      <c r="D120" s="151" t="s">
        <v>261</v>
      </c>
      <c r="E120" s="151"/>
      <c r="F120" s="151"/>
      <c r="G120" s="6" t="s">
        <v>244</v>
      </c>
      <c r="I120" s="152">
        <v>40</v>
      </c>
      <c r="K120" s="6" t="s">
        <v>208</v>
      </c>
      <c r="L120" s="6" t="s">
        <v>209</v>
      </c>
      <c r="M120" s="6" t="s">
        <v>245</v>
      </c>
      <c r="N120" s="6" t="s">
        <v>246</v>
      </c>
      <c r="O120" s="6" t="s">
        <v>247</v>
      </c>
    </row>
    <row r="121" spans="2:15" ht="12.75">
      <c r="B121" s="138" t="s">
        <v>321</v>
      </c>
      <c r="C121" s="138" t="s">
        <v>242</v>
      </c>
      <c r="D121" s="151" t="s">
        <v>263</v>
      </c>
      <c r="E121" s="151"/>
      <c r="F121" s="151"/>
      <c r="G121" s="6" t="s">
        <v>244</v>
      </c>
      <c r="I121" s="152">
        <v>40</v>
      </c>
      <c r="K121" s="6" t="s">
        <v>208</v>
      </c>
      <c r="L121" s="6" t="s">
        <v>209</v>
      </c>
      <c r="M121" s="6" t="s">
        <v>245</v>
      </c>
      <c r="N121" s="6" t="s">
        <v>246</v>
      </c>
      <c r="O121" s="6" t="s">
        <v>247</v>
      </c>
    </row>
    <row r="122" spans="2:15" ht="12.75">
      <c r="B122" s="138" t="s">
        <v>322</v>
      </c>
      <c r="C122" s="138" t="s">
        <v>242</v>
      </c>
      <c r="D122" s="151" t="s">
        <v>265</v>
      </c>
      <c r="E122" s="151"/>
      <c r="F122" s="151"/>
      <c r="G122" s="6" t="s">
        <v>244</v>
      </c>
      <c r="I122" s="152">
        <v>40</v>
      </c>
      <c r="K122" s="6" t="s">
        <v>208</v>
      </c>
      <c r="L122" s="6" t="s">
        <v>209</v>
      </c>
      <c r="M122" s="6" t="s">
        <v>245</v>
      </c>
      <c r="N122" s="6" t="s">
        <v>246</v>
      </c>
      <c r="O122" s="6" t="s">
        <v>247</v>
      </c>
    </row>
    <row r="123" spans="2:15" ht="12.75">
      <c r="B123" s="138" t="s">
        <v>323</v>
      </c>
      <c r="C123" s="138" t="s">
        <v>242</v>
      </c>
      <c r="D123" s="151" t="s">
        <v>267</v>
      </c>
      <c r="E123" s="151"/>
      <c r="F123" s="151"/>
      <c r="G123" s="6" t="s">
        <v>244</v>
      </c>
      <c r="I123" s="152">
        <v>40</v>
      </c>
      <c r="K123" s="6" t="s">
        <v>208</v>
      </c>
      <c r="L123" s="6" t="s">
        <v>209</v>
      </c>
      <c r="M123" s="6" t="s">
        <v>245</v>
      </c>
      <c r="N123" s="6" t="s">
        <v>246</v>
      </c>
      <c r="O123" s="6" t="s">
        <v>247</v>
      </c>
    </row>
    <row r="124" spans="2:15" ht="12.75">
      <c r="B124" s="138" t="s">
        <v>324</v>
      </c>
      <c r="C124" s="138" t="s">
        <v>242</v>
      </c>
      <c r="D124" s="151" t="s">
        <v>269</v>
      </c>
      <c r="E124" s="151"/>
      <c r="F124" s="151"/>
      <c r="G124" s="6" t="s">
        <v>244</v>
      </c>
      <c r="I124" s="152">
        <v>40</v>
      </c>
      <c r="K124" s="6" t="s">
        <v>208</v>
      </c>
      <c r="L124" s="6" t="s">
        <v>209</v>
      </c>
      <c r="M124" s="6" t="s">
        <v>245</v>
      </c>
      <c r="N124" s="6" t="s">
        <v>246</v>
      </c>
      <c r="O124" s="6" t="s">
        <v>247</v>
      </c>
    </row>
    <row r="125" spans="2:15" ht="12.75">
      <c r="B125" s="138" t="s">
        <v>325</v>
      </c>
      <c r="C125" s="138" t="s">
        <v>242</v>
      </c>
      <c r="D125" s="151" t="s">
        <v>271</v>
      </c>
      <c r="E125" s="151"/>
      <c r="F125" s="151"/>
      <c r="G125" s="6" t="s">
        <v>244</v>
      </c>
      <c r="I125" s="152">
        <v>40</v>
      </c>
      <c r="K125" s="6" t="s">
        <v>208</v>
      </c>
      <c r="L125" s="6" t="s">
        <v>209</v>
      </c>
      <c r="M125" s="6" t="s">
        <v>245</v>
      </c>
      <c r="N125" s="6" t="s">
        <v>246</v>
      </c>
      <c r="O125" s="6" t="s">
        <v>247</v>
      </c>
    </row>
    <row r="126" spans="2:15" ht="12.75">
      <c r="B126" s="138" t="s">
        <v>326</v>
      </c>
      <c r="C126" s="138" t="s">
        <v>242</v>
      </c>
      <c r="D126" s="151" t="s">
        <v>243</v>
      </c>
      <c r="E126" s="151"/>
      <c r="F126" s="151"/>
      <c r="G126" s="6" t="s">
        <v>244</v>
      </c>
      <c r="I126" s="152">
        <v>50</v>
      </c>
      <c r="K126" s="6" t="s">
        <v>208</v>
      </c>
      <c r="L126" s="6" t="s">
        <v>209</v>
      </c>
      <c r="M126" s="6" t="s">
        <v>245</v>
      </c>
      <c r="N126" s="6" t="s">
        <v>246</v>
      </c>
      <c r="O126" s="6" t="s">
        <v>247</v>
      </c>
    </row>
    <row r="127" spans="2:15" ht="12.75">
      <c r="B127" s="138" t="s">
        <v>327</v>
      </c>
      <c r="C127" s="138" t="s">
        <v>242</v>
      </c>
      <c r="D127" s="151" t="s">
        <v>249</v>
      </c>
      <c r="E127" s="151"/>
      <c r="F127" s="151"/>
      <c r="G127" s="6" t="s">
        <v>244</v>
      </c>
      <c r="I127" s="152">
        <v>50</v>
      </c>
      <c r="K127" s="6" t="s">
        <v>208</v>
      </c>
      <c r="L127" s="6" t="s">
        <v>209</v>
      </c>
      <c r="M127" s="6" t="s">
        <v>245</v>
      </c>
      <c r="N127" s="6" t="s">
        <v>246</v>
      </c>
      <c r="O127" s="6" t="s">
        <v>247</v>
      </c>
    </row>
    <row r="128" spans="2:15" ht="12.75">
      <c r="B128" s="138" t="s">
        <v>328</v>
      </c>
      <c r="C128" s="138" t="s">
        <v>242</v>
      </c>
      <c r="D128" s="151" t="s">
        <v>251</v>
      </c>
      <c r="E128" s="151"/>
      <c r="F128" s="151"/>
      <c r="G128" s="6" t="s">
        <v>244</v>
      </c>
      <c r="I128" s="152">
        <v>50</v>
      </c>
      <c r="K128" s="6" t="s">
        <v>208</v>
      </c>
      <c r="L128" s="6" t="s">
        <v>209</v>
      </c>
      <c r="M128" s="6" t="s">
        <v>245</v>
      </c>
      <c r="N128" s="6" t="s">
        <v>246</v>
      </c>
      <c r="O128" s="6" t="s">
        <v>247</v>
      </c>
    </row>
    <row r="129" spans="2:15" ht="12.75">
      <c r="B129" s="138" t="s">
        <v>329</v>
      </c>
      <c r="C129" s="138" t="s">
        <v>242</v>
      </c>
      <c r="D129" s="151" t="s">
        <v>253</v>
      </c>
      <c r="E129" s="151"/>
      <c r="F129" s="151"/>
      <c r="G129" s="6" t="s">
        <v>244</v>
      </c>
      <c r="I129" s="152">
        <v>50</v>
      </c>
      <c r="K129" s="6" t="s">
        <v>208</v>
      </c>
      <c r="L129" s="6" t="s">
        <v>209</v>
      </c>
      <c r="M129" s="6" t="s">
        <v>245</v>
      </c>
      <c r="N129" s="6" t="s">
        <v>246</v>
      </c>
      <c r="O129" s="6" t="s">
        <v>247</v>
      </c>
    </row>
    <row r="130" spans="2:15" ht="12.75">
      <c r="B130" s="138" t="s">
        <v>330</v>
      </c>
      <c r="C130" s="138" t="s">
        <v>242</v>
      </c>
      <c r="D130" s="151" t="s">
        <v>255</v>
      </c>
      <c r="E130" s="151"/>
      <c r="F130" s="151"/>
      <c r="G130" s="6" t="s">
        <v>244</v>
      </c>
      <c r="I130" s="152">
        <v>50</v>
      </c>
      <c r="K130" s="6" t="s">
        <v>208</v>
      </c>
      <c r="L130" s="6" t="s">
        <v>209</v>
      </c>
      <c r="M130" s="6" t="s">
        <v>245</v>
      </c>
      <c r="N130" s="6" t="s">
        <v>246</v>
      </c>
      <c r="O130" s="6" t="s">
        <v>247</v>
      </c>
    </row>
    <row r="131" spans="2:15" ht="12.75">
      <c r="B131" s="138" t="s">
        <v>331</v>
      </c>
      <c r="C131" s="138" t="s">
        <v>242</v>
      </c>
      <c r="D131" s="151" t="s">
        <v>257</v>
      </c>
      <c r="E131" s="151"/>
      <c r="F131" s="151"/>
      <c r="G131" s="6" t="s">
        <v>244</v>
      </c>
      <c r="I131" s="152">
        <v>50</v>
      </c>
      <c r="K131" s="6" t="s">
        <v>208</v>
      </c>
      <c r="L131" s="6" t="s">
        <v>209</v>
      </c>
      <c r="M131" s="6" t="s">
        <v>245</v>
      </c>
      <c r="N131" s="6" t="s">
        <v>246</v>
      </c>
      <c r="O131" s="6" t="s">
        <v>247</v>
      </c>
    </row>
    <row r="132" spans="2:15" ht="12.75">
      <c r="B132" s="138" t="s">
        <v>332</v>
      </c>
      <c r="C132" s="138" t="s">
        <v>242</v>
      </c>
      <c r="D132" s="151" t="s">
        <v>259</v>
      </c>
      <c r="E132" s="151"/>
      <c r="F132" s="151"/>
      <c r="G132" s="6" t="s">
        <v>244</v>
      </c>
      <c r="I132" s="152">
        <v>50</v>
      </c>
      <c r="K132" s="6" t="s">
        <v>208</v>
      </c>
      <c r="L132" s="6" t="s">
        <v>209</v>
      </c>
      <c r="M132" s="6" t="s">
        <v>245</v>
      </c>
      <c r="N132" s="6" t="s">
        <v>246</v>
      </c>
      <c r="O132" s="6" t="s">
        <v>247</v>
      </c>
    </row>
    <row r="133" spans="2:15" ht="12.75">
      <c r="B133" s="138" t="s">
        <v>333</v>
      </c>
      <c r="C133" s="138" t="s">
        <v>242</v>
      </c>
      <c r="D133" s="151" t="s">
        <v>261</v>
      </c>
      <c r="E133" s="151"/>
      <c r="F133" s="151"/>
      <c r="G133" s="6" t="s">
        <v>244</v>
      </c>
      <c r="I133" s="152">
        <v>50</v>
      </c>
      <c r="K133" s="6" t="s">
        <v>208</v>
      </c>
      <c r="L133" s="6" t="s">
        <v>209</v>
      </c>
      <c r="M133" s="6" t="s">
        <v>245</v>
      </c>
      <c r="N133" s="6" t="s">
        <v>246</v>
      </c>
      <c r="O133" s="6" t="s">
        <v>247</v>
      </c>
    </row>
    <row r="134" spans="2:15" ht="12.75">
      <c r="B134" s="138" t="s">
        <v>334</v>
      </c>
      <c r="C134" s="138" t="s">
        <v>242</v>
      </c>
      <c r="D134" s="151" t="s">
        <v>263</v>
      </c>
      <c r="E134" s="151"/>
      <c r="F134" s="151"/>
      <c r="G134" s="6" t="s">
        <v>244</v>
      </c>
      <c r="I134" s="152">
        <v>50</v>
      </c>
      <c r="K134" s="6" t="s">
        <v>208</v>
      </c>
      <c r="L134" s="6" t="s">
        <v>209</v>
      </c>
      <c r="M134" s="6" t="s">
        <v>245</v>
      </c>
      <c r="N134" s="6" t="s">
        <v>246</v>
      </c>
      <c r="O134" s="6" t="s">
        <v>247</v>
      </c>
    </row>
    <row r="135" spans="2:15" ht="12.75">
      <c r="B135" s="138" t="s">
        <v>335</v>
      </c>
      <c r="C135" s="138" t="s">
        <v>242</v>
      </c>
      <c r="D135" s="151" t="s">
        <v>265</v>
      </c>
      <c r="E135" s="151"/>
      <c r="F135" s="151"/>
      <c r="G135" s="6" t="s">
        <v>244</v>
      </c>
      <c r="I135" s="152">
        <v>50</v>
      </c>
      <c r="K135" s="6" t="s">
        <v>208</v>
      </c>
      <c r="L135" s="6" t="s">
        <v>209</v>
      </c>
      <c r="M135" s="6" t="s">
        <v>245</v>
      </c>
      <c r="N135" s="6" t="s">
        <v>246</v>
      </c>
      <c r="O135" s="6" t="s">
        <v>247</v>
      </c>
    </row>
    <row r="136" spans="2:15" ht="12.75">
      <c r="B136" s="138" t="s">
        <v>336</v>
      </c>
      <c r="C136" s="138" t="s">
        <v>242</v>
      </c>
      <c r="D136" s="151" t="s">
        <v>267</v>
      </c>
      <c r="E136" s="151"/>
      <c r="F136" s="151"/>
      <c r="G136" s="6" t="s">
        <v>244</v>
      </c>
      <c r="I136" s="152">
        <v>50</v>
      </c>
      <c r="K136" s="6" t="s">
        <v>208</v>
      </c>
      <c r="L136" s="6" t="s">
        <v>209</v>
      </c>
      <c r="M136" s="6" t="s">
        <v>245</v>
      </c>
      <c r="N136" s="6" t="s">
        <v>246</v>
      </c>
      <c r="O136" s="6" t="s">
        <v>247</v>
      </c>
    </row>
    <row r="137" spans="2:15" ht="12.75">
      <c r="B137" s="138" t="s">
        <v>337</v>
      </c>
      <c r="C137" s="138" t="s">
        <v>242</v>
      </c>
      <c r="D137" s="151" t="s">
        <v>269</v>
      </c>
      <c r="E137" s="151"/>
      <c r="F137" s="151"/>
      <c r="G137" s="6" t="s">
        <v>244</v>
      </c>
      <c r="I137" s="152">
        <v>50</v>
      </c>
      <c r="K137" s="6" t="s">
        <v>208</v>
      </c>
      <c r="L137" s="6" t="s">
        <v>209</v>
      </c>
      <c r="M137" s="6" t="s">
        <v>245</v>
      </c>
      <c r="N137" s="6" t="s">
        <v>246</v>
      </c>
      <c r="O137" s="6" t="s">
        <v>247</v>
      </c>
    </row>
    <row r="138" spans="2:15" ht="12.75">
      <c r="B138" s="138" t="s">
        <v>338</v>
      </c>
      <c r="C138" s="138" t="s">
        <v>242</v>
      </c>
      <c r="D138" s="151" t="s">
        <v>271</v>
      </c>
      <c r="E138" s="151"/>
      <c r="F138" s="151"/>
      <c r="G138" s="6" t="s">
        <v>244</v>
      </c>
      <c r="I138" s="152">
        <v>50</v>
      </c>
      <c r="K138" s="6" t="s">
        <v>208</v>
      </c>
      <c r="L138" s="6" t="s">
        <v>209</v>
      </c>
      <c r="M138" s="6" t="s">
        <v>245</v>
      </c>
      <c r="N138" s="6" t="s">
        <v>246</v>
      </c>
      <c r="O138" s="6" t="s">
        <v>247</v>
      </c>
    </row>
    <row r="139" spans="2:15" ht="12.75">
      <c r="B139" s="138" t="s">
        <v>339</v>
      </c>
      <c r="C139" s="138" t="s">
        <v>242</v>
      </c>
      <c r="D139" s="151" t="s">
        <v>243</v>
      </c>
      <c r="E139" s="151"/>
      <c r="F139" s="151"/>
      <c r="G139" s="6" t="s">
        <v>244</v>
      </c>
      <c r="I139" s="152">
        <v>60</v>
      </c>
      <c r="K139" s="6" t="s">
        <v>208</v>
      </c>
      <c r="L139" s="6" t="s">
        <v>209</v>
      </c>
      <c r="M139" s="6" t="s">
        <v>245</v>
      </c>
      <c r="N139" s="6" t="s">
        <v>246</v>
      </c>
      <c r="O139" s="6" t="s">
        <v>247</v>
      </c>
    </row>
    <row r="140" spans="2:15" ht="12.75">
      <c r="B140" s="138" t="s">
        <v>340</v>
      </c>
      <c r="C140" s="138" t="s">
        <v>242</v>
      </c>
      <c r="D140" s="151" t="s">
        <v>249</v>
      </c>
      <c r="E140" s="151"/>
      <c r="F140" s="151"/>
      <c r="G140" s="6" t="s">
        <v>244</v>
      </c>
      <c r="I140" s="152">
        <v>60</v>
      </c>
      <c r="K140" s="6" t="s">
        <v>208</v>
      </c>
      <c r="L140" s="6" t="s">
        <v>209</v>
      </c>
      <c r="M140" s="6" t="s">
        <v>245</v>
      </c>
      <c r="N140" s="6" t="s">
        <v>246</v>
      </c>
      <c r="O140" s="6" t="s">
        <v>247</v>
      </c>
    </row>
    <row r="141" spans="2:15" ht="12.75">
      <c r="B141" s="138" t="s">
        <v>341</v>
      </c>
      <c r="C141" s="138" t="s">
        <v>242</v>
      </c>
      <c r="D141" s="151" t="s">
        <v>251</v>
      </c>
      <c r="E141" s="151"/>
      <c r="F141" s="151"/>
      <c r="G141" s="6" t="s">
        <v>244</v>
      </c>
      <c r="I141" s="152">
        <v>60</v>
      </c>
      <c r="K141" s="6" t="s">
        <v>208</v>
      </c>
      <c r="L141" s="6" t="s">
        <v>209</v>
      </c>
      <c r="M141" s="6" t="s">
        <v>245</v>
      </c>
      <c r="N141" s="6" t="s">
        <v>246</v>
      </c>
      <c r="O141" s="6" t="s">
        <v>247</v>
      </c>
    </row>
    <row r="142" spans="2:15" ht="12.75">
      <c r="B142" s="138" t="s">
        <v>342</v>
      </c>
      <c r="C142" s="138" t="s">
        <v>242</v>
      </c>
      <c r="D142" s="151" t="s">
        <v>253</v>
      </c>
      <c r="E142" s="151"/>
      <c r="F142" s="151"/>
      <c r="G142" s="6" t="s">
        <v>244</v>
      </c>
      <c r="I142" s="152">
        <v>60</v>
      </c>
      <c r="K142" s="6" t="s">
        <v>208</v>
      </c>
      <c r="L142" s="6" t="s">
        <v>209</v>
      </c>
      <c r="M142" s="6" t="s">
        <v>245</v>
      </c>
      <c r="N142" s="6" t="s">
        <v>246</v>
      </c>
      <c r="O142" s="6" t="s">
        <v>247</v>
      </c>
    </row>
    <row r="143" spans="2:15" ht="12.75">
      <c r="B143" s="138" t="s">
        <v>343</v>
      </c>
      <c r="C143" s="138" t="s">
        <v>242</v>
      </c>
      <c r="D143" s="151" t="s">
        <v>255</v>
      </c>
      <c r="E143" s="151"/>
      <c r="F143" s="151"/>
      <c r="G143" s="6" t="s">
        <v>244</v>
      </c>
      <c r="I143" s="152">
        <v>60</v>
      </c>
      <c r="K143" s="6" t="s">
        <v>208</v>
      </c>
      <c r="L143" s="6" t="s">
        <v>209</v>
      </c>
      <c r="M143" s="6" t="s">
        <v>245</v>
      </c>
      <c r="N143" s="6" t="s">
        <v>246</v>
      </c>
      <c r="O143" s="6" t="s">
        <v>247</v>
      </c>
    </row>
    <row r="144" spans="2:15" ht="12.75">
      <c r="B144" s="138" t="s">
        <v>344</v>
      </c>
      <c r="C144" s="138" t="s">
        <v>242</v>
      </c>
      <c r="D144" s="151" t="s">
        <v>257</v>
      </c>
      <c r="E144" s="151"/>
      <c r="F144" s="151"/>
      <c r="G144" s="6" t="s">
        <v>244</v>
      </c>
      <c r="I144" s="152">
        <v>60</v>
      </c>
      <c r="K144" s="6" t="s">
        <v>208</v>
      </c>
      <c r="L144" s="6" t="s">
        <v>209</v>
      </c>
      <c r="M144" s="6" t="s">
        <v>245</v>
      </c>
      <c r="N144" s="6" t="s">
        <v>246</v>
      </c>
      <c r="O144" s="6" t="s">
        <v>247</v>
      </c>
    </row>
    <row r="145" spans="2:15" ht="12.75">
      <c r="B145" s="138" t="s">
        <v>345</v>
      </c>
      <c r="C145" s="138" t="s">
        <v>242</v>
      </c>
      <c r="D145" s="151" t="s">
        <v>259</v>
      </c>
      <c r="E145" s="151"/>
      <c r="F145" s="151"/>
      <c r="G145" s="6" t="s">
        <v>244</v>
      </c>
      <c r="I145" s="152">
        <v>60</v>
      </c>
      <c r="K145" s="6" t="s">
        <v>208</v>
      </c>
      <c r="L145" s="6" t="s">
        <v>209</v>
      </c>
      <c r="M145" s="6" t="s">
        <v>245</v>
      </c>
      <c r="N145" s="6" t="s">
        <v>246</v>
      </c>
      <c r="O145" s="6" t="s">
        <v>247</v>
      </c>
    </row>
    <row r="146" spans="2:15" ht="12.75">
      <c r="B146" s="138" t="s">
        <v>346</v>
      </c>
      <c r="C146" s="138" t="s">
        <v>242</v>
      </c>
      <c r="D146" s="151" t="s">
        <v>261</v>
      </c>
      <c r="E146" s="151"/>
      <c r="F146" s="151"/>
      <c r="G146" s="6" t="s">
        <v>244</v>
      </c>
      <c r="I146" s="152">
        <v>60</v>
      </c>
      <c r="K146" s="6" t="s">
        <v>208</v>
      </c>
      <c r="L146" s="6" t="s">
        <v>209</v>
      </c>
      <c r="M146" s="6" t="s">
        <v>245</v>
      </c>
      <c r="N146" s="6" t="s">
        <v>246</v>
      </c>
      <c r="O146" s="6" t="s">
        <v>247</v>
      </c>
    </row>
    <row r="147" spans="2:15" ht="12.75">
      <c r="B147" s="138" t="s">
        <v>347</v>
      </c>
      <c r="C147" s="138" t="s">
        <v>242</v>
      </c>
      <c r="D147" s="151" t="s">
        <v>263</v>
      </c>
      <c r="E147" s="151"/>
      <c r="F147" s="151"/>
      <c r="G147" s="6" t="s">
        <v>244</v>
      </c>
      <c r="I147" s="152">
        <v>60</v>
      </c>
      <c r="K147" s="6" t="s">
        <v>208</v>
      </c>
      <c r="L147" s="6" t="s">
        <v>209</v>
      </c>
      <c r="M147" s="6" t="s">
        <v>245</v>
      </c>
      <c r="N147" s="6" t="s">
        <v>246</v>
      </c>
      <c r="O147" s="6" t="s">
        <v>247</v>
      </c>
    </row>
    <row r="148" spans="2:15" ht="12.75">
      <c r="B148" s="138" t="s">
        <v>348</v>
      </c>
      <c r="C148" s="138" t="s">
        <v>242</v>
      </c>
      <c r="D148" s="151" t="s">
        <v>265</v>
      </c>
      <c r="E148" s="151"/>
      <c r="F148" s="151"/>
      <c r="G148" s="6" t="s">
        <v>244</v>
      </c>
      <c r="I148" s="152">
        <v>60</v>
      </c>
      <c r="K148" s="6" t="s">
        <v>208</v>
      </c>
      <c r="L148" s="6" t="s">
        <v>209</v>
      </c>
      <c r="M148" s="6" t="s">
        <v>245</v>
      </c>
      <c r="N148" s="6" t="s">
        <v>246</v>
      </c>
      <c r="O148" s="6" t="s">
        <v>247</v>
      </c>
    </row>
    <row r="149" spans="2:15" ht="12.75">
      <c r="B149" s="138" t="s">
        <v>349</v>
      </c>
      <c r="C149" s="138" t="s">
        <v>242</v>
      </c>
      <c r="D149" s="151" t="s">
        <v>267</v>
      </c>
      <c r="E149" s="151"/>
      <c r="F149" s="151"/>
      <c r="G149" s="6" t="s">
        <v>244</v>
      </c>
      <c r="I149" s="152">
        <v>60</v>
      </c>
      <c r="K149" s="6" t="s">
        <v>208</v>
      </c>
      <c r="L149" s="6" t="s">
        <v>209</v>
      </c>
      <c r="M149" s="6" t="s">
        <v>245</v>
      </c>
      <c r="N149" s="6" t="s">
        <v>246</v>
      </c>
      <c r="O149" s="6" t="s">
        <v>247</v>
      </c>
    </row>
    <row r="150" spans="2:15" ht="12.75">
      <c r="B150" s="138" t="s">
        <v>350</v>
      </c>
      <c r="C150" s="138" t="s">
        <v>242</v>
      </c>
      <c r="D150" s="151" t="s">
        <v>269</v>
      </c>
      <c r="E150" s="151"/>
      <c r="F150" s="151"/>
      <c r="G150" s="6" t="s">
        <v>244</v>
      </c>
      <c r="I150" s="152">
        <v>60</v>
      </c>
      <c r="K150" s="6" t="s">
        <v>208</v>
      </c>
      <c r="L150" s="6" t="s">
        <v>209</v>
      </c>
      <c r="M150" s="6" t="s">
        <v>245</v>
      </c>
      <c r="N150" s="6" t="s">
        <v>246</v>
      </c>
      <c r="O150" s="6" t="s">
        <v>247</v>
      </c>
    </row>
    <row r="151" spans="2:15" ht="12.75">
      <c r="B151" s="138" t="s">
        <v>351</v>
      </c>
      <c r="C151" s="138" t="s">
        <v>242</v>
      </c>
      <c r="D151" s="151" t="s">
        <v>271</v>
      </c>
      <c r="E151" s="151"/>
      <c r="F151" s="151"/>
      <c r="G151" s="6" t="s">
        <v>244</v>
      </c>
      <c r="I151" s="152">
        <v>60</v>
      </c>
      <c r="K151" s="6" t="s">
        <v>208</v>
      </c>
      <c r="L151" s="6" t="s">
        <v>209</v>
      </c>
      <c r="M151" s="6" t="s">
        <v>245</v>
      </c>
      <c r="N151" s="6" t="s">
        <v>246</v>
      </c>
      <c r="O151" s="6" t="s">
        <v>247</v>
      </c>
    </row>
    <row r="152" spans="2:15" ht="12.75">
      <c r="B152" s="138" t="s">
        <v>352</v>
      </c>
      <c r="C152" s="138" t="s">
        <v>242</v>
      </c>
      <c r="D152" s="151" t="s">
        <v>243</v>
      </c>
      <c r="E152" s="151"/>
      <c r="F152" s="151"/>
      <c r="G152" s="6" t="s">
        <v>244</v>
      </c>
      <c r="I152" s="152">
        <v>70</v>
      </c>
      <c r="K152" s="6" t="s">
        <v>208</v>
      </c>
      <c r="L152" s="6" t="s">
        <v>209</v>
      </c>
      <c r="M152" s="6" t="s">
        <v>245</v>
      </c>
      <c r="N152" s="6" t="s">
        <v>246</v>
      </c>
      <c r="O152" s="6" t="s">
        <v>247</v>
      </c>
    </row>
    <row r="153" spans="2:15" ht="12.75">
      <c r="B153" s="138" t="s">
        <v>353</v>
      </c>
      <c r="C153" s="138" t="s">
        <v>242</v>
      </c>
      <c r="D153" s="151" t="s">
        <v>249</v>
      </c>
      <c r="E153" s="151"/>
      <c r="F153" s="151"/>
      <c r="G153" s="6" t="s">
        <v>244</v>
      </c>
      <c r="I153" s="152">
        <v>70</v>
      </c>
      <c r="K153" s="6" t="s">
        <v>208</v>
      </c>
      <c r="L153" s="6" t="s">
        <v>209</v>
      </c>
      <c r="M153" s="6" t="s">
        <v>245</v>
      </c>
      <c r="N153" s="6" t="s">
        <v>246</v>
      </c>
      <c r="O153" s="6" t="s">
        <v>247</v>
      </c>
    </row>
    <row r="154" spans="2:15" ht="12.75">
      <c r="B154" s="138" t="s">
        <v>354</v>
      </c>
      <c r="C154" s="138" t="s">
        <v>242</v>
      </c>
      <c r="D154" s="151" t="s">
        <v>251</v>
      </c>
      <c r="E154" s="151"/>
      <c r="F154" s="151"/>
      <c r="G154" s="6" t="s">
        <v>244</v>
      </c>
      <c r="I154" s="152">
        <v>70</v>
      </c>
      <c r="K154" s="6" t="s">
        <v>208</v>
      </c>
      <c r="L154" s="6" t="s">
        <v>209</v>
      </c>
      <c r="M154" s="6" t="s">
        <v>245</v>
      </c>
      <c r="N154" s="6" t="s">
        <v>246</v>
      </c>
      <c r="O154" s="6" t="s">
        <v>247</v>
      </c>
    </row>
    <row r="155" spans="2:15" ht="12.75">
      <c r="B155" s="138" t="s">
        <v>355</v>
      </c>
      <c r="C155" s="138" t="s">
        <v>242</v>
      </c>
      <c r="D155" s="151" t="s">
        <v>253</v>
      </c>
      <c r="E155" s="151"/>
      <c r="F155" s="151"/>
      <c r="G155" s="6" t="s">
        <v>244</v>
      </c>
      <c r="I155" s="152">
        <v>70</v>
      </c>
      <c r="K155" s="6" t="s">
        <v>208</v>
      </c>
      <c r="L155" s="6" t="s">
        <v>209</v>
      </c>
      <c r="M155" s="6" t="s">
        <v>245</v>
      </c>
      <c r="N155" s="6" t="s">
        <v>246</v>
      </c>
      <c r="O155" s="6" t="s">
        <v>247</v>
      </c>
    </row>
    <row r="156" spans="2:15" ht="12.75">
      <c r="B156" s="138" t="s">
        <v>356</v>
      </c>
      <c r="C156" s="138" t="s">
        <v>242</v>
      </c>
      <c r="D156" s="151" t="s">
        <v>255</v>
      </c>
      <c r="E156" s="151"/>
      <c r="F156" s="151"/>
      <c r="G156" s="6" t="s">
        <v>244</v>
      </c>
      <c r="I156" s="152">
        <v>70</v>
      </c>
      <c r="K156" s="6" t="s">
        <v>208</v>
      </c>
      <c r="L156" s="6" t="s">
        <v>209</v>
      </c>
      <c r="M156" s="6" t="s">
        <v>245</v>
      </c>
      <c r="N156" s="6" t="s">
        <v>246</v>
      </c>
      <c r="O156" s="6" t="s">
        <v>247</v>
      </c>
    </row>
    <row r="157" spans="2:15" ht="12.75">
      <c r="B157" s="138" t="s">
        <v>357</v>
      </c>
      <c r="C157" s="138" t="s">
        <v>242</v>
      </c>
      <c r="D157" s="151" t="s">
        <v>257</v>
      </c>
      <c r="E157" s="151"/>
      <c r="F157" s="151"/>
      <c r="G157" s="6" t="s">
        <v>244</v>
      </c>
      <c r="I157" s="152">
        <v>70</v>
      </c>
      <c r="K157" s="6" t="s">
        <v>208</v>
      </c>
      <c r="L157" s="6" t="s">
        <v>209</v>
      </c>
      <c r="M157" s="6" t="s">
        <v>245</v>
      </c>
      <c r="N157" s="6" t="s">
        <v>246</v>
      </c>
      <c r="O157" s="6" t="s">
        <v>247</v>
      </c>
    </row>
    <row r="158" spans="2:15" ht="12.75">
      <c r="B158" s="138" t="s">
        <v>358</v>
      </c>
      <c r="C158" s="138" t="s">
        <v>242</v>
      </c>
      <c r="D158" s="151" t="s">
        <v>259</v>
      </c>
      <c r="E158" s="151"/>
      <c r="F158" s="151"/>
      <c r="G158" s="6" t="s">
        <v>244</v>
      </c>
      <c r="I158" s="152">
        <v>70</v>
      </c>
      <c r="K158" s="6" t="s">
        <v>208</v>
      </c>
      <c r="L158" s="6" t="s">
        <v>209</v>
      </c>
      <c r="M158" s="6" t="s">
        <v>245</v>
      </c>
      <c r="N158" s="6" t="s">
        <v>246</v>
      </c>
      <c r="O158" s="6" t="s">
        <v>247</v>
      </c>
    </row>
    <row r="159" spans="2:15" ht="12.75">
      <c r="B159" s="138" t="s">
        <v>359</v>
      </c>
      <c r="C159" s="138" t="s">
        <v>242</v>
      </c>
      <c r="D159" s="151" t="s">
        <v>261</v>
      </c>
      <c r="E159" s="151"/>
      <c r="F159" s="151"/>
      <c r="G159" s="6" t="s">
        <v>244</v>
      </c>
      <c r="I159" s="152">
        <v>70</v>
      </c>
      <c r="K159" s="6" t="s">
        <v>360</v>
      </c>
      <c r="L159" s="6" t="s">
        <v>209</v>
      </c>
      <c r="M159" s="6" t="s">
        <v>245</v>
      </c>
      <c r="N159" s="6" t="s">
        <v>246</v>
      </c>
      <c r="O159" s="6" t="s">
        <v>247</v>
      </c>
    </row>
    <row r="160" spans="2:15" ht="12.75">
      <c r="B160" s="138" t="s">
        <v>361</v>
      </c>
      <c r="C160" s="138" t="s">
        <v>242</v>
      </c>
      <c r="D160" s="151" t="s">
        <v>263</v>
      </c>
      <c r="E160" s="151"/>
      <c r="F160" s="151"/>
      <c r="G160" s="6" t="s">
        <v>244</v>
      </c>
      <c r="I160" s="152">
        <v>70</v>
      </c>
      <c r="K160" s="6" t="s">
        <v>360</v>
      </c>
      <c r="L160" s="6" t="s">
        <v>209</v>
      </c>
      <c r="M160" s="6" t="s">
        <v>245</v>
      </c>
      <c r="N160" s="6" t="s">
        <v>246</v>
      </c>
      <c r="O160" s="6" t="s">
        <v>247</v>
      </c>
    </row>
    <row r="161" spans="2:15" ht="12.75">
      <c r="B161" s="138" t="s">
        <v>362</v>
      </c>
      <c r="C161" s="138" t="s">
        <v>242</v>
      </c>
      <c r="D161" s="151" t="s">
        <v>265</v>
      </c>
      <c r="E161" s="151"/>
      <c r="F161" s="151"/>
      <c r="G161" s="6" t="s">
        <v>244</v>
      </c>
      <c r="I161" s="152">
        <v>70</v>
      </c>
      <c r="K161" s="6" t="s">
        <v>360</v>
      </c>
      <c r="L161" s="6" t="s">
        <v>209</v>
      </c>
      <c r="M161" s="6" t="s">
        <v>245</v>
      </c>
      <c r="N161" s="6" t="s">
        <v>246</v>
      </c>
      <c r="O161" s="6" t="s">
        <v>247</v>
      </c>
    </row>
    <row r="162" spans="2:15" ht="12.75">
      <c r="B162" s="138" t="s">
        <v>363</v>
      </c>
      <c r="C162" s="138" t="s">
        <v>242</v>
      </c>
      <c r="D162" s="151" t="s">
        <v>267</v>
      </c>
      <c r="E162" s="151"/>
      <c r="F162" s="151"/>
      <c r="G162" s="6" t="s">
        <v>244</v>
      </c>
      <c r="I162" s="152">
        <v>70</v>
      </c>
      <c r="K162" s="6" t="s">
        <v>360</v>
      </c>
      <c r="L162" s="6" t="s">
        <v>209</v>
      </c>
      <c r="M162" s="6" t="s">
        <v>245</v>
      </c>
      <c r="N162" s="6" t="s">
        <v>246</v>
      </c>
      <c r="O162" s="6" t="s">
        <v>247</v>
      </c>
    </row>
    <row r="163" spans="2:15" ht="12.75">
      <c r="B163" s="138" t="s">
        <v>364</v>
      </c>
      <c r="C163" s="138" t="s">
        <v>242</v>
      </c>
      <c r="D163" s="151" t="s">
        <v>269</v>
      </c>
      <c r="E163" s="151"/>
      <c r="F163" s="151"/>
      <c r="G163" s="6" t="s">
        <v>244</v>
      </c>
      <c r="I163" s="152">
        <v>70</v>
      </c>
      <c r="K163" s="6" t="s">
        <v>360</v>
      </c>
      <c r="L163" s="6" t="s">
        <v>209</v>
      </c>
      <c r="M163" s="6" t="s">
        <v>245</v>
      </c>
      <c r="N163" s="6" t="s">
        <v>246</v>
      </c>
      <c r="O163" s="6" t="s">
        <v>247</v>
      </c>
    </row>
    <row r="164" spans="2:15" ht="12.75">
      <c r="B164" s="138" t="s">
        <v>365</v>
      </c>
      <c r="C164" s="138" t="s">
        <v>242</v>
      </c>
      <c r="D164" s="151" t="s">
        <v>271</v>
      </c>
      <c r="E164" s="151"/>
      <c r="F164" s="151"/>
      <c r="G164" s="6" t="s">
        <v>244</v>
      </c>
      <c r="I164" s="152">
        <v>70</v>
      </c>
      <c r="K164" s="6" t="s">
        <v>360</v>
      </c>
      <c r="L164" s="6" t="s">
        <v>209</v>
      </c>
      <c r="M164" s="6" t="s">
        <v>245</v>
      </c>
      <c r="N164" s="6" t="s">
        <v>246</v>
      </c>
      <c r="O164" s="6" t="s">
        <v>247</v>
      </c>
    </row>
    <row r="165" spans="2:15" ht="12.75">
      <c r="B165" s="138" t="s">
        <v>366</v>
      </c>
      <c r="C165" s="138" t="s">
        <v>242</v>
      </c>
      <c r="D165" s="151" t="s">
        <v>243</v>
      </c>
      <c r="E165" s="151"/>
      <c r="F165" s="151"/>
      <c r="G165" s="6" t="s">
        <v>244</v>
      </c>
      <c r="I165" s="152">
        <v>80</v>
      </c>
      <c r="K165" s="6" t="s">
        <v>360</v>
      </c>
      <c r="L165" s="6" t="s">
        <v>209</v>
      </c>
      <c r="M165" s="6" t="s">
        <v>245</v>
      </c>
      <c r="N165" s="6" t="s">
        <v>246</v>
      </c>
      <c r="O165" s="6" t="s">
        <v>247</v>
      </c>
    </row>
    <row r="166" spans="2:15" ht="12.75">
      <c r="B166" s="138" t="s">
        <v>367</v>
      </c>
      <c r="C166" s="138" t="s">
        <v>242</v>
      </c>
      <c r="D166" s="151" t="s">
        <v>249</v>
      </c>
      <c r="E166" s="151"/>
      <c r="F166" s="151"/>
      <c r="G166" s="6" t="s">
        <v>244</v>
      </c>
      <c r="I166" s="152">
        <v>80</v>
      </c>
      <c r="K166" s="6" t="s">
        <v>360</v>
      </c>
      <c r="L166" s="6" t="s">
        <v>209</v>
      </c>
      <c r="M166" s="6" t="s">
        <v>245</v>
      </c>
      <c r="N166" s="6" t="s">
        <v>246</v>
      </c>
      <c r="O166" s="6" t="s">
        <v>247</v>
      </c>
    </row>
    <row r="167" spans="2:15" ht="12.75">
      <c r="B167" s="138" t="s">
        <v>368</v>
      </c>
      <c r="C167" s="138" t="s">
        <v>242</v>
      </c>
      <c r="D167" s="151" t="s">
        <v>251</v>
      </c>
      <c r="E167" s="151"/>
      <c r="F167" s="151"/>
      <c r="G167" s="6" t="s">
        <v>244</v>
      </c>
      <c r="I167" s="152">
        <v>80</v>
      </c>
      <c r="K167" s="6" t="s">
        <v>360</v>
      </c>
      <c r="L167" s="6" t="s">
        <v>209</v>
      </c>
      <c r="M167" s="6" t="s">
        <v>245</v>
      </c>
      <c r="N167" s="6" t="s">
        <v>246</v>
      </c>
      <c r="O167" s="6" t="s">
        <v>247</v>
      </c>
    </row>
    <row r="168" spans="2:15" ht="12.75">
      <c r="B168" s="138" t="s">
        <v>369</v>
      </c>
      <c r="C168" s="138" t="s">
        <v>242</v>
      </c>
      <c r="D168" s="151" t="s">
        <v>253</v>
      </c>
      <c r="E168" s="151"/>
      <c r="F168" s="151"/>
      <c r="G168" s="6" t="s">
        <v>244</v>
      </c>
      <c r="I168" s="152">
        <v>80</v>
      </c>
      <c r="K168" s="6" t="s">
        <v>360</v>
      </c>
      <c r="L168" s="6" t="s">
        <v>209</v>
      </c>
      <c r="M168" s="6" t="s">
        <v>245</v>
      </c>
      <c r="N168" s="6" t="s">
        <v>246</v>
      </c>
      <c r="O168" s="6" t="s">
        <v>247</v>
      </c>
    </row>
    <row r="169" spans="2:15" ht="12.75">
      <c r="B169" s="138" t="s">
        <v>370</v>
      </c>
      <c r="C169" s="138" t="s">
        <v>242</v>
      </c>
      <c r="D169" s="151" t="s">
        <v>255</v>
      </c>
      <c r="E169" s="151"/>
      <c r="F169" s="151"/>
      <c r="G169" s="6" t="s">
        <v>244</v>
      </c>
      <c r="I169" s="152">
        <v>80</v>
      </c>
      <c r="K169" s="6" t="s">
        <v>360</v>
      </c>
      <c r="L169" s="6" t="s">
        <v>209</v>
      </c>
      <c r="M169" s="6" t="s">
        <v>245</v>
      </c>
      <c r="N169" s="6" t="s">
        <v>246</v>
      </c>
      <c r="O169" s="6" t="s">
        <v>247</v>
      </c>
    </row>
    <row r="170" spans="2:15" ht="12.75">
      <c r="B170" s="138" t="s">
        <v>371</v>
      </c>
      <c r="C170" s="138" t="s">
        <v>242</v>
      </c>
      <c r="D170" s="151" t="s">
        <v>257</v>
      </c>
      <c r="E170" s="151"/>
      <c r="F170" s="151"/>
      <c r="G170" s="6" t="s">
        <v>244</v>
      </c>
      <c r="I170" s="152">
        <v>80</v>
      </c>
      <c r="K170" s="6" t="s">
        <v>360</v>
      </c>
      <c r="L170" s="6" t="s">
        <v>209</v>
      </c>
      <c r="M170" s="6" t="s">
        <v>245</v>
      </c>
      <c r="N170" s="6" t="s">
        <v>246</v>
      </c>
      <c r="O170" s="6" t="s">
        <v>247</v>
      </c>
    </row>
    <row r="171" spans="2:15" ht="12.75">
      <c r="B171" s="138" t="s">
        <v>372</v>
      </c>
      <c r="C171" s="138" t="s">
        <v>242</v>
      </c>
      <c r="D171" s="151" t="s">
        <v>259</v>
      </c>
      <c r="E171" s="151"/>
      <c r="F171" s="151"/>
      <c r="G171" s="6" t="s">
        <v>244</v>
      </c>
      <c r="I171" s="152">
        <v>80</v>
      </c>
      <c r="K171" s="6" t="s">
        <v>360</v>
      </c>
      <c r="L171" s="6" t="s">
        <v>209</v>
      </c>
      <c r="M171" s="6" t="s">
        <v>245</v>
      </c>
      <c r="N171" s="6" t="s">
        <v>246</v>
      </c>
      <c r="O171" s="6" t="s">
        <v>247</v>
      </c>
    </row>
    <row r="172" spans="2:15" ht="12.75">
      <c r="B172" s="138" t="s">
        <v>373</v>
      </c>
      <c r="C172" s="138" t="s">
        <v>242</v>
      </c>
      <c r="D172" s="151" t="s">
        <v>261</v>
      </c>
      <c r="E172" s="151"/>
      <c r="F172" s="151"/>
      <c r="G172" s="6" t="s">
        <v>244</v>
      </c>
      <c r="I172" s="152">
        <v>80</v>
      </c>
      <c r="K172" s="6" t="s">
        <v>360</v>
      </c>
      <c r="L172" s="6" t="s">
        <v>209</v>
      </c>
      <c r="M172" s="6" t="s">
        <v>245</v>
      </c>
      <c r="N172" s="6" t="s">
        <v>246</v>
      </c>
      <c r="O172" s="6" t="s">
        <v>247</v>
      </c>
    </row>
    <row r="173" spans="2:15" ht="12.75">
      <c r="B173" s="138" t="s">
        <v>374</v>
      </c>
      <c r="C173" s="138" t="s">
        <v>242</v>
      </c>
      <c r="D173" s="151" t="s">
        <v>263</v>
      </c>
      <c r="E173" s="151"/>
      <c r="F173" s="151"/>
      <c r="G173" s="6" t="s">
        <v>244</v>
      </c>
      <c r="I173" s="152">
        <v>80</v>
      </c>
      <c r="K173" s="6" t="s">
        <v>360</v>
      </c>
      <c r="L173" s="6" t="s">
        <v>209</v>
      </c>
      <c r="M173" s="6" t="s">
        <v>245</v>
      </c>
      <c r="N173" s="6" t="s">
        <v>246</v>
      </c>
      <c r="O173" s="6" t="s">
        <v>247</v>
      </c>
    </row>
    <row r="174" spans="2:15" ht="12.75">
      <c r="B174" s="138" t="s">
        <v>375</v>
      </c>
      <c r="C174" s="138" t="s">
        <v>242</v>
      </c>
      <c r="D174" s="151" t="s">
        <v>265</v>
      </c>
      <c r="E174" s="151"/>
      <c r="F174" s="151"/>
      <c r="G174" s="6" t="s">
        <v>244</v>
      </c>
      <c r="I174" s="152">
        <v>80</v>
      </c>
      <c r="K174" s="6" t="s">
        <v>360</v>
      </c>
      <c r="L174" s="6" t="s">
        <v>209</v>
      </c>
      <c r="M174" s="6" t="s">
        <v>245</v>
      </c>
      <c r="N174" s="6" t="s">
        <v>246</v>
      </c>
      <c r="O174" s="6" t="s">
        <v>247</v>
      </c>
    </row>
    <row r="175" spans="2:15" ht="12.75">
      <c r="B175" s="138" t="s">
        <v>376</v>
      </c>
      <c r="C175" s="138" t="s">
        <v>242</v>
      </c>
      <c r="D175" s="151" t="s">
        <v>267</v>
      </c>
      <c r="E175" s="151"/>
      <c r="F175" s="151"/>
      <c r="G175" s="6" t="s">
        <v>244</v>
      </c>
      <c r="I175" s="152">
        <v>80</v>
      </c>
      <c r="K175" s="6" t="s">
        <v>360</v>
      </c>
      <c r="L175" s="6" t="s">
        <v>209</v>
      </c>
      <c r="M175" s="6" t="s">
        <v>245</v>
      </c>
      <c r="N175" s="6" t="s">
        <v>246</v>
      </c>
      <c r="O175" s="6" t="s">
        <v>247</v>
      </c>
    </row>
    <row r="176" spans="2:15" ht="12.75">
      <c r="B176" s="138" t="s">
        <v>377</v>
      </c>
      <c r="C176" s="138" t="s">
        <v>242</v>
      </c>
      <c r="D176" s="151" t="s">
        <v>269</v>
      </c>
      <c r="E176" s="151"/>
      <c r="F176" s="151"/>
      <c r="G176" s="6" t="s">
        <v>244</v>
      </c>
      <c r="I176" s="152">
        <v>80</v>
      </c>
      <c r="K176" s="6" t="s">
        <v>360</v>
      </c>
      <c r="L176" s="6" t="s">
        <v>209</v>
      </c>
      <c r="M176" s="6" t="s">
        <v>245</v>
      </c>
      <c r="N176" s="6" t="s">
        <v>246</v>
      </c>
      <c r="O176" s="6" t="s">
        <v>247</v>
      </c>
    </row>
    <row r="177" spans="2:15" ht="12.75">
      <c r="B177" s="138" t="s">
        <v>378</v>
      </c>
      <c r="C177" s="138" t="s">
        <v>242</v>
      </c>
      <c r="D177" s="151" t="s">
        <v>271</v>
      </c>
      <c r="E177" s="151"/>
      <c r="F177" s="151"/>
      <c r="G177" s="6" t="s">
        <v>244</v>
      </c>
      <c r="I177" s="152">
        <v>80</v>
      </c>
      <c r="K177" s="6" t="s">
        <v>360</v>
      </c>
      <c r="L177" s="6" t="s">
        <v>209</v>
      </c>
      <c r="M177" s="6" t="s">
        <v>245</v>
      </c>
      <c r="N177" s="6" t="s">
        <v>246</v>
      </c>
      <c r="O177" s="6" t="s">
        <v>247</v>
      </c>
    </row>
    <row r="178" spans="2:15" ht="12.75">
      <c r="B178" s="138" t="s">
        <v>379</v>
      </c>
      <c r="C178" s="138" t="s">
        <v>242</v>
      </c>
      <c r="D178" s="151" t="s">
        <v>243</v>
      </c>
      <c r="E178" s="151"/>
      <c r="F178" s="151"/>
      <c r="G178" s="6" t="s">
        <v>244</v>
      </c>
      <c r="I178" s="152">
        <v>90</v>
      </c>
      <c r="K178" s="6" t="s">
        <v>360</v>
      </c>
      <c r="L178" s="6" t="s">
        <v>209</v>
      </c>
      <c r="M178" s="6" t="s">
        <v>245</v>
      </c>
      <c r="N178" s="6" t="s">
        <v>246</v>
      </c>
      <c r="O178" s="6" t="s">
        <v>247</v>
      </c>
    </row>
    <row r="179" spans="2:15" ht="12.75">
      <c r="B179" s="138" t="s">
        <v>380</v>
      </c>
      <c r="C179" s="138" t="s">
        <v>242</v>
      </c>
      <c r="D179" s="151" t="s">
        <v>249</v>
      </c>
      <c r="E179" s="151"/>
      <c r="F179" s="151"/>
      <c r="G179" s="6" t="s">
        <v>244</v>
      </c>
      <c r="I179" s="152">
        <v>90</v>
      </c>
      <c r="K179" s="6" t="s">
        <v>360</v>
      </c>
      <c r="L179" s="6" t="s">
        <v>209</v>
      </c>
      <c r="M179" s="6" t="s">
        <v>245</v>
      </c>
      <c r="N179" s="6" t="s">
        <v>246</v>
      </c>
      <c r="O179" s="6" t="s">
        <v>247</v>
      </c>
    </row>
    <row r="180" spans="2:15" ht="12.75">
      <c r="B180" s="138" t="s">
        <v>381</v>
      </c>
      <c r="C180" s="138" t="s">
        <v>242</v>
      </c>
      <c r="D180" s="151" t="s">
        <v>251</v>
      </c>
      <c r="E180" s="151"/>
      <c r="F180" s="151"/>
      <c r="G180" s="6" t="s">
        <v>244</v>
      </c>
      <c r="I180" s="152">
        <v>90</v>
      </c>
      <c r="K180" s="6" t="s">
        <v>360</v>
      </c>
      <c r="L180" s="6" t="s">
        <v>209</v>
      </c>
      <c r="M180" s="6" t="s">
        <v>245</v>
      </c>
      <c r="N180" s="6" t="s">
        <v>246</v>
      </c>
      <c r="O180" s="6" t="s">
        <v>247</v>
      </c>
    </row>
    <row r="181" spans="2:15" ht="12.75">
      <c r="B181" s="138" t="s">
        <v>382</v>
      </c>
      <c r="C181" s="138" t="s">
        <v>242</v>
      </c>
      <c r="D181" s="151" t="s">
        <v>253</v>
      </c>
      <c r="E181" s="151"/>
      <c r="F181" s="151"/>
      <c r="G181" s="6" t="s">
        <v>244</v>
      </c>
      <c r="I181" s="152">
        <v>90</v>
      </c>
      <c r="K181" s="6" t="s">
        <v>360</v>
      </c>
      <c r="L181" s="6" t="s">
        <v>209</v>
      </c>
      <c r="M181" s="6" t="s">
        <v>245</v>
      </c>
      <c r="N181" s="6" t="s">
        <v>246</v>
      </c>
      <c r="O181" s="6" t="s">
        <v>247</v>
      </c>
    </row>
    <row r="182" spans="2:15" ht="12.75">
      <c r="B182" s="138" t="s">
        <v>383</v>
      </c>
      <c r="C182" s="138" t="s">
        <v>242</v>
      </c>
      <c r="D182" s="151" t="s">
        <v>255</v>
      </c>
      <c r="E182" s="151"/>
      <c r="F182" s="151"/>
      <c r="G182" s="6" t="s">
        <v>244</v>
      </c>
      <c r="I182" s="152">
        <v>90</v>
      </c>
      <c r="K182" s="6" t="s">
        <v>360</v>
      </c>
      <c r="L182" s="6" t="s">
        <v>209</v>
      </c>
      <c r="M182" s="6" t="s">
        <v>245</v>
      </c>
      <c r="N182" s="6" t="s">
        <v>246</v>
      </c>
      <c r="O182" s="6" t="s">
        <v>247</v>
      </c>
    </row>
    <row r="183" spans="2:15" ht="12.75">
      <c r="B183" s="138" t="s">
        <v>384</v>
      </c>
      <c r="C183" s="138" t="s">
        <v>242</v>
      </c>
      <c r="D183" s="151" t="s">
        <v>257</v>
      </c>
      <c r="E183" s="151"/>
      <c r="F183" s="151"/>
      <c r="G183" s="6" t="s">
        <v>244</v>
      </c>
      <c r="I183" s="152">
        <v>90</v>
      </c>
      <c r="K183" s="6" t="s">
        <v>360</v>
      </c>
      <c r="L183" s="6" t="s">
        <v>209</v>
      </c>
      <c r="M183" s="6" t="s">
        <v>245</v>
      </c>
      <c r="N183" s="6" t="s">
        <v>246</v>
      </c>
      <c r="O183" s="6" t="s">
        <v>247</v>
      </c>
    </row>
    <row r="184" spans="2:15" ht="12.75">
      <c r="B184" s="138" t="s">
        <v>385</v>
      </c>
      <c r="C184" s="138" t="s">
        <v>242</v>
      </c>
      <c r="D184" s="151" t="s">
        <v>259</v>
      </c>
      <c r="E184" s="151"/>
      <c r="F184" s="151"/>
      <c r="G184" s="6" t="s">
        <v>244</v>
      </c>
      <c r="I184" s="152">
        <v>90</v>
      </c>
      <c r="K184" s="6" t="s">
        <v>360</v>
      </c>
      <c r="L184" s="6" t="s">
        <v>209</v>
      </c>
      <c r="M184" s="6" t="s">
        <v>245</v>
      </c>
      <c r="N184" s="6" t="s">
        <v>246</v>
      </c>
      <c r="O184" s="6" t="s">
        <v>247</v>
      </c>
    </row>
    <row r="185" spans="2:15" ht="12.75">
      <c r="B185" s="138" t="s">
        <v>386</v>
      </c>
      <c r="C185" s="138" t="s">
        <v>242</v>
      </c>
      <c r="D185" s="151" t="s">
        <v>261</v>
      </c>
      <c r="E185" s="151"/>
      <c r="F185" s="151"/>
      <c r="G185" s="6" t="s">
        <v>244</v>
      </c>
      <c r="I185" s="152">
        <v>90</v>
      </c>
      <c r="K185" s="6" t="s">
        <v>360</v>
      </c>
      <c r="L185" s="6" t="s">
        <v>209</v>
      </c>
      <c r="M185" s="6" t="s">
        <v>245</v>
      </c>
      <c r="N185" s="6" t="s">
        <v>246</v>
      </c>
      <c r="O185" s="6" t="s">
        <v>247</v>
      </c>
    </row>
    <row r="186" spans="2:15" ht="12.75">
      <c r="B186" s="138" t="s">
        <v>387</v>
      </c>
      <c r="C186" s="138" t="s">
        <v>242</v>
      </c>
      <c r="D186" s="151" t="s">
        <v>263</v>
      </c>
      <c r="E186" s="151"/>
      <c r="F186" s="151"/>
      <c r="G186" s="6" t="s">
        <v>244</v>
      </c>
      <c r="I186" s="152">
        <v>90</v>
      </c>
      <c r="K186" s="6" t="s">
        <v>360</v>
      </c>
      <c r="L186" s="6" t="s">
        <v>209</v>
      </c>
      <c r="M186" s="6" t="s">
        <v>245</v>
      </c>
      <c r="N186" s="6" t="s">
        <v>246</v>
      </c>
      <c r="O186" s="6" t="s">
        <v>247</v>
      </c>
    </row>
    <row r="187" spans="2:15" ht="12.75">
      <c r="B187" s="138" t="s">
        <v>388</v>
      </c>
      <c r="C187" s="138" t="s">
        <v>242</v>
      </c>
      <c r="D187" s="151" t="s">
        <v>265</v>
      </c>
      <c r="E187" s="151"/>
      <c r="F187" s="151"/>
      <c r="G187" s="6" t="s">
        <v>244</v>
      </c>
      <c r="I187" s="152">
        <v>90</v>
      </c>
      <c r="K187" s="6" t="s">
        <v>360</v>
      </c>
      <c r="L187" s="6" t="s">
        <v>209</v>
      </c>
      <c r="M187" s="6" t="s">
        <v>245</v>
      </c>
      <c r="N187" s="6" t="s">
        <v>246</v>
      </c>
      <c r="O187" s="6" t="s">
        <v>247</v>
      </c>
    </row>
    <row r="188" spans="2:15" ht="12.75">
      <c r="B188" s="138" t="s">
        <v>389</v>
      </c>
      <c r="C188" s="138" t="s">
        <v>242</v>
      </c>
      <c r="D188" s="151" t="s">
        <v>267</v>
      </c>
      <c r="E188" s="151"/>
      <c r="F188" s="151"/>
      <c r="G188" s="6" t="s">
        <v>244</v>
      </c>
      <c r="I188" s="152">
        <v>90</v>
      </c>
      <c r="K188" s="6" t="s">
        <v>360</v>
      </c>
      <c r="L188" s="6" t="s">
        <v>209</v>
      </c>
      <c r="M188" s="6" t="s">
        <v>245</v>
      </c>
      <c r="N188" s="6" t="s">
        <v>246</v>
      </c>
      <c r="O188" s="6" t="s">
        <v>247</v>
      </c>
    </row>
    <row r="189" spans="2:15" ht="12.75">
      <c r="B189" s="138" t="s">
        <v>390</v>
      </c>
      <c r="C189" s="138" t="s">
        <v>242</v>
      </c>
      <c r="D189" s="151" t="s">
        <v>269</v>
      </c>
      <c r="E189" s="151"/>
      <c r="F189" s="151"/>
      <c r="G189" s="6" t="s">
        <v>244</v>
      </c>
      <c r="I189" s="152">
        <v>90</v>
      </c>
      <c r="K189" s="6" t="s">
        <v>360</v>
      </c>
      <c r="L189" s="6" t="s">
        <v>209</v>
      </c>
      <c r="M189" s="6" t="s">
        <v>245</v>
      </c>
      <c r="N189" s="6" t="s">
        <v>246</v>
      </c>
      <c r="O189" s="6" t="s">
        <v>247</v>
      </c>
    </row>
    <row r="190" spans="2:15" ht="12.75">
      <c r="B190" s="138" t="s">
        <v>391</v>
      </c>
      <c r="C190" s="138" t="s">
        <v>242</v>
      </c>
      <c r="D190" s="151" t="s">
        <v>271</v>
      </c>
      <c r="E190" s="151"/>
      <c r="F190" s="151"/>
      <c r="G190" s="6" t="s">
        <v>244</v>
      </c>
      <c r="I190" s="152">
        <v>90</v>
      </c>
      <c r="K190" s="6" t="s">
        <v>360</v>
      </c>
      <c r="L190" s="6" t="s">
        <v>209</v>
      </c>
      <c r="M190" s="6" t="s">
        <v>245</v>
      </c>
      <c r="N190" s="6" t="s">
        <v>246</v>
      </c>
      <c r="O190" s="6" t="s">
        <v>247</v>
      </c>
    </row>
    <row r="191" spans="2:15" ht="12.75">
      <c r="B191" s="138" t="s">
        <v>392</v>
      </c>
      <c r="C191" s="138" t="s">
        <v>242</v>
      </c>
      <c r="D191" s="151" t="s">
        <v>243</v>
      </c>
      <c r="E191" s="151"/>
      <c r="F191" s="151"/>
      <c r="G191" s="6" t="s">
        <v>244</v>
      </c>
      <c r="I191" s="152">
        <v>100</v>
      </c>
      <c r="K191" s="6" t="s">
        <v>360</v>
      </c>
      <c r="L191" s="6" t="s">
        <v>209</v>
      </c>
      <c r="M191" s="6" t="s">
        <v>245</v>
      </c>
      <c r="N191" s="6" t="s">
        <v>246</v>
      </c>
      <c r="O191" s="6" t="s">
        <v>247</v>
      </c>
    </row>
    <row r="192" spans="2:15" ht="12.75">
      <c r="B192" s="138" t="s">
        <v>393</v>
      </c>
      <c r="C192" s="138" t="s">
        <v>242</v>
      </c>
      <c r="D192" s="151" t="s">
        <v>249</v>
      </c>
      <c r="E192" s="151"/>
      <c r="F192" s="151"/>
      <c r="G192" s="6" t="s">
        <v>244</v>
      </c>
      <c r="I192" s="152">
        <v>100</v>
      </c>
      <c r="K192" s="6" t="s">
        <v>360</v>
      </c>
      <c r="L192" s="6" t="s">
        <v>209</v>
      </c>
      <c r="M192" s="6" t="s">
        <v>245</v>
      </c>
      <c r="N192" s="6" t="s">
        <v>246</v>
      </c>
      <c r="O192" s="6" t="s">
        <v>247</v>
      </c>
    </row>
    <row r="193" spans="2:15" ht="12.75">
      <c r="B193" s="138" t="s">
        <v>394</v>
      </c>
      <c r="C193" s="138" t="s">
        <v>242</v>
      </c>
      <c r="D193" s="151" t="s">
        <v>251</v>
      </c>
      <c r="E193" s="151"/>
      <c r="F193" s="151"/>
      <c r="G193" s="6" t="s">
        <v>244</v>
      </c>
      <c r="I193" s="152">
        <v>100</v>
      </c>
      <c r="K193" s="6" t="s">
        <v>360</v>
      </c>
      <c r="L193" s="6" t="s">
        <v>209</v>
      </c>
      <c r="M193" s="6" t="s">
        <v>245</v>
      </c>
      <c r="N193" s="6" t="s">
        <v>246</v>
      </c>
      <c r="O193" s="6" t="s">
        <v>247</v>
      </c>
    </row>
    <row r="194" spans="2:15" ht="12.75">
      <c r="B194" s="138" t="s">
        <v>395</v>
      </c>
      <c r="C194" s="138" t="s">
        <v>242</v>
      </c>
      <c r="D194" s="151" t="s">
        <v>253</v>
      </c>
      <c r="E194" s="151"/>
      <c r="F194" s="151"/>
      <c r="G194" s="6" t="s">
        <v>244</v>
      </c>
      <c r="I194" s="152">
        <v>100</v>
      </c>
      <c r="K194" s="6" t="s">
        <v>360</v>
      </c>
      <c r="L194" s="6" t="s">
        <v>209</v>
      </c>
      <c r="M194" s="6" t="s">
        <v>245</v>
      </c>
      <c r="N194" s="6" t="s">
        <v>246</v>
      </c>
      <c r="O194" s="6" t="s">
        <v>247</v>
      </c>
    </row>
    <row r="195" spans="2:15" ht="12.75">
      <c r="B195" s="138" t="s">
        <v>396</v>
      </c>
      <c r="C195" s="138" t="s">
        <v>242</v>
      </c>
      <c r="D195" s="151" t="s">
        <v>255</v>
      </c>
      <c r="E195" s="151"/>
      <c r="F195" s="151"/>
      <c r="G195" s="6" t="s">
        <v>244</v>
      </c>
      <c r="I195" s="152">
        <v>100</v>
      </c>
      <c r="K195" s="6" t="s">
        <v>360</v>
      </c>
      <c r="L195" s="6" t="s">
        <v>209</v>
      </c>
      <c r="M195" s="6" t="s">
        <v>245</v>
      </c>
      <c r="N195" s="6" t="s">
        <v>246</v>
      </c>
      <c r="O195" s="6" t="s">
        <v>247</v>
      </c>
    </row>
    <row r="196" spans="2:15" ht="12.75">
      <c r="B196" s="138" t="s">
        <v>397</v>
      </c>
      <c r="C196" s="138" t="s">
        <v>242</v>
      </c>
      <c r="D196" s="151" t="s">
        <v>257</v>
      </c>
      <c r="E196" s="151"/>
      <c r="F196" s="151"/>
      <c r="G196" s="6" t="s">
        <v>244</v>
      </c>
      <c r="I196" s="152">
        <v>100</v>
      </c>
      <c r="K196" s="6" t="s">
        <v>360</v>
      </c>
      <c r="L196" s="6" t="s">
        <v>209</v>
      </c>
      <c r="M196" s="6" t="s">
        <v>245</v>
      </c>
      <c r="N196" s="6" t="s">
        <v>246</v>
      </c>
      <c r="O196" s="6" t="s">
        <v>247</v>
      </c>
    </row>
    <row r="197" spans="2:15" ht="12.75">
      <c r="B197" s="138" t="s">
        <v>398</v>
      </c>
      <c r="C197" s="138" t="s">
        <v>242</v>
      </c>
      <c r="D197" s="151" t="s">
        <v>259</v>
      </c>
      <c r="E197" s="151"/>
      <c r="F197" s="151"/>
      <c r="G197" s="6" t="s">
        <v>244</v>
      </c>
      <c r="I197" s="152">
        <v>100</v>
      </c>
      <c r="K197" s="6" t="s">
        <v>360</v>
      </c>
      <c r="L197" s="6" t="s">
        <v>209</v>
      </c>
      <c r="M197" s="6" t="s">
        <v>245</v>
      </c>
      <c r="N197" s="6" t="s">
        <v>246</v>
      </c>
      <c r="O197" s="6" t="s">
        <v>247</v>
      </c>
    </row>
    <row r="198" spans="2:15" ht="12.75">
      <c r="B198" s="138" t="s">
        <v>399</v>
      </c>
      <c r="C198" s="138" t="s">
        <v>242</v>
      </c>
      <c r="D198" s="151" t="s">
        <v>261</v>
      </c>
      <c r="E198" s="151"/>
      <c r="F198" s="151"/>
      <c r="G198" s="6" t="s">
        <v>244</v>
      </c>
      <c r="I198" s="152">
        <v>100</v>
      </c>
      <c r="K198" s="6" t="s">
        <v>360</v>
      </c>
      <c r="L198" s="6" t="s">
        <v>209</v>
      </c>
      <c r="M198" s="6" t="s">
        <v>245</v>
      </c>
      <c r="N198" s="6" t="s">
        <v>246</v>
      </c>
      <c r="O198" s="6" t="s">
        <v>247</v>
      </c>
    </row>
    <row r="199" spans="2:15" ht="12.75">
      <c r="B199" s="138" t="s">
        <v>400</v>
      </c>
      <c r="C199" s="138" t="s">
        <v>242</v>
      </c>
      <c r="D199" s="151" t="s">
        <v>263</v>
      </c>
      <c r="E199" s="151"/>
      <c r="F199" s="151"/>
      <c r="G199" s="6" t="s">
        <v>244</v>
      </c>
      <c r="I199" s="152">
        <v>100</v>
      </c>
      <c r="K199" s="6" t="s">
        <v>360</v>
      </c>
      <c r="L199" s="6" t="s">
        <v>209</v>
      </c>
      <c r="M199" s="6" t="s">
        <v>245</v>
      </c>
      <c r="N199" s="6" t="s">
        <v>246</v>
      </c>
      <c r="O199" s="6" t="s">
        <v>247</v>
      </c>
    </row>
    <row r="200" spans="2:15" ht="12.75">
      <c r="B200" s="138" t="s">
        <v>401</v>
      </c>
      <c r="C200" s="138" t="s">
        <v>242</v>
      </c>
      <c r="D200" s="151" t="s">
        <v>265</v>
      </c>
      <c r="E200" s="151"/>
      <c r="F200" s="151"/>
      <c r="G200" s="6" t="s">
        <v>244</v>
      </c>
      <c r="I200" s="152">
        <v>100</v>
      </c>
      <c r="K200" s="6" t="s">
        <v>360</v>
      </c>
      <c r="L200" s="6" t="s">
        <v>209</v>
      </c>
      <c r="M200" s="6" t="s">
        <v>245</v>
      </c>
      <c r="N200" s="6" t="s">
        <v>246</v>
      </c>
      <c r="O200" s="6" t="s">
        <v>247</v>
      </c>
    </row>
    <row r="201" spans="2:15" ht="12.75">
      <c r="B201" s="138" t="s">
        <v>402</v>
      </c>
      <c r="C201" s="138" t="s">
        <v>242</v>
      </c>
      <c r="D201" s="151" t="s">
        <v>267</v>
      </c>
      <c r="E201" s="151"/>
      <c r="F201" s="151"/>
      <c r="G201" s="6" t="s">
        <v>244</v>
      </c>
      <c r="I201" s="152">
        <v>100</v>
      </c>
    </row>
    <row r="202" spans="2:15" ht="12.75">
      <c r="B202" s="138" t="s">
        <v>403</v>
      </c>
      <c r="C202" s="138" t="s">
        <v>242</v>
      </c>
      <c r="D202" s="151" t="s">
        <v>269</v>
      </c>
      <c r="E202" s="151"/>
      <c r="F202" s="151"/>
      <c r="G202" s="6" t="s">
        <v>244</v>
      </c>
      <c r="I202" s="152">
        <v>100</v>
      </c>
    </row>
    <row r="203" spans="2:15" ht="12.75">
      <c r="B203" s="138" t="s">
        <v>404</v>
      </c>
      <c r="C203" s="138" t="s">
        <v>242</v>
      </c>
      <c r="D203" s="151" t="s">
        <v>271</v>
      </c>
      <c r="E203" s="151"/>
      <c r="F203" s="151"/>
      <c r="G203" s="6" t="s">
        <v>244</v>
      </c>
      <c r="I203" s="152">
        <v>100</v>
      </c>
    </row>
    <row r="205" spans="2:15" ht="12.75">
      <c r="B205" s="138" t="s">
        <v>405</v>
      </c>
      <c r="C205" s="153" t="s">
        <v>406</v>
      </c>
      <c r="D205" s="145" t="s">
        <v>407</v>
      </c>
      <c r="E205" s="145"/>
      <c r="F205" s="145"/>
      <c r="G205" s="6" t="s">
        <v>408</v>
      </c>
      <c r="H205" s="6" t="s">
        <v>205</v>
      </c>
      <c r="I205" s="6" t="s">
        <v>409</v>
      </c>
      <c r="J205" s="6" t="s">
        <v>410</v>
      </c>
      <c r="K205" s="6" t="s">
        <v>411</v>
      </c>
    </row>
    <row r="206" spans="2:15" ht="12.75">
      <c r="B206" s="138" t="s">
        <v>412</v>
      </c>
      <c r="C206" s="153" t="s">
        <v>406</v>
      </c>
      <c r="D206" s="145" t="s">
        <v>407</v>
      </c>
      <c r="E206" s="145"/>
      <c r="F206" s="145"/>
      <c r="G206" s="6" t="s">
        <v>413</v>
      </c>
      <c r="H206" s="6" t="s">
        <v>205</v>
      </c>
      <c r="I206" s="6" t="s">
        <v>414</v>
      </c>
      <c r="J206" s="6" t="s">
        <v>410</v>
      </c>
      <c r="K206" s="6" t="s">
        <v>411</v>
      </c>
    </row>
    <row r="207" spans="2:15" ht="12.75">
      <c r="B207" s="138" t="s">
        <v>415</v>
      </c>
      <c r="C207" s="153" t="s">
        <v>406</v>
      </c>
      <c r="D207" s="145" t="s">
        <v>407</v>
      </c>
      <c r="E207" s="145"/>
      <c r="F207" s="145"/>
      <c r="G207" s="6" t="s">
        <v>416</v>
      </c>
      <c r="H207" s="6" t="s">
        <v>205</v>
      </c>
      <c r="I207" s="6" t="s">
        <v>417</v>
      </c>
      <c r="J207" s="6" t="s">
        <v>410</v>
      </c>
      <c r="K207" s="6" t="s">
        <v>411</v>
      </c>
    </row>
    <row r="208" spans="2:15" ht="12.75">
      <c r="B208" s="138" t="s">
        <v>418</v>
      </c>
      <c r="C208" s="153" t="s">
        <v>406</v>
      </c>
      <c r="D208" s="145" t="s">
        <v>407</v>
      </c>
      <c r="E208" s="145"/>
      <c r="F208" s="145"/>
      <c r="G208" s="6" t="s">
        <v>419</v>
      </c>
      <c r="H208" s="6" t="s">
        <v>205</v>
      </c>
      <c r="I208" s="6" t="s">
        <v>420</v>
      </c>
      <c r="J208" s="6" t="s">
        <v>410</v>
      </c>
      <c r="K208" s="6" t="s">
        <v>411</v>
      </c>
    </row>
    <row r="209" spans="2:11" ht="12.75">
      <c r="B209" s="138" t="s">
        <v>421</v>
      </c>
      <c r="C209" s="153" t="s">
        <v>406</v>
      </c>
      <c r="D209" s="145" t="s">
        <v>407</v>
      </c>
      <c r="E209" s="145"/>
      <c r="F209" s="145"/>
      <c r="G209" s="6" t="s">
        <v>422</v>
      </c>
      <c r="H209" s="6" t="s">
        <v>205</v>
      </c>
      <c r="I209" s="6" t="s">
        <v>423</v>
      </c>
      <c r="J209" s="6" t="s">
        <v>410</v>
      </c>
      <c r="K209" s="6" t="s">
        <v>411</v>
      </c>
    </row>
    <row r="210" spans="2:11" ht="12.75">
      <c r="B210" s="138" t="s">
        <v>424</v>
      </c>
      <c r="C210" s="153" t="s">
        <v>406</v>
      </c>
      <c r="D210" s="145" t="s">
        <v>407</v>
      </c>
      <c r="E210" s="145"/>
      <c r="F210" s="145"/>
      <c r="G210" s="6" t="s">
        <v>425</v>
      </c>
      <c r="H210" s="6" t="s">
        <v>205</v>
      </c>
      <c r="I210" s="6" t="s">
        <v>426</v>
      </c>
      <c r="J210" s="6" t="s">
        <v>410</v>
      </c>
      <c r="K210" s="6" t="s">
        <v>411</v>
      </c>
    </row>
    <row r="211" spans="2:11" ht="12.75">
      <c r="B211" s="138" t="s">
        <v>427</v>
      </c>
      <c r="C211" s="153" t="s">
        <v>406</v>
      </c>
      <c r="D211" s="145" t="s">
        <v>407</v>
      </c>
      <c r="E211" s="145"/>
      <c r="F211" s="145"/>
      <c r="G211" s="6" t="s">
        <v>428</v>
      </c>
      <c r="H211" s="6" t="s">
        <v>205</v>
      </c>
      <c r="I211" s="6" t="s">
        <v>429</v>
      </c>
      <c r="J211" s="6" t="s">
        <v>410</v>
      </c>
      <c r="K211" s="6" t="s">
        <v>411</v>
      </c>
    </row>
    <row r="212" spans="2:11" ht="12.75">
      <c r="B212" s="138" t="s">
        <v>430</v>
      </c>
      <c r="C212" s="153" t="s">
        <v>406</v>
      </c>
      <c r="D212" s="145" t="s">
        <v>407</v>
      </c>
      <c r="E212" s="145"/>
      <c r="F212" s="145"/>
      <c r="G212" s="6" t="s">
        <v>431</v>
      </c>
      <c r="H212" s="6" t="s">
        <v>205</v>
      </c>
      <c r="I212" s="6" t="s">
        <v>432</v>
      </c>
      <c r="J212" s="6" t="s">
        <v>410</v>
      </c>
      <c r="K212" s="6" t="s">
        <v>411</v>
      </c>
    </row>
    <row r="213" spans="2:11" ht="12.75">
      <c r="B213" s="138" t="s">
        <v>433</v>
      </c>
      <c r="C213" s="153" t="s">
        <v>406</v>
      </c>
      <c r="D213" s="145" t="s">
        <v>407</v>
      </c>
      <c r="E213" s="145"/>
      <c r="F213" s="145"/>
      <c r="G213" s="6" t="s">
        <v>434</v>
      </c>
      <c r="H213" s="6" t="s">
        <v>205</v>
      </c>
      <c r="I213" s="6" t="s">
        <v>435</v>
      </c>
      <c r="J213" s="6" t="s">
        <v>410</v>
      </c>
      <c r="K213" s="6" t="s">
        <v>411</v>
      </c>
    </row>
    <row r="214" spans="2:11" ht="12.75">
      <c r="B214" s="138" t="s">
        <v>436</v>
      </c>
      <c r="C214" s="153" t="s">
        <v>406</v>
      </c>
      <c r="D214" s="145" t="s">
        <v>407</v>
      </c>
      <c r="E214" s="145"/>
      <c r="F214" s="145"/>
      <c r="G214" s="6" t="s">
        <v>437</v>
      </c>
      <c r="H214" s="6" t="s">
        <v>205</v>
      </c>
      <c r="I214" s="6" t="s">
        <v>438</v>
      </c>
      <c r="J214" s="6" t="s">
        <v>410</v>
      </c>
      <c r="K214" s="6" t="s">
        <v>411</v>
      </c>
    </row>
    <row r="215" spans="2:11" ht="12.75">
      <c r="B215" s="138" t="s">
        <v>439</v>
      </c>
      <c r="C215" s="153" t="s">
        <v>440</v>
      </c>
      <c r="D215" s="151" t="s">
        <v>441</v>
      </c>
      <c r="E215" s="151"/>
      <c r="F215" s="151"/>
      <c r="G215" s="6" t="s">
        <v>442</v>
      </c>
      <c r="H215" s="6" t="s">
        <v>205</v>
      </c>
      <c r="I215" s="6" t="s">
        <v>409</v>
      </c>
      <c r="J215" s="6" t="s">
        <v>443</v>
      </c>
      <c r="K215" s="6" t="s">
        <v>444</v>
      </c>
    </row>
    <row r="216" spans="2:11" ht="12.75">
      <c r="B216" s="138" t="s">
        <v>445</v>
      </c>
      <c r="C216" s="153" t="s">
        <v>440</v>
      </c>
      <c r="D216" s="151" t="s">
        <v>441</v>
      </c>
      <c r="E216" s="151"/>
      <c r="F216" s="151"/>
      <c r="G216" s="6" t="s">
        <v>446</v>
      </c>
      <c r="H216" s="6" t="s">
        <v>205</v>
      </c>
      <c r="I216" s="6" t="s">
        <v>414</v>
      </c>
      <c r="J216" s="6" t="s">
        <v>443</v>
      </c>
      <c r="K216" s="6" t="s">
        <v>444</v>
      </c>
    </row>
    <row r="217" spans="2:11" ht="12.75">
      <c r="B217" s="138" t="s">
        <v>447</v>
      </c>
      <c r="C217" s="153" t="s">
        <v>440</v>
      </c>
      <c r="D217" s="151" t="s">
        <v>441</v>
      </c>
      <c r="E217" s="151"/>
      <c r="F217" s="151"/>
      <c r="G217" s="6" t="s">
        <v>448</v>
      </c>
      <c r="H217" s="6" t="s">
        <v>205</v>
      </c>
      <c r="I217" s="6" t="s">
        <v>417</v>
      </c>
      <c r="J217" s="6" t="s">
        <v>443</v>
      </c>
      <c r="K217" s="6" t="s">
        <v>444</v>
      </c>
    </row>
    <row r="218" spans="2:11" ht="12.75">
      <c r="B218" s="138" t="s">
        <v>449</v>
      </c>
      <c r="C218" s="153" t="s">
        <v>440</v>
      </c>
      <c r="D218" s="151" t="s">
        <v>441</v>
      </c>
      <c r="E218" s="151"/>
      <c r="F218" s="151"/>
      <c r="G218" s="6" t="s">
        <v>450</v>
      </c>
      <c r="H218" s="6" t="s">
        <v>205</v>
      </c>
      <c r="I218" s="6" t="s">
        <v>420</v>
      </c>
      <c r="J218" s="6" t="s">
        <v>443</v>
      </c>
      <c r="K218" s="6" t="s">
        <v>444</v>
      </c>
    </row>
    <row r="219" spans="2:11" ht="12.75">
      <c r="B219" s="138" t="s">
        <v>451</v>
      </c>
      <c r="C219" s="153" t="s">
        <v>440</v>
      </c>
      <c r="D219" s="151" t="s">
        <v>441</v>
      </c>
      <c r="E219" s="151"/>
      <c r="F219" s="151"/>
      <c r="G219" s="6" t="s">
        <v>452</v>
      </c>
      <c r="H219" s="6" t="s">
        <v>205</v>
      </c>
      <c r="I219" s="6" t="s">
        <v>423</v>
      </c>
      <c r="J219" s="6" t="s">
        <v>443</v>
      </c>
      <c r="K219" s="6" t="s">
        <v>444</v>
      </c>
    </row>
    <row r="220" spans="2:11" ht="12.75">
      <c r="B220" s="138" t="s">
        <v>453</v>
      </c>
      <c r="C220" s="153" t="s">
        <v>440</v>
      </c>
      <c r="D220" s="151" t="s">
        <v>441</v>
      </c>
      <c r="E220" s="151"/>
      <c r="F220" s="151"/>
      <c r="G220" s="6" t="s">
        <v>454</v>
      </c>
      <c r="H220" s="6" t="s">
        <v>205</v>
      </c>
      <c r="I220" s="6" t="s">
        <v>426</v>
      </c>
      <c r="J220" s="6" t="s">
        <v>443</v>
      </c>
      <c r="K220" s="6" t="s">
        <v>444</v>
      </c>
    </row>
    <row r="221" spans="2:11" ht="12.75">
      <c r="B221" s="138" t="s">
        <v>455</v>
      </c>
      <c r="C221" s="153" t="s">
        <v>440</v>
      </c>
      <c r="D221" s="151" t="s">
        <v>441</v>
      </c>
      <c r="E221" s="151"/>
      <c r="F221" s="151"/>
      <c r="G221" s="6" t="s">
        <v>456</v>
      </c>
      <c r="H221" s="6" t="s">
        <v>205</v>
      </c>
      <c r="I221" s="6" t="s">
        <v>429</v>
      </c>
      <c r="J221" s="6" t="s">
        <v>443</v>
      </c>
      <c r="K221" s="6" t="s">
        <v>444</v>
      </c>
    </row>
    <row r="222" spans="2:11" ht="12.75">
      <c r="B222" s="138" t="s">
        <v>457</v>
      </c>
      <c r="C222" s="153" t="s">
        <v>440</v>
      </c>
      <c r="D222" s="151" t="s">
        <v>441</v>
      </c>
      <c r="E222" s="151"/>
      <c r="F222" s="151"/>
      <c r="G222" s="6" t="s">
        <v>458</v>
      </c>
      <c r="H222" s="6" t="s">
        <v>205</v>
      </c>
      <c r="I222" s="6" t="s">
        <v>432</v>
      </c>
      <c r="J222" s="6" t="s">
        <v>443</v>
      </c>
      <c r="K222" s="6" t="s">
        <v>444</v>
      </c>
    </row>
    <row r="223" spans="2:11" ht="12.75">
      <c r="B223" s="138" t="s">
        <v>459</v>
      </c>
      <c r="C223" s="153" t="s">
        <v>440</v>
      </c>
      <c r="D223" s="151" t="s">
        <v>441</v>
      </c>
      <c r="E223" s="151"/>
      <c r="F223" s="151"/>
      <c r="G223" s="6" t="s">
        <v>460</v>
      </c>
      <c r="H223" s="6" t="s">
        <v>205</v>
      </c>
      <c r="I223" s="6" t="s">
        <v>435</v>
      </c>
      <c r="J223" s="6" t="s">
        <v>443</v>
      </c>
      <c r="K223" s="6" t="s">
        <v>444</v>
      </c>
    </row>
    <row r="224" spans="2:11" ht="12.75">
      <c r="B224" s="138" t="s">
        <v>461</v>
      </c>
      <c r="C224" s="153" t="s">
        <v>440</v>
      </c>
      <c r="D224" s="151" t="s">
        <v>441</v>
      </c>
      <c r="E224" s="151"/>
      <c r="F224" s="151"/>
      <c r="G224" s="6" t="s">
        <v>462</v>
      </c>
      <c r="H224" s="6" t="s">
        <v>205</v>
      </c>
      <c r="I224" s="6" t="s">
        <v>438</v>
      </c>
      <c r="J224" s="6" t="s">
        <v>443</v>
      </c>
      <c r="K224" s="6" t="s">
        <v>444</v>
      </c>
    </row>
    <row r="225" spans="2:13" ht="12.75">
      <c r="B225" s="138" t="s">
        <v>463</v>
      </c>
      <c r="C225" s="153" t="s">
        <v>464</v>
      </c>
      <c r="D225" s="151" t="s">
        <v>465</v>
      </c>
      <c r="E225" s="151"/>
      <c r="F225" s="151"/>
      <c r="G225" s="6" t="s">
        <v>466</v>
      </c>
      <c r="H225" s="6" t="s">
        <v>205</v>
      </c>
      <c r="I225" s="6" t="s">
        <v>409</v>
      </c>
      <c r="J225" s="6" t="s">
        <v>467</v>
      </c>
      <c r="K225" s="6" t="s">
        <v>468</v>
      </c>
    </row>
    <row r="226" spans="2:13" ht="12.75">
      <c r="B226" s="138" t="s">
        <v>469</v>
      </c>
      <c r="C226" s="153" t="s">
        <v>464</v>
      </c>
      <c r="D226" s="151" t="s">
        <v>465</v>
      </c>
      <c r="E226" s="151"/>
      <c r="F226" s="151"/>
      <c r="G226" s="6" t="s">
        <v>470</v>
      </c>
      <c r="H226" s="6" t="s">
        <v>205</v>
      </c>
      <c r="I226" s="6" t="s">
        <v>414</v>
      </c>
      <c r="J226" s="6" t="s">
        <v>467</v>
      </c>
      <c r="K226" s="6" t="s">
        <v>468</v>
      </c>
    </row>
    <row r="227" spans="2:13" ht="12.75">
      <c r="B227" s="138" t="s">
        <v>471</v>
      </c>
      <c r="C227" s="153" t="s">
        <v>464</v>
      </c>
      <c r="D227" s="151" t="s">
        <v>465</v>
      </c>
      <c r="E227" s="151"/>
      <c r="F227" s="151"/>
      <c r="G227" s="6" t="s">
        <v>472</v>
      </c>
      <c r="H227" s="6" t="s">
        <v>205</v>
      </c>
      <c r="I227" s="6" t="s">
        <v>417</v>
      </c>
      <c r="J227" s="6" t="s">
        <v>467</v>
      </c>
      <c r="K227" s="6" t="s">
        <v>468</v>
      </c>
    </row>
    <row r="228" spans="2:13" ht="12.75">
      <c r="B228" s="138" t="s">
        <v>473</v>
      </c>
      <c r="C228" s="153" t="s">
        <v>464</v>
      </c>
      <c r="D228" s="151" t="s">
        <v>465</v>
      </c>
      <c r="E228" s="151"/>
      <c r="F228" s="151"/>
      <c r="G228" s="6" t="s">
        <v>474</v>
      </c>
      <c r="H228" s="6" t="s">
        <v>205</v>
      </c>
      <c r="I228" s="6" t="s">
        <v>420</v>
      </c>
      <c r="J228" s="6" t="s">
        <v>467</v>
      </c>
      <c r="K228" s="6" t="s">
        <v>468</v>
      </c>
    </row>
    <row r="229" spans="2:13" ht="12.75">
      <c r="B229" s="138" t="s">
        <v>475</v>
      </c>
      <c r="C229" s="153" t="s">
        <v>464</v>
      </c>
      <c r="D229" s="151" t="s">
        <v>465</v>
      </c>
      <c r="E229" s="151"/>
      <c r="F229" s="151"/>
      <c r="G229" s="6" t="s">
        <v>476</v>
      </c>
      <c r="H229" s="6" t="s">
        <v>205</v>
      </c>
      <c r="I229" s="6" t="s">
        <v>423</v>
      </c>
      <c r="J229" s="6" t="s">
        <v>467</v>
      </c>
      <c r="K229" s="6" t="s">
        <v>468</v>
      </c>
    </row>
    <row r="230" spans="2:13" ht="12.75">
      <c r="B230" s="138" t="s">
        <v>477</v>
      </c>
      <c r="C230" s="153" t="s">
        <v>464</v>
      </c>
      <c r="D230" s="151" t="s">
        <v>465</v>
      </c>
      <c r="E230" s="151"/>
      <c r="F230" s="151"/>
      <c r="G230" s="6" t="s">
        <v>478</v>
      </c>
      <c r="H230" s="6" t="s">
        <v>205</v>
      </c>
      <c r="I230" s="6" t="s">
        <v>426</v>
      </c>
      <c r="J230" s="6" t="s">
        <v>467</v>
      </c>
      <c r="K230" s="6" t="s">
        <v>468</v>
      </c>
    </row>
    <row r="231" spans="2:13" ht="12.75">
      <c r="B231" s="138" t="s">
        <v>479</v>
      </c>
      <c r="C231" s="153" t="s">
        <v>464</v>
      </c>
      <c r="D231" s="151" t="s">
        <v>465</v>
      </c>
      <c r="E231" s="151"/>
      <c r="F231" s="151"/>
      <c r="G231" s="6" t="s">
        <v>480</v>
      </c>
      <c r="H231" s="6" t="s">
        <v>205</v>
      </c>
      <c r="I231" s="6" t="s">
        <v>429</v>
      </c>
      <c r="J231" s="6" t="s">
        <v>467</v>
      </c>
      <c r="K231" s="6" t="s">
        <v>468</v>
      </c>
    </row>
    <row r="232" spans="2:13" ht="12.75">
      <c r="B232" s="138" t="s">
        <v>481</v>
      </c>
      <c r="C232" s="153" t="s">
        <v>464</v>
      </c>
      <c r="D232" s="151" t="s">
        <v>465</v>
      </c>
      <c r="E232" s="151"/>
      <c r="F232" s="151"/>
      <c r="G232" s="6" t="s">
        <v>482</v>
      </c>
      <c r="H232" s="6" t="s">
        <v>205</v>
      </c>
      <c r="I232" s="6" t="s">
        <v>432</v>
      </c>
      <c r="J232" s="6" t="s">
        <v>467</v>
      </c>
      <c r="K232" s="6" t="s">
        <v>468</v>
      </c>
    </row>
    <row r="233" spans="2:13" ht="12.75">
      <c r="B233" s="138" t="s">
        <v>483</v>
      </c>
      <c r="C233" s="153" t="s">
        <v>464</v>
      </c>
      <c r="D233" s="151" t="s">
        <v>465</v>
      </c>
      <c r="E233" s="151"/>
      <c r="F233" s="151"/>
      <c r="G233" s="6" t="s">
        <v>484</v>
      </c>
      <c r="H233" s="6" t="s">
        <v>205</v>
      </c>
      <c r="I233" s="6" t="s">
        <v>435</v>
      </c>
      <c r="J233" s="6" t="s">
        <v>467</v>
      </c>
      <c r="K233" s="6" t="s">
        <v>468</v>
      </c>
    </row>
    <row r="234" spans="2:13" ht="12.75">
      <c r="B234" s="138" t="s">
        <v>485</v>
      </c>
      <c r="C234" s="153" t="s">
        <v>464</v>
      </c>
      <c r="D234" s="151" t="s">
        <v>465</v>
      </c>
      <c r="E234" s="151"/>
      <c r="F234" s="151"/>
      <c r="G234" s="6" t="s">
        <v>486</v>
      </c>
      <c r="H234" s="6" t="s">
        <v>205</v>
      </c>
      <c r="I234" s="6" t="s">
        <v>438</v>
      </c>
      <c r="J234" s="6" t="s">
        <v>467</v>
      </c>
      <c r="K234" s="6" t="s">
        <v>468</v>
      </c>
    </row>
    <row r="236" spans="2:13" ht="12.75">
      <c r="B236" s="147" t="s">
        <v>487</v>
      </c>
      <c r="C236" s="147" t="s">
        <v>202</v>
      </c>
      <c r="D236" s="151" t="s">
        <v>488</v>
      </c>
      <c r="E236" s="151"/>
      <c r="F236" s="151"/>
      <c r="G236" s="6" t="s">
        <v>489</v>
      </c>
      <c r="H236" s="6" t="s">
        <v>205</v>
      </c>
      <c r="I236" s="6" t="s">
        <v>490</v>
      </c>
      <c r="J236" s="6" t="s">
        <v>491</v>
      </c>
      <c r="K236" s="6" t="s">
        <v>208</v>
      </c>
      <c r="L236" s="6" t="s">
        <v>32</v>
      </c>
      <c r="M236" s="6" t="s">
        <v>492</v>
      </c>
    </row>
    <row r="237" spans="2:13" ht="12.75">
      <c r="B237" s="147" t="s">
        <v>493</v>
      </c>
      <c r="C237" s="147" t="s">
        <v>202</v>
      </c>
      <c r="D237" s="151" t="s">
        <v>494</v>
      </c>
      <c r="E237" s="151"/>
      <c r="F237" s="151"/>
      <c r="G237" s="6" t="s">
        <v>495</v>
      </c>
      <c r="H237" s="6" t="s">
        <v>205</v>
      </c>
      <c r="I237" s="6" t="s">
        <v>490</v>
      </c>
      <c r="J237" s="6" t="s">
        <v>496</v>
      </c>
      <c r="K237" s="6" t="s">
        <v>208</v>
      </c>
      <c r="L237" s="6" t="s">
        <v>32</v>
      </c>
      <c r="M237" s="6" t="s">
        <v>492</v>
      </c>
    </row>
    <row r="238" spans="2:13" ht="12.75">
      <c r="B238" s="147" t="s">
        <v>497</v>
      </c>
      <c r="C238" s="147" t="s">
        <v>202</v>
      </c>
      <c r="D238" s="151" t="s">
        <v>498</v>
      </c>
      <c r="E238" s="151"/>
      <c r="F238" s="151"/>
      <c r="G238" s="6" t="s">
        <v>499</v>
      </c>
      <c r="H238" s="6" t="s">
        <v>205</v>
      </c>
      <c r="I238" s="6" t="s">
        <v>490</v>
      </c>
      <c r="J238" s="6" t="s">
        <v>500</v>
      </c>
      <c r="K238" s="6" t="s">
        <v>208</v>
      </c>
      <c r="L238" s="6" t="s">
        <v>32</v>
      </c>
      <c r="M238" s="6" t="s">
        <v>492</v>
      </c>
    </row>
    <row r="239" spans="2:13" ht="12.75">
      <c r="B239" s="147" t="s">
        <v>501</v>
      </c>
      <c r="C239" s="147" t="s">
        <v>202</v>
      </c>
      <c r="D239" s="151" t="s">
        <v>502</v>
      </c>
      <c r="E239" s="151"/>
      <c r="F239" s="151"/>
      <c r="G239" s="6" t="s">
        <v>503</v>
      </c>
      <c r="H239" s="6" t="s">
        <v>205</v>
      </c>
      <c r="I239" s="6" t="s">
        <v>490</v>
      </c>
      <c r="J239" s="6" t="s">
        <v>504</v>
      </c>
      <c r="K239" s="6" t="s">
        <v>208</v>
      </c>
      <c r="L239" s="6" t="s">
        <v>32</v>
      </c>
      <c r="M239" s="6" t="s">
        <v>492</v>
      </c>
    </row>
    <row r="241" spans="2:13">
      <c r="B241" s="154">
        <v>35001</v>
      </c>
      <c r="D241" s="145" t="s">
        <v>505</v>
      </c>
      <c r="E241" s="145"/>
      <c r="F241" s="145"/>
      <c r="G241" s="6" t="s">
        <v>506</v>
      </c>
      <c r="H241" s="6" t="s">
        <v>507</v>
      </c>
      <c r="I241" s="6" t="s">
        <v>508</v>
      </c>
      <c r="J241" s="6" t="s">
        <v>509</v>
      </c>
      <c r="K241" s="6" t="s">
        <v>208</v>
      </c>
      <c r="L241" s="6" t="s">
        <v>510</v>
      </c>
      <c r="M241" s="6" t="s">
        <v>127</v>
      </c>
    </row>
    <row r="242" spans="2:13">
      <c r="B242" s="154">
        <v>35002</v>
      </c>
      <c r="D242" s="145" t="s">
        <v>511</v>
      </c>
      <c r="E242" s="145"/>
      <c r="F242" s="145"/>
      <c r="G242" s="6" t="s">
        <v>512</v>
      </c>
      <c r="H242" s="6" t="s">
        <v>507</v>
      </c>
      <c r="I242" s="6" t="s">
        <v>513</v>
      </c>
      <c r="J242" s="6" t="s">
        <v>514</v>
      </c>
      <c r="K242" s="6" t="s">
        <v>208</v>
      </c>
      <c r="L242" s="6" t="s">
        <v>510</v>
      </c>
      <c r="M242" s="6" t="s">
        <v>127</v>
      </c>
    </row>
    <row r="243" spans="2:13">
      <c r="B243" s="154">
        <v>35003</v>
      </c>
      <c r="D243" s="145" t="s">
        <v>515</v>
      </c>
      <c r="E243" s="145"/>
      <c r="F243" s="145"/>
      <c r="G243" s="6" t="s">
        <v>516</v>
      </c>
      <c r="H243" s="6" t="s">
        <v>507</v>
      </c>
      <c r="I243" s="6" t="s">
        <v>517</v>
      </c>
      <c r="J243" s="6" t="s">
        <v>518</v>
      </c>
      <c r="K243" s="6" t="s">
        <v>208</v>
      </c>
      <c r="L243" s="6" t="s">
        <v>510</v>
      </c>
      <c r="M243" s="6" t="s">
        <v>127</v>
      </c>
    </row>
    <row r="244" spans="2:13">
      <c r="B244" s="154">
        <v>35004</v>
      </c>
      <c r="D244" s="145" t="s">
        <v>516</v>
      </c>
      <c r="E244" s="145"/>
      <c r="F244" s="145"/>
      <c r="G244" s="6" t="s">
        <v>519</v>
      </c>
      <c r="H244" s="6" t="s">
        <v>507</v>
      </c>
      <c r="I244" s="6" t="s">
        <v>520</v>
      </c>
      <c r="J244" s="6" t="s">
        <v>521</v>
      </c>
      <c r="K244" s="6" t="s">
        <v>208</v>
      </c>
      <c r="L244" s="6" t="s">
        <v>510</v>
      </c>
      <c r="M244" s="6" t="s">
        <v>127</v>
      </c>
    </row>
    <row r="245" spans="2:13">
      <c r="B245" s="154">
        <v>35005</v>
      </c>
      <c r="D245" s="145" t="s">
        <v>522</v>
      </c>
      <c r="E245" s="145"/>
      <c r="F245" s="145"/>
      <c r="G245" s="6" t="s">
        <v>523</v>
      </c>
      <c r="H245" s="6" t="s">
        <v>507</v>
      </c>
      <c r="I245" s="6" t="s">
        <v>524</v>
      </c>
      <c r="J245" s="6" t="s">
        <v>525</v>
      </c>
      <c r="K245" s="6" t="s">
        <v>208</v>
      </c>
      <c r="L245" s="6" t="s">
        <v>510</v>
      </c>
      <c r="M245" s="6" t="s">
        <v>127</v>
      </c>
    </row>
    <row r="246" spans="2:13">
      <c r="B246" s="154">
        <v>35006</v>
      </c>
      <c r="D246" s="145" t="s">
        <v>526</v>
      </c>
      <c r="E246" s="145"/>
      <c r="F246" s="145"/>
      <c r="G246" s="6" t="s">
        <v>527</v>
      </c>
      <c r="H246" s="6" t="s">
        <v>507</v>
      </c>
      <c r="I246" s="6" t="s">
        <v>528</v>
      </c>
      <c r="J246" s="6" t="s">
        <v>529</v>
      </c>
      <c r="K246" s="6" t="s">
        <v>208</v>
      </c>
      <c r="L246" s="6" t="s">
        <v>510</v>
      </c>
      <c r="M246" s="6" t="s">
        <v>127</v>
      </c>
    </row>
    <row r="247" spans="2:13">
      <c r="B247" s="154">
        <v>35007</v>
      </c>
      <c r="D247" s="145" t="s">
        <v>530</v>
      </c>
      <c r="E247" s="145"/>
      <c r="F247" s="145"/>
      <c r="G247" s="6" t="s">
        <v>531</v>
      </c>
      <c r="H247" s="6" t="s">
        <v>507</v>
      </c>
      <c r="I247" s="6" t="s">
        <v>532</v>
      </c>
      <c r="J247" s="6" t="s">
        <v>533</v>
      </c>
      <c r="K247" s="6" t="s">
        <v>208</v>
      </c>
      <c r="L247" s="6" t="s">
        <v>510</v>
      </c>
      <c r="M247" s="6" t="s">
        <v>127</v>
      </c>
    </row>
    <row r="248" spans="2:13">
      <c r="B248" s="154">
        <v>35008</v>
      </c>
      <c r="D248" s="145" t="s">
        <v>534</v>
      </c>
      <c r="E248" s="145"/>
      <c r="F248" s="145"/>
      <c r="G248" s="6" t="s">
        <v>535</v>
      </c>
      <c r="H248" s="6" t="s">
        <v>507</v>
      </c>
      <c r="I248" s="6" t="s">
        <v>536</v>
      </c>
      <c r="J248" s="6" t="s">
        <v>537</v>
      </c>
      <c r="K248" s="6" t="s">
        <v>208</v>
      </c>
      <c r="L248" s="6" t="s">
        <v>510</v>
      </c>
      <c r="M248" s="6" t="s">
        <v>127</v>
      </c>
    </row>
    <row r="249" spans="2:13">
      <c r="B249" s="154">
        <v>35009</v>
      </c>
      <c r="D249" s="145" t="s">
        <v>538</v>
      </c>
      <c r="E249" s="145"/>
      <c r="F249" s="145"/>
      <c r="G249" s="6" t="s">
        <v>539</v>
      </c>
      <c r="H249" s="6" t="s">
        <v>507</v>
      </c>
      <c r="I249" s="6" t="s">
        <v>540</v>
      </c>
      <c r="J249" s="6" t="s">
        <v>529</v>
      </c>
      <c r="K249" s="6" t="s">
        <v>208</v>
      </c>
      <c r="L249" s="6" t="s">
        <v>510</v>
      </c>
      <c r="M249" s="6" t="s">
        <v>127</v>
      </c>
    </row>
    <row r="250" spans="2:13">
      <c r="B250" s="154">
        <v>35010</v>
      </c>
      <c r="D250" s="145" t="s">
        <v>541</v>
      </c>
      <c r="E250" s="145"/>
      <c r="F250" s="145"/>
      <c r="G250" s="6" t="s">
        <v>542</v>
      </c>
      <c r="H250" s="6" t="s">
        <v>507</v>
      </c>
      <c r="I250" s="6" t="s">
        <v>543</v>
      </c>
      <c r="J250" s="6" t="s">
        <v>509</v>
      </c>
      <c r="K250" s="6" t="s">
        <v>208</v>
      </c>
      <c r="L250" s="6" t="s">
        <v>544</v>
      </c>
    </row>
    <row r="251" spans="2:13">
      <c r="B251" s="154">
        <v>35011</v>
      </c>
      <c r="D251" s="145" t="s">
        <v>545</v>
      </c>
      <c r="E251" s="145"/>
      <c r="F251" s="145"/>
      <c r="G251" s="6" t="s">
        <v>546</v>
      </c>
      <c r="H251" s="6" t="s">
        <v>507</v>
      </c>
      <c r="I251" s="6" t="s">
        <v>547</v>
      </c>
      <c r="J251" s="6" t="s">
        <v>514</v>
      </c>
      <c r="K251" s="6" t="s">
        <v>208</v>
      </c>
      <c r="L251" s="6" t="s">
        <v>544</v>
      </c>
    </row>
    <row r="252" spans="2:13">
      <c r="B252" s="154">
        <v>35012</v>
      </c>
      <c r="D252" s="145" t="s">
        <v>548</v>
      </c>
      <c r="E252" s="145"/>
      <c r="F252" s="145"/>
      <c r="G252" s="6" t="s">
        <v>549</v>
      </c>
      <c r="H252" s="6" t="s">
        <v>507</v>
      </c>
      <c r="I252" s="6" t="s">
        <v>550</v>
      </c>
      <c r="J252" s="6" t="s">
        <v>518</v>
      </c>
      <c r="K252" s="6" t="s">
        <v>208</v>
      </c>
      <c r="L252" s="6" t="s">
        <v>544</v>
      </c>
    </row>
    <row r="253" spans="2:13">
      <c r="B253" s="154">
        <v>35013</v>
      </c>
      <c r="D253" s="145" t="s">
        <v>549</v>
      </c>
      <c r="E253" s="145"/>
      <c r="F253" s="145"/>
      <c r="G253" s="6" t="s">
        <v>551</v>
      </c>
      <c r="H253" s="6" t="s">
        <v>507</v>
      </c>
      <c r="I253" s="6" t="s">
        <v>552</v>
      </c>
      <c r="J253" s="6" t="s">
        <v>521</v>
      </c>
      <c r="K253" s="6" t="s">
        <v>208</v>
      </c>
      <c r="L253" s="6" t="s">
        <v>544</v>
      </c>
    </row>
    <row r="254" spans="2:13">
      <c r="B254" s="154">
        <v>35014</v>
      </c>
      <c r="D254" s="145" t="s">
        <v>553</v>
      </c>
      <c r="E254" s="145"/>
      <c r="F254" s="145"/>
      <c r="G254" s="6" t="s">
        <v>554</v>
      </c>
      <c r="H254" s="6" t="s">
        <v>507</v>
      </c>
      <c r="I254" s="6" t="s">
        <v>555</v>
      </c>
      <c r="J254" s="6" t="s">
        <v>525</v>
      </c>
      <c r="K254" s="6" t="s">
        <v>208</v>
      </c>
      <c r="L254" s="6" t="s">
        <v>544</v>
      </c>
    </row>
    <row r="255" spans="2:13">
      <c r="B255" s="154">
        <v>35015</v>
      </c>
      <c r="D255" s="145" t="s">
        <v>556</v>
      </c>
      <c r="E255" s="145"/>
      <c r="F255" s="145"/>
      <c r="G255" s="6" t="s">
        <v>557</v>
      </c>
      <c r="H255" s="6" t="s">
        <v>507</v>
      </c>
      <c r="I255" s="6" t="s">
        <v>558</v>
      </c>
      <c r="J255" s="6" t="s">
        <v>529</v>
      </c>
      <c r="K255" s="6" t="s">
        <v>208</v>
      </c>
      <c r="L255" s="6" t="s">
        <v>544</v>
      </c>
    </row>
    <row r="256" spans="2:13">
      <c r="B256" s="154">
        <v>35016</v>
      </c>
      <c r="D256" s="145" t="s">
        <v>559</v>
      </c>
      <c r="E256" s="145"/>
      <c r="F256" s="145"/>
      <c r="G256" s="6" t="s">
        <v>560</v>
      </c>
      <c r="H256" s="6" t="s">
        <v>507</v>
      </c>
      <c r="I256" s="6" t="s">
        <v>561</v>
      </c>
      <c r="J256" s="6" t="s">
        <v>533</v>
      </c>
      <c r="K256" s="6" t="s">
        <v>208</v>
      </c>
      <c r="L256" s="6" t="s">
        <v>544</v>
      </c>
    </row>
    <row r="257" spans="2:12">
      <c r="B257" s="154">
        <v>35017</v>
      </c>
      <c r="D257" s="145" t="s">
        <v>562</v>
      </c>
      <c r="E257" s="145"/>
      <c r="F257" s="145"/>
      <c r="G257" s="6" t="s">
        <v>563</v>
      </c>
      <c r="H257" s="6" t="s">
        <v>507</v>
      </c>
      <c r="I257" s="6" t="s">
        <v>564</v>
      </c>
      <c r="J257" s="6" t="s">
        <v>537</v>
      </c>
      <c r="K257" s="6" t="s">
        <v>208</v>
      </c>
      <c r="L257" s="6" t="s">
        <v>544</v>
      </c>
    </row>
    <row r="258" spans="2:12">
      <c r="B258" s="154">
        <v>35018</v>
      </c>
      <c r="D258" s="145" t="s">
        <v>565</v>
      </c>
      <c r="E258" s="145"/>
      <c r="F258" s="145"/>
      <c r="G258" s="6" t="s">
        <v>566</v>
      </c>
      <c r="H258" s="6" t="s">
        <v>507</v>
      </c>
      <c r="I258" s="6" t="s">
        <v>567</v>
      </c>
      <c r="J258" s="6" t="s">
        <v>529</v>
      </c>
      <c r="K258" s="6" t="s">
        <v>208</v>
      </c>
      <c r="L258" s="6" t="s">
        <v>544</v>
      </c>
    </row>
    <row r="259" spans="2:12">
      <c r="B259" s="154">
        <v>35019</v>
      </c>
      <c r="D259" s="145" t="s">
        <v>568</v>
      </c>
      <c r="E259" s="145"/>
      <c r="F259" s="145"/>
      <c r="G259" s="6" t="s">
        <v>569</v>
      </c>
      <c r="H259" s="6" t="s">
        <v>507</v>
      </c>
      <c r="I259" s="6" t="s">
        <v>570</v>
      </c>
      <c r="J259" s="6" t="s">
        <v>509</v>
      </c>
      <c r="K259" s="6" t="s">
        <v>208</v>
      </c>
      <c r="L259" s="6" t="s">
        <v>544</v>
      </c>
    </row>
    <row r="260" spans="2:12">
      <c r="B260" s="154">
        <v>35020</v>
      </c>
      <c r="D260" s="145" t="s">
        <v>571</v>
      </c>
      <c r="E260" s="145"/>
      <c r="F260" s="145"/>
      <c r="G260" s="6" t="s">
        <v>572</v>
      </c>
      <c r="H260" s="6" t="s">
        <v>507</v>
      </c>
      <c r="I260" s="6" t="s">
        <v>573</v>
      </c>
      <c r="J260" s="6" t="s">
        <v>514</v>
      </c>
      <c r="K260" s="6" t="s">
        <v>208</v>
      </c>
      <c r="L260" s="6" t="s">
        <v>544</v>
      </c>
    </row>
    <row r="261" spans="2:12">
      <c r="B261" s="154">
        <v>35021</v>
      </c>
      <c r="D261" s="145" t="s">
        <v>574</v>
      </c>
      <c r="E261" s="145"/>
      <c r="F261" s="145"/>
      <c r="G261" s="6" t="s">
        <v>575</v>
      </c>
      <c r="H261" s="6" t="s">
        <v>507</v>
      </c>
      <c r="I261" s="6" t="s">
        <v>576</v>
      </c>
      <c r="J261" s="6" t="s">
        <v>518</v>
      </c>
      <c r="K261" s="6" t="s">
        <v>208</v>
      </c>
      <c r="L261" s="6" t="s">
        <v>544</v>
      </c>
    </row>
    <row r="262" spans="2:12">
      <c r="B262" s="154">
        <v>35022</v>
      </c>
      <c r="D262" s="145" t="s">
        <v>575</v>
      </c>
      <c r="E262" s="145"/>
      <c r="F262" s="145"/>
      <c r="G262" s="6" t="s">
        <v>577</v>
      </c>
      <c r="H262" s="6" t="s">
        <v>507</v>
      </c>
      <c r="I262" s="6" t="s">
        <v>578</v>
      </c>
      <c r="J262" s="6" t="s">
        <v>521</v>
      </c>
      <c r="K262" s="6" t="s">
        <v>208</v>
      </c>
      <c r="L262" s="6" t="s">
        <v>544</v>
      </c>
    </row>
    <row r="263" spans="2:12">
      <c r="B263" s="154">
        <v>35023</v>
      </c>
      <c r="D263" s="145" t="s">
        <v>579</v>
      </c>
      <c r="E263" s="145"/>
      <c r="F263" s="145"/>
      <c r="G263" s="6" t="s">
        <v>580</v>
      </c>
      <c r="H263" s="6" t="s">
        <v>507</v>
      </c>
      <c r="I263" s="6" t="s">
        <v>581</v>
      </c>
      <c r="J263" s="6" t="s">
        <v>525</v>
      </c>
      <c r="K263" s="6" t="s">
        <v>208</v>
      </c>
      <c r="L263" s="6" t="s">
        <v>544</v>
      </c>
    </row>
    <row r="264" spans="2:12">
      <c r="B264" s="154">
        <v>35024</v>
      </c>
      <c r="D264" s="145" t="s">
        <v>582</v>
      </c>
      <c r="E264" s="145"/>
      <c r="F264" s="145"/>
      <c r="G264" s="6" t="s">
        <v>583</v>
      </c>
      <c r="H264" s="6" t="s">
        <v>507</v>
      </c>
      <c r="I264" s="6" t="s">
        <v>584</v>
      </c>
      <c r="J264" s="6" t="s">
        <v>529</v>
      </c>
      <c r="K264" s="6" t="s">
        <v>208</v>
      </c>
      <c r="L264" s="6" t="s">
        <v>544</v>
      </c>
    </row>
    <row r="265" spans="2:12">
      <c r="B265" s="154">
        <v>35025</v>
      </c>
      <c r="D265" s="145" t="s">
        <v>585</v>
      </c>
      <c r="E265" s="145"/>
      <c r="F265" s="145"/>
      <c r="G265" s="6" t="s">
        <v>586</v>
      </c>
      <c r="H265" s="6" t="s">
        <v>507</v>
      </c>
      <c r="I265" s="6" t="s">
        <v>587</v>
      </c>
      <c r="J265" s="6" t="s">
        <v>533</v>
      </c>
      <c r="K265" s="6" t="s">
        <v>208</v>
      </c>
      <c r="L265" s="6" t="s">
        <v>544</v>
      </c>
    </row>
    <row r="266" spans="2:12">
      <c r="B266" s="154">
        <v>35026</v>
      </c>
      <c r="D266" s="145" t="s">
        <v>588</v>
      </c>
      <c r="E266" s="145"/>
      <c r="F266" s="145"/>
      <c r="G266" s="6" t="s">
        <v>589</v>
      </c>
      <c r="H266" s="6" t="s">
        <v>507</v>
      </c>
      <c r="I266" s="6" t="s">
        <v>590</v>
      </c>
      <c r="J266" s="6" t="s">
        <v>537</v>
      </c>
      <c r="K266" s="6" t="s">
        <v>208</v>
      </c>
      <c r="L266" s="6" t="s">
        <v>544</v>
      </c>
    </row>
    <row r="267" spans="2:12">
      <c r="B267" s="154">
        <v>35027</v>
      </c>
      <c r="D267" s="145" t="s">
        <v>591</v>
      </c>
      <c r="E267" s="145"/>
      <c r="F267" s="145"/>
      <c r="G267" s="6" t="s">
        <v>592</v>
      </c>
      <c r="H267" s="6" t="s">
        <v>507</v>
      </c>
      <c r="I267" s="6" t="s">
        <v>593</v>
      </c>
      <c r="J267" s="6" t="s">
        <v>529</v>
      </c>
      <c r="K267" s="6" t="s">
        <v>208</v>
      </c>
      <c r="L267" s="6" t="s">
        <v>544</v>
      </c>
    </row>
    <row r="268" spans="2:12">
      <c r="B268" s="154">
        <v>35028</v>
      </c>
      <c r="D268" s="145" t="s">
        <v>594</v>
      </c>
      <c r="E268" s="145"/>
      <c r="F268" s="145"/>
      <c r="G268" s="6" t="s">
        <v>595</v>
      </c>
      <c r="H268" s="6" t="s">
        <v>507</v>
      </c>
      <c r="I268" s="6" t="s">
        <v>596</v>
      </c>
      <c r="J268" s="6" t="s">
        <v>597</v>
      </c>
      <c r="K268" s="6" t="s">
        <v>544</v>
      </c>
    </row>
    <row r="269" spans="2:12">
      <c r="B269" s="154">
        <v>35029</v>
      </c>
      <c r="D269" s="145" t="s">
        <v>598</v>
      </c>
      <c r="E269" s="145"/>
      <c r="F269" s="145"/>
      <c r="G269" s="6" t="s">
        <v>599</v>
      </c>
      <c r="H269" s="6" t="s">
        <v>507</v>
      </c>
      <c r="I269" s="6" t="s">
        <v>600</v>
      </c>
      <c r="J269" s="6" t="s">
        <v>601</v>
      </c>
      <c r="K269" s="6" t="s">
        <v>544</v>
      </c>
    </row>
    <row r="270" spans="2:12">
      <c r="B270" s="154">
        <v>35030</v>
      </c>
      <c r="D270" s="145" t="s">
        <v>602</v>
      </c>
      <c r="E270" s="145"/>
      <c r="F270" s="145"/>
      <c r="G270" s="6" t="s">
        <v>603</v>
      </c>
      <c r="H270" s="6" t="s">
        <v>507</v>
      </c>
      <c r="I270" s="6" t="s">
        <v>604</v>
      </c>
      <c r="J270" s="6" t="s">
        <v>605</v>
      </c>
      <c r="K270" s="6" t="s">
        <v>544</v>
      </c>
    </row>
    <row r="271" spans="2:12">
      <c r="B271" s="154">
        <v>35031</v>
      </c>
      <c r="D271" s="145" t="s">
        <v>603</v>
      </c>
      <c r="E271" s="145"/>
      <c r="F271" s="145"/>
      <c r="G271" s="6" t="s">
        <v>606</v>
      </c>
      <c r="H271" s="6" t="s">
        <v>507</v>
      </c>
      <c r="I271" s="6" t="s">
        <v>607</v>
      </c>
      <c r="J271" s="6" t="s">
        <v>608</v>
      </c>
      <c r="K271" s="6" t="s">
        <v>544</v>
      </c>
    </row>
    <row r="272" spans="2:12">
      <c r="B272" s="154">
        <v>35032</v>
      </c>
      <c r="D272" s="145" t="s">
        <v>609</v>
      </c>
      <c r="E272" s="145"/>
      <c r="F272" s="145"/>
      <c r="G272" s="6" t="s">
        <v>610</v>
      </c>
      <c r="H272" s="6" t="s">
        <v>507</v>
      </c>
      <c r="I272" s="6" t="s">
        <v>611</v>
      </c>
      <c r="J272" s="6" t="s">
        <v>612</v>
      </c>
      <c r="K272" s="6" t="s">
        <v>544</v>
      </c>
    </row>
    <row r="273" spans="2:11">
      <c r="B273" s="154">
        <v>35033</v>
      </c>
      <c r="D273" s="145" t="s">
        <v>613</v>
      </c>
      <c r="E273" s="145"/>
      <c r="F273" s="145"/>
      <c r="G273" s="6" t="s">
        <v>614</v>
      </c>
      <c r="H273" s="6" t="s">
        <v>507</v>
      </c>
      <c r="I273" s="6" t="s">
        <v>615</v>
      </c>
      <c r="J273" s="6" t="s">
        <v>616</v>
      </c>
      <c r="K273" s="6" t="s">
        <v>544</v>
      </c>
    </row>
    <row r="274" spans="2:11">
      <c r="B274" s="154">
        <v>35034</v>
      </c>
      <c r="D274" s="145" t="s">
        <v>617</v>
      </c>
      <c r="E274" s="145"/>
      <c r="F274" s="145"/>
      <c r="G274" s="6" t="s">
        <v>618</v>
      </c>
      <c r="H274" s="6" t="s">
        <v>507</v>
      </c>
      <c r="I274" s="6" t="s">
        <v>619</v>
      </c>
      <c r="J274" s="6" t="s">
        <v>620</v>
      </c>
      <c r="K274" s="6" t="s">
        <v>544</v>
      </c>
    </row>
    <row r="275" spans="2:11">
      <c r="B275" s="154">
        <v>35035</v>
      </c>
      <c r="D275" s="145" t="s">
        <v>621</v>
      </c>
      <c r="E275" s="145"/>
      <c r="F275" s="145"/>
      <c r="G275" s="6" t="s">
        <v>622</v>
      </c>
      <c r="H275" s="6" t="s">
        <v>507</v>
      </c>
      <c r="I275" s="6" t="s">
        <v>623</v>
      </c>
      <c r="J275" s="6" t="s">
        <v>624</v>
      </c>
      <c r="K275" s="6" t="s">
        <v>544</v>
      </c>
    </row>
    <row r="276" spans="2:11">
      <c r="B276" s="154">
        <v>35036</v>
      </c>
      <c r="D276" s="145" t="s">
        <v>625</v>
      </c>
      <c r="E276" s="145"/>
      <c r="F276" s="145"/>
      <c r="G276" s="6" t="s">
        <v>626</v>
      </c>
      <c r="H276" s="6" t="s">
        <v>507</v>
      </c>
      <c r="I276" s="6" t="s">
        <v>627</v>
      </c>
      <c r="J276" s="6" t="s">
        <v>616</v>
      </c>
      <c r="K276" s="6" t="s">
        <v>544</v>
      </c>
    </row>
    <row r="277" spans="2:11">
      <c r="B277" s="154">
        <v>35037</v>
      </c>
      <c r="D277" s="145" t="s">
        <v>628</v>
      </c>
      <c r="E277" s="145"/>
      <c r="F277" s="145"/>
      <c r="G277" s="6" t="s">
        <v>629</v>
      </c>
      <c r="H277" s="6" t="s">
        <v>507</v>
      </c>
      <c r="I277" s="6" t="s">
        <v>630</v>
      </c>
      <c r="J277" s="6" t="s">
        <v>631</v>
      </c>
      <c r="K277" s="6" t="s">
        <v>544</v>
      </c>
    </row>
    <row r="278" spans="2:11">
      <c r="B278" s="154">
        <v>35038</v>
      </c>
      <c r="D278" s="145" t="s">
        <v>632</v>
      </c>
      <c r="E278" s="145"/>
      <c r="F278" s="145"/>
      <c r="G278" s="6" t="s">
        <v>633</v>
      </c>
      <c r="H278" s="6" t="s">
        <v>507</v>
      </c>
      <c r="I278" s="6" t="s">
        <v>634</v>
      </c>
      <c r="J278" s="6" t="s">
        <v>635</v>
      </c>
      <c r="K278" s="6" t="s">
        <v>544</v>
      </c>
    </row>
    <row r="279" spans="2:11">
      <c r="B279" s="154">
        <v>35039</v>
      </c>
      <c r="D279" s="145" t="s">
        <v>636</v>
      </c>
      <c r="E279" s="145"/>
      <c r="F279" s="145"/>
      <c r="G279" s="6" t="s">
        <v>637</v>
      </c>
      <c r="H279" s="6" t="s">
        <v>507</v>
      </c>
      <c r="I279" s="6" t="s">
        <v>638</v>
      </c>
      <c r="J279" s="6" t="s">
        <v>639</v>
      </c>
      <c r="K279" s="6" t="s">
        <v>544</v>
      </c>
    </row>
    <row r="280" spans="2:11">
      <c r="B280" s="154">
        <v>35040</v>
      </c>
      <c r="D280" s="145" t="s">
        <v>637</v>
      </c>
      <c r="E280" s="145"/>
      <c r="F280" s="145"/>
      <c r="G280" s="6" t="s">
        <v>640</v>
      </c>
      <c r="H280" s="6" t="s">
        <v>507</v>
      </c>
      <c r="I280" s="6" t="s">
        <v>641</v>
      </c>
      <c r="J280" s="6" t="s">
        <v>642</v>
      </c>
      <c r="K280" s="6" t="s">
        <v>544</v>
      </c>
    </row>
    <row r="281" spans="2:11">
      <c r="B281" s="154">
        <v>35041</v>
      </c>
      <c r="D281" s="145" t="s">
        <v>643</v>
      </c>
      <c r="E281" s="145"/>
      <c r="F281" s="145"/>
      <c r="G281" s="6" t="s">
        <v>644</v>
      </c>
      <c r="H281" s="6" t="s">
        <v>507</v>
      </c>
      <c r="I281" s="6" t="s">
        <v>645</v>
      </c>
      <c r="J281" s="6" t="s">
        <v>646</v>
      </c>
      <c r="K281" s="6" t="s">
        <v>544</v>
      </c>
    </row>
    <row r="282" spans="2:11">
      <c r="B282" s="154">
        <v>35042</v>
      </c>
      <c r="D282" s="145" t="s">
        <v>647</v>
      </c>
      <c r="E282" s="145"/>
      <c r="F282" s="145"/>
      <c r="G282" s="6" t="s">
        <v>648</v>
      </c>
      <c r="H282" s="6" t="s">
        <v>507</v>
      </c>
      <c r="I282" s="6" t="s">
        <v>649</v>
      </c>
      <c r="J282" s="6" t="s">
        <v>650</v>
      </c>
      <c r="K282" s="6" t="s">
        <v>544</v>
      </c>
    </row>
    <row r="283" spans="2:11">
      <c r="B283" s="154">
        <v>35043</v>
      </c>
      <c r="D283" s="145" t="s">
        <v>651</v>
      </c>
      <c r="E283" s="145"/>
      <c r="F283" s="145"/>
      <c r="G283" s="6" t="s">
        <v>652</v>
      </c>
      <c r="H283" s="6" t="s">
        <v>507</v>
      </c>
      <c r="I283" s="6" t="s">
        <v>653</v>
      </c>
      <c r="J283" s="6" t="s">
        <v>654</v>
      </c>
      <c r="K283" s="6" t="s">
        <v>544</v>
      </c>
    </row>
    <row r="284" spans="2:11">
      <c r="B284" s="154">
        <v>35044</v>
      </c>
      <c r="D284" s="145" t="s">
        <v>655</v>
      </c>
      <c r="E284" s="145"/>
      <c r="F284" s="145"/>
      <c r="G284" s="6" t="s">
        <v>656</v>
      </c>
      <c r="H284" s="6" t="s">
        <v>507</v>
      </c>
      <c r="I284" s="6" t="s">
        <v>657</v>
      </c>
      <c r="J284" s="6" t="s">
        <v>658</v>
      </c>
      <c r="K284" s="6" t="s">
        <v>544</v>
      </c>
    </row>
    <row r="285" spans="2:11">
      <c r="B285" s="154">
        <v>35045</v>
      </c>
      <c r="D285" s="145" t="s">
        <v>659</v>
      </c>
      <c r="E285" s="145"/>
      <c r="F285" s="145"/>
      <c r="G285" s="6" t="s">
        <v>660</v>
      </c>
      <c r="H285" s="6" t="s">
        <v>507</v>
      </c>
      <c r="I285" s="6" t="s">
        <v>661</v>
      </c>
      <c r="J285" s="6" t="s">
        <v>650</v>
      </c>
      <c r="K285" s="6" t="s">
        <v>544</v>
      </c>
    </row>
    <row r="286" spans="2:11">
      <c r="B286" s="154">
        <v>35046</v>
      </c>
      <c r="D286" s="145" t="s">
        <v>662</v>
      </c>
      <c r="E286" s="145"/>
      <c r="F286" s="145"/>
      <c r="G286" s="6" t="s">
        <v>663</v>
      </c>
      <c r="H286" s="6" t="s">
        <v>507</v>
      </c>
      <c r="I286" s="6" t="s">
        <v>664</v>
      </c>
      <c r="J286" s="6" t="s">
        <v>665</v>
      </c>
      <c r="K286" s="6" t="s">
        <v>544</v>
      </c>
    </row>
    <row r="287" spans="2:11">
      <c r="B287" s="154">
        <v>35047</v>
      </c>
      <c r="D287" s="145" t="s">
        <v>666</v>
      </c>
      <c r="E287" s="145"/>
      <c r="F287" s="145"/>
      <c r="G287" s="6" t="s">
        <v>667</v>
      </c>
      <c r="H287" s="6" t="s">
        <v>507</v>
      </c>
      <c r="I287" s="6" t="s">
        <v>668</v>
      </c>
      <c r="J287" s="6" t="s">
        <v>669</v>
      </c>
      <c r="K287" s="6" t="s">
        <v>544</v>
      </c>
    </row>
    <row r="288" spans="2:11">
      <c r="B288" s="154">
        <v>35048</v>
      </c>
      <c r="D288" s="145" t="s">
        <v>670</v>
      </c>
      <c r="E288" s="145"/>
      <c r="F288" s="145"/>
      <c r="G288" s="6" t="s">
        <v>671</v>
      </c>
      <c r="H288" s="6" t="s">
        <v>507</v>
      </c>
      <c r="I288" s="6" t="s">
        <v>672</v>
      </c>
      <c r="J288" s="6" t="s">
        <v>673</v>
      </c>
      <c r="K288" s="6" t="s">
        <v>544</v>
      </c>
    </row>
    <row r="289" spans="2:11">
      <c r="B289" s="154">
        <v>35049</v>
      </c>
      <c r="D289" s="145" t="s">
        <v>671</v>
      </c>
      <c r="E289" s="145"/>
      <c r="F289" s="145"/>
      <c r="G289" s="6" t="s">
        <v>674</v>
      </c>
      <c r="H289" s="6" t="s">
        <v>507</v>
      </c>
      <c r="I289" s="6" t="s">
        <v>675</v>
      </c>
      <c r="J289" s="6" t="s">
        <v>676</v>
      </c>
      <c r="K289" s="6" t="s">
        <v>544</v>
      </c>
    </row>
    <row r="290" spans="2:11">
      <c r="B290" s="154">
        <v>35050</v>
      </c>
      <c r="D290" s="145" t="s">
        <v>677</v>
      </c>
      <c r="E290" s="145"/>
      <c r="F290" s="145"/>
      <c r="G290" s="6" t="s">
        <v>678</v>
      </c>
      <c r="H290" s="6" t="s">
        <v>507</v>
      </c>
      <c r="I290" s="6" t="s">
        <v>679</v>
      </c>
      <c r="J290" s="6" t="s">
        <v>680</v>
      </c>
      <c r="K290" s="6" t="s">
        <v>544</v>
      </c>
    </row>
    <row r="291" spans="2:11">
      <c r="B291" s="154">
        <v>35051</v>
      </c>
      <c r="D291" s="145" t="s">
        <v>681</v>
      </c>
      <c r="E291" s="145"/>
      <c r="F291" s="145"/>
      <c r="G291" s="6" t="s">
        <v>682</v>
      </c>
      <c r="H291" s="6" t="s">
        <v>507</v>
      </c>
      <c r="I291" s="6" t="s">
        <v>683</v>
      </c>
      <c r="J291" s="6" t="s">
        <v>684</v>
      </c>
      <c r="K291" s="6" t="s">
        <v>544</v>
      </c>
    </row>
    <row r="292" spans="2:11">
      <c r="B292" s="154">
        <v>35052</v>
      </c>
      <c r="D292" s="145" t="s">
        <v>685</v>
      </c>
      <c r="E292" s="145"/>
      <c r="F292" s="145"/>
      <c r="G292" s="6" t="s">
        <v>686</v>
      </c>
      <c r="H292" s="6" t="s">
        <v>507</v>
      </c>
      <c r="I292" s="6" t="s">
        <v>687</v>
      </c>
      <c r="J292" s="6" t="s">
        <v>688</v>
      </c>
      <c r="K292" s="6" t="s">
        <v>544</v>
      </c>
    </row>
    <row r="293" spans="2:11">
      <c r="B293" s="154">
        <v>35053</v>
      </c>
      <c r="D293" s="145" t="s">
        <v>689</v>
      </c>
      <c r="E293" s="145"/>
      <c r="F293" s="145"/>
      <c r="G293" s="6" t="s">
        <v>690</v>
      </c>
      <c r="H293" s="6" t="s">
        <v>507</v>
      </c>
      <c r="I293" s="6" t="s">
        <v>691</v>
      </c>
      <c r="J293" s="6" t="s">
        <v>692</v>
      </c>
      <c r="K293" s="6" t="s">
        <v>544</v>
      </c>
    </row>
    <row r="294" spans="2:11">
      <c r="B294" s="154">
        <v>35054</v>
      </c>
      <c r="D294" s="145" t="s">
        <v>693</v>
      </c>
      <c r="E294" s="145"/>
      <c r="F294" s="145"/>
      <c r="G294" s="6" t="s">
        <v>694</v>
      </c>
      <c r="H294" s="6" t="s">
        <v>507</v>
      </c>
      <c r="I294" s="6" t="s">
        <v>695</v>
      </c>
      <c r="J294" s="6" t="s">
        <v>684</v>
      </c>
      <c r="K294" s="6" t="s">
        <v>544</v>
      </c>
    </row>
    <row r="295" spans="2:11">
      <c r="B295" s="154">
        <v>35055</v>
      </c>
      <c r="D295" s="145" t="s">
        <v>696</v>
      </c>
      <c r="E295" s="145"/>
      <c r="F295" s="145"/>
      <c r="G295" s="6" t="s">
        <v>697</v>
      </c>
      <c r="H295" s="6" t="s">
        <v>507</v>
      </c>
      <c r="I295" s="6" t="s">
        <v>698</v>
      </c>
      <c r="J295" s="6" t="s">
        <v>665</v>
      </c>
      <c r="K295" s="6" t="s">
        <v>544</v>
      </c>
    </row>
    <row r="296" spans="2:11">
      <c r="B296" s="154">
        <v>35056</v>
      </c>
      <c r="D296" s="145" t="s">
        <v>699</v>
      </c>
      <c r="E296" s="145"/>
      <c r="F296" s="145"/>
      <c r="G296" s="6" t="s">
        <v>700</v>
      </c>
      <c r="H296" s="6" t="s">
        <v>507</v>
      </c>
      <c r="I296" s="6" t="s">
        <v>701</v>
      </c>
      <c r="J296" s="6" t="s">
        <v>669</v>
      </c>
      <c r="K296" s="6" t="s">
        <v>544</v>
      </c>
    </row>
    <row r="297" spans="2:11">
      <c r="B297" s="154">
        <v>35057</v>
      </c>
      <c r="D297" s="145" t="s">
        <v>702</v>
      </c>
      <c r="E297" s="145"/>
      <c r="F297" s="145"/>
      <c r="G297" s="6" t="s">
        <v>703</v>
      </c>
      <c r="H297" s="6" t="s">
        <v>507</v>
      </c>
      <c r="I297" s="6" t="s">
        <v>704</v>
      </c>
      <c r="J297" s="6" t="s">
        <v>673</v>
      </c>
      <c r="K297" s="6" t="s">
        <v>544</v>
      </c>
    </row>
    <row r="298" spans="2:11">
      <c r="B298" s="154">
        <v>35058</v>
      </c>
      <c r="D298" s="145" t="s">
        <v>703</v>
      </c>
      <c r="E298" s="145"/>
      <c r="F298" s="145"/>
      <c r="G298" s="6" t="s">
        <v>705</v>
      </c>
      <c r="H298" s="6" t="s">
        <v>507</v>
      </c>
      <c r="I298" s="6" t="s">
        <v>706</v>
      </c>
      <c r="J298" s="6" t="s">
        <v>676</v>
      </c>
      <c r="K298" s="6" t="s">
        <v>544</v>
      </c>
    </row>
    <row r="299" spans="2:11">
      <c r="B299" s="154">
        <v>35059</v>
      </c>
      <c r="D299" s="145" t="s">
        <v>707</v>
      </c>
      <c r="E299" s="145"/>
      <c r="F299" s="145"/>
      <c r="G299" s="6" t="s">
        <v>708</v>
      </c>
      <c r="H299" s="6" t="s">
        <v>507</v>
      </c>
      <c r="I299" s="6" t="s">
        <v>709</v>
      </c>
      <c r="J299" s="6" t="s">
        <v>680</v>
      </c>
      <c r="K299" s="6" t="s">
        <v>544</v>
      </c>
    </row>
    <row r="300" spans="2:11">
      <c r="B300" s="154">
        <v>35060</v>
      </c>
      <c r="D300" s="145" t="s">
        <v>710</v>
      </c>
      <c r="E300" s="145"/>
      <c r="F300" s="145"/>
      <c r="G300" s="6" t="s">
        <v>711</v>
      </c>
      <c r="H300" s="6" t="s">
        <v>507</v>
      </c>
      <c r="I300" s="6" t="s">
        <v>712</v>
      </c>
      <c r="J300" s="6" t="s">
        <v>684</v>
      </c>
      <c r="K300" s="6" t="s">
        <v>544</v>
      </c>
    </row>
    <row r="301" spans="2:11">
      <c r="B301" s="154">
        <v>35061</v>
      </c>
      <c r="D301" s="145" t="s">
        <v>713</v>
      </c>
      <c r="E301" s="145"/>
      <c r="F301" s="145"/>
      <c r="G301" s="6" t="s">
        <v>714</v>
      </c>
      <c r="H301" s="6" t="s">
        <v>507</v>
      </c>
      <c r="I301" s="6" t="s">
        <v>715</v>
      </c>
      <c r="J301" s="6" t="s">
        <v>688</v>
      </c>
      <c r="K301" s="6" t="s">
        <v>544</v>
      </c>
    </row>
    <row r="302" spans="2:11">
      <c r="B302" s="154">
        <v>35062</v>
      </c>
      <c r="D302" s="145" t="s">
        <v>716</v>
      </c>
      <c r="E302" s="145"/>
      <c r="F302" s="145"/>
      <c r="G302" s="6" t="s">
        <v>717</v>
      </c>
      <c r="H302" s="6" t="s">
        <v>507</v>
      </c>
      <c r="I302" s="6" t="s">
        <v>718</v>
      </c>
      <c r="J302" s="6" t="s">
        <v>692</v>
      </c>
      <c r="K302" s="6" t="s">
        <v>544</v>
      </c>
    </row>
    <row r="303" spans="2:11">
      <c r="B303" s="154">
        <v>35063</v>
      </c>
      <c r="D303" s="145" t="s">
        <v>719</v>
      </c>
      <c r="E303" s="145"/>
      <c r="F303" s="145"/>
      <c r="G303" s="6" t="s">
        <v>720</v>
      </c>
      <c r="H303" s="6" t="s">
        <v>507</v>
      </c>
      <c r="I303" s="6" t="s">
        <v>721</v>
      </c>
      <c r="J303" s="6" t="s">
        <v>684</v>
      </c>
      <c r="K303" s="6" t="s">
        <v>544</v>
      </c>
    </row>
    <row r="304" spans="2:11">
      <c r="B304" s="154">
        <v>35064</v>
      </c>
      <c r="D304" s="145" t="s">
        <v>722</v>
      </c>
      <c r="E304" s="145"/>
      <c r="F304" s="145"/>
      <c r="G304" s="6" t="s">
        <v>723</v>
      </c>
      <c r="H304" s="6" t="s">
        <v>507</v>
      </c>
      <c r="I304" s="6" t="s">
        <v>724</v>
      </c>
      <c r="J304" s="6" t="s">
        <v>725</v>
      </c>
      <c r="K304" s="6" t="s">
        <v>544</v>
      </c>
    </row>
    <row r="305" spans="2:11">
      <c r="B305" s="154">
        <v>35065</v>
      </c>
      <c r="D305" s="145" t="s">
        <v>726</v>
      </c>
      <c r="E305" s="145"/>
      <c r="F305" s="145"/>
      <c r="G305" s="6" t="s">
        <v>727</v>
      </c>
      <c r="H305" s="6" t="s">
        <v>507</v>
      </c>
      <c r="I305" s="6" t="s">
        <v>728</v>
      </c>
      <c r="J305" s="6" t="s">
        <v>729</v>
      </c>
      <c r="K305" s="6" t="s">
        <v>544</v>
      </c>
    </row>
    <row r="306" spans="2:11">
      <c r="B306" s="154">
        <v>35066</v>
      </c>
      <c r="D306" s="145" t="s">
        <v>730</v>
      </c>
      <c r="E306" s="145"/>
      <c r="F306" s="145"/>
      <c r="G306" s="6" t="s">
        <v>731</v>
      </c>
      <c r="H306" s="6" t="s">
        <v>507</v>
      </c>
      <c r="I306" s="6" t="s">
        <v>732</v>
      </c>
      <c r="J306" s="6" t="s">
        <v>733</v>
      </c>
      <c r="K306" s="6" t="s">
        <v>544</v>
      </c>
    </row>
    <row r="307" spans="2:11">
      <c r="B307" s="154">
        <v>35067</v>
      </c>
      <c r="D307" s="145" t="s">
        <v>731</v>
      </c>
      <c r="E307" s="145"/>
      <c r="F307" s="145"/>
      <c r="G307" s="6" t="s">
        <v>734</v>
      </c>
      <c r="H307" s="6" t="s">
        <v>507</v>
      </c>
      <c r="I307" s="6" t="s">
        <v>735</v>
      </c>
      <c r="J307" s="6" t="s">
        <v>736</v>
      </c>
      <c r="K307" s="6" t="s">
        <v>544</v>
      </c>
    </row>
    <row r="308" spans="2:11">
      <c r="B308" s="154">
        <v>35068</v>
      </c>
      <c r="D308" s="145" t="s">
        <v>737</v>
      </c>
      <c r="E308" s="145"/>
      <c r="F308" s="145"/>
      <c r="G308" s="6" t="s">
        <v>738</v>
      </c>
      <c r="H308" s="6" t="s">
        <v>507</v>
      </c>
      <c r="I308" s="6" t="s">
        <v>739</v>
      </c>
      <c r="J308" s="6" t="s">
        <v>740</v>
      </c>
      <c r="K308" s="6" t="s">
        <v>544</v>
      </c>
    </row>
    <row r="309" spans="2:11">
      <c r="B309" s="154">
        <v>35069</v>
      </c>
      <c r="D309" s="145" t="s">
        <v>741</v>
      </c>
      <c r="E309" s="145"/>
      <c r="F309" s="145"/>
      <c r="G309" s="6" t="s">
        <v>742</v>
      </c>
      <c r="H309" s="6" t="s">
        <v>507</v>
      </c>
      <c r="I309" s="6" t="s">
        <v>743</v>
      </c>
      <c r="J309" s="6" t="s">
        <v>744</v>
      </c>
      <c r="K309" s="6" t="s">
        <v>544</v>
      </c>
    </row>
    <row r="310" spans="2:11">
      <c r="B310" s="154">
        <v>35070</v>
      </c>
      <c r="D310" s="145" t="s">
        <v>745</v>
      </c>
      <c r="E310" s="145"/>
      <c r="F310" s="145"/>
      <c r="G310" s="6" t="s">
        <v>746</v>
      </c>
      <c r="H310" s="6" t="s">
        <v>507</v>
      </c>
      <c r="I310" s="6" t="s">
        <v>747</v>
      </c>
      <c r="J310" s="6" t="s">
        <v>748</v>
      </c>
      <c r="K310" s="6" t="s">
        <v>544</v>
      </c>
    </row>
    <row r="311" spans="2:11">
      <c r="B311" s="154">
        <v>35071</v>
      </c>
      <c r="D311" s="145" t="s">
        <v>749</v>
      </c>
      <c r="E311" s="145"/>
      <c r="F311" s="145"/>
      <c r="G311" s="6" t="s">
        <v>750</v>
      </c>
      <c r="H311" s="6" t="s">
        <v>507</v>
      </c>
      <c r="I311" s="6" t="s">
        <v>751</v>
      </c>
      <c r="J311" s="6" t="s">
        <v>752</v>
      </c>
      <c r="K311" s="6" t="s">
        <v>544</v>
      </c>
    </row>
    <row r="312" spans="2:11">
      <c r="B312" s="154">
        <v>35072</v>
      </c>
      <c r="D312" s="145" t="s">
        <v>753</v>
      </c>
      <c r="E312" s="145"/>
      <c r="F312" s="145"/>
      <c r="G312" s="6" t="s">
        <v>754</v>
      </c>
      <c r="H312" s="6" t="s">
        <v>507</v>
      </c>
      <c r="I312" s="6" t="s">
        <v>755</v>
      </c>
      <c r="J312" s="6" t="s">
        <v>744</v>
      </c>
      <c r="K312" s="6" t="s">
        <v>544</v>
      </c>
    </row>
    <row r="313" spans="2:11">
      <c r="B313" s="154">
        <v>35073</v>
      </c>
      <c r="D313" s="145" t="s">
        <v>756</v>
      </c>
      <c r="E313" s="145"/>
      <c r="F313" s="145"/>
      <c r="G313" s="6" t="s">
        <v>757</v>
      </c>
      <c r="H313" s="6" t="s">
        <v>507</v>
      </c>
      <c r="I313" s="6" t="s">
        <v>758</v>
      </c>
      <c r="J313" s="6" t="s">
        <v>725</v>
      </c>
      <c r="K313" s="6" t="s">
        <v>544</v>
      </c>
    </row>
    <row r="314" spans="2:11">
      <c r="B314" s="154">
        <v>35074</v>
      </c>
      <c r="D314" s="145" t="s">
        <v>759</v>
      </c>
      <c r="E314" s="145"/>
      <c r="F314" s="145"/>
      <c r="G314" s="6" t="s">
        <v>760</v>
      </c>
      <c r="H314" s="6" t="s">
        <v>507</v>
      </c>
      <c r="I314" s="6" t="s">
        <v>761</v>
      </c>
      <c r="J314" s="6" t="s">
        <v>729</v>
      </c>
      <c r="K314" s="6" t="s">
        <v>544</v>
      </c>
    </row>
    <row r="315" spans="2:11">
      <c r="B315" s="154">
        <v>35075</v>
      </c>
      <c r="D315" s="145" t="s">
        <v>762</v>
      </c>
      <c r="E315" s="145"/>
      <c r="F315" s="145"/>
      <c r="G315" s="6" t="s">
        <v>763</v>
      </c>
      <c r="H315" s="6" t="s">
        <v>507</v>
      </c>
      <c r="I315" s="6" t="s">
        <v>764</v>
      </c>
      <c r="J315" s="6" t="s">
        <v>733</v>
      </c>
      <c r="K315" s="6" t="s">
        <v>544</v>
      </c>
    </row>
    <row r="316" spans="2:11">
      <c r="B316" s="154">
        <v>35076</v>
      </c>
      <c r="D316" s="145" t="s">
        <v>763</v>
      </c>
      <c r="E316" s="145"/>
      <c r="F316" s="145"/>
      <c r="G316" s="6" t="s">
        <v>765</v>
      </c>
      <c r="H316" s="6" t="s">
        <v>507</v>
      </c>
      <c r="I316" s="6" t="s">
        <v>766</v>
      </c>
      <c r="J316" s="6" t="s">
        <v>736</v>
      </c>
      <c r="K316" s="6" t="s">
        <v>544</v>
      </c>
    </row>
    <row r="317" spans="2:11">
      <c r="B317" s="154">
        <v>35077</v>
      </c>
      <c r="D317" s="145" t="s">
        <v>767</v>
      </c>
      <c r="E317" s="145"/>
      <c r="F317" s="145"/>
      <c r="G317" s="6" t="s">
        <v>768</v>
      </c>
      <c r="H317" s="6" t="s">
        <v>507</v>
      </c>
      <c r="I317" s="6" t="s">
        <v>769</v>
      </c>
      <c r="J317" s="6" t="s">
        <v>740</v>
      </c>
      <c r="K317" s="6" t="s">
        <v>544</v>
      </c>
    </row>
    <row r="318" spans="2:11">
      <c r="B318" s="154">
        <v>35078</v>
      </c>
      <c r="D318" s="145" t="s">
        <v>770</v>
      </c>
      <c r="E318" s="145"/>
      <c r="F318" s="145"/>
      <c r="G318" s="6" t="s">
        <v>771</v>
      </c>
      <c r="H318" s="6" t="s">
        <v>507</v>
      </c>
      <c r="I318" s="6" t="s">
        <v>772</v>
      </c>
      <c r="J318" s="6" t="s">
        <v>744</v>
      </c>
      <c r="K318" s="6" t="s">
        <v>544</v>
      </c>
    </row>
    <row r="319" spans="2:11">
      <c r="B319" s="154">
        <v>35079</v>
      </c>
      <c r="D319" s="145" t="s">
        <v>773</v>
      </c>
      <c r="E319" s="145"/>
      <c r="F319" s="145"/>
      <c r="G319" s="6" t="s">
        <v>774</v>
      </c>
      <c r="H319" s="6" t="s">
        <v>507</v>
      </c>
      <c r="I319" s="6" t="s">
        <v>775</v>
      </c>
      <c r="J319" s="6" t="s">
        <v>748</v>
      </c>
      <c r="K319" s="6" t="s">
        <v>544</v>
      </c>
    </row>
    <row r="320" spans="2:11">
      <c r="B320" s="154">
        <v>35080</v>
      </c>
      <c r="D320" s="145" t="s">
        <v>776</v>
      </c>
      <c r="E320" s="145"/>
      <c r="F320" s="145"/>
      <c r="G320" s="6" t="s">
        <v>777</v>
      </c>
      <c r="H320" s="6" t="s">
        <v>507</v>
      </c>
      <c r="I320" s="6" t="s">
        <v>778</v>
      </c>
      <c r="J320" s="6" t="s">
        <v>752</v>
      </c>
      <c r="K320" s="6" t="s">
        <v>544</v>
      </c>
    </row>
    <row r="321" spans="2:12">
      <c r="B321" s="154">
        <v>35081</v>
      </c>
      <c r="D321" s="145" t="s">
        <v>779</v>
      </c>
      <c r="E321" s="145"/>
      <c r="F321" s="145"/>
      <c r="G321" s="6" t="s">
        <v>780</v>
      </c>
      <c r="H321" s="6" t="s">
        <v>507</v>
      </c>
      <c r="I321" s="6" t="s">
        <v>781</v>
      </c>
      <c r="J321" s="6" t="s">
        <v>744</v>
      </c>
      <c r="K321" s="6" t="s">
        <v>544</v>
      </c>
    </row>
    <row r="322" spans="2:12">
      <c r="B322" s="154">
        <v>35082</v>
      </c>
      <c r="D322" s="145" t="s">
        <v>782</v>
      </c>
      <c r="E322" s="145"/>
      <c r="F322" s="145"/>
      <c r="G322" s="6" t="s">
        <v>783</v>
      </c>
      <c r="H322" s="6" t="s">
        <v>507</v>
      </c>
      <c r="I322" s="6" t="s">
        <v>784</v>
      </c>
      <c r="J322" s="6" t="s">
        <v>785</v>
      </c>
      <c r="K322" s="6" t="s">
        <v>544</v>
      </c>
    </row>
    <row r="323" spans="2:12">
      <c r="B323" s="154">
        <v>35083</v>
      </c>
      <c r="D323" s="145" t="s">
        <v>786</v>
      </c>
      <c r="E323" s="145"/>
      <c r="F323" s="145"/>
      <c r="G323" s="6" t="s">
        <v>787</v>
      </c>
      <c r="H323" s="6" t="s">
        <v>507</v>
      </c>
      <c r="I323" s="6" t="s">
        <v>788</v>
      </c>
      <c r="J323" s="6" t="s">
        <v>789</v>
      </c>
      <c r="K323" s="6" t="s">
        <v>544</v>
      </c>
    </row>
    <row r="324" spans="2:12">
      <c r="B324" s="154">
        <v>35084</v>
      </c>
      <c r="D324" s="145" t="s">
        <v>790</v>
      </c>
      <c r="E324" s="145"/>
      <c r="F324" s="145"/>
      <c r="G324" s="6" t="s">
        <v>791</v>
      </c>
      <c r="H324" s="6" t="s">
        <v>507</v>
      </c>
      <c r="I324" s="6" t="s">
        <v>792</v>
      </c>
      <c r="J324" s="6" t="s">
        <v>793</v>
      </c>
      <c r="K324" s="6" t="s">
        <v>544</v>
      </c>
    </row>
    <row r="325" spans="2:12">
      <c r="B325" s="154">
        <v>35085</v>
      </c>
      <c r="D325" s="145" t="s">
        <v>791</v>
      </c>
      <c r="E325" s="145"/>
      <c r="F325" s="145"/>
      <c r="G325" s="6" t="s">
        <v>794</v>
      </c>
      <c r="H325" s="6" t="s">
        <v>507</v>
      </c>
      <c r="I325" s="6" t="s">
        <v>795</v>
      </c>
      <c r="J325" s="6" t="s">
        <v>796</v>
      </c>
      <c r="K325" s="6" t="s">
        <v>544</v>
      </c>
    </row>
    <row r="326" spans="2:12">
      <c r="B326" s="154">
        <v>35086</v>
      </c>
      <c r="D326" s="145" t="s">
        <v>797</v>
      </c>
      <c r="E326" s="145"/>
      <c r="F326" s="145"/>
      <c r="G326" s="6" t="s">
        <v>798</v>
      </c>
      <c r="H326" s="6" t="s">
        <v>507</v>
      </c>
      <c r="I326" s="6" t="s">
        <v>799</v>
      </c>
      <c r="J326" s="6" t="s">
        <v>800</v>
      </c>
      <c r="K326" s="6" t="s">
        <v>544</v>
      </c>
    </row>
    <row r="327" spans="2:12">
      <c r="B327" s="154">
        <v>35087</v>
      </c>
      <c r="D327" s="145" t="s">
        <v>801</v>
      </c>
      <c r="E327" s="145"/>
      <c r="F327" s="145"/>
      <c r="G327" s="6" t="s">
        <v>802</v>
      </c>
      <c r="H327" s="6" t="s">
        <v>507</v>
      </c>
      <c r="I327" s="6" t="s">
        <v>803</v>
      </c>
      <c r="J327" s="6" t="s">
        <v>804</v>
      </c>
      <c r="K327" s="6" t="s">
        <v>544</v>
      </c>
    </row>
    <row r="328" spans="2:12">
      <c r="B328" s="154">
        <v>35088</v>
      </c>
      <c r="D328" s="145" t="s">
        <v>805</v>
      </c>
      <c r="E328" s="145"/>
      <c r="F328" s="145"/>
      <c r="G328" s="6" t="s">
        <v>806</v>
      </c>
      <c r="H328" s="6" t="s">
        <v>507</v>
      </c>
      <c r="I328" s="6" t="s">
        <v>807</v>
      </c>
      <c r="J328" s="6" t="s">
        <v>808</v>
      </c>
      <c r="K328" s="6" t="s">
        <v>544</v>
      </c>
    </row>
    <row r="329" spans="2:12">
      <c r="B329" s="154">
        <v>35089</v>
      </c>
      <c r="D329" s="145" t="s">
        <v>809</v>
      </c>
      <c r="E329" s="145"/>
      <c r="F329" s="145"/>
      <c r="G329" s="6" t="s">
        <v>810</v>
      </c>
      <c r="H329" s="6" t="s">
        <v>507</v>
      </c>
      <c r="I329" s="6" t="s">
        <v>811</v>
      </c>
      <c r="J329" s="6" t="s">
        <v>812</v>
      </c>
      <c r="K329" s="6" t="s">
        <v>544</v>
      </c>
    </row>
    <row r="330" spans="2:12">
      <c r="B330" s="154">
        <v>35090</v>
      </c>
      <c r="D330" s="145" t="s">
        <v>813</v>
      </c>
      <c r="E330" s="145"/>
      <c r="F330" s="145"/>
      <c r="G330" s="6" t="s">
        <v>814</v>
      </c>
      <c r="H330" s="6" t="s">
        <v>507</v>
      </c>
      <c r="I330" s="6" t="s">
        <v>815</v>
      </c>
      <c r="J330" s="6" t="s">
        <v>804</v>
      </c>
      <c r="K330" s="6" t="s">
        <v>544</v>
      </c>
    </row>
    <row r="332" spans="2:12">
      <c r="D332" s="143" t="s">
        <v>816</v>
      </c>
      <c r="G332" s="6" t="s">
        <v>817</v>
      </c>
      <c r="H332" s="6" t="s">
        <v>818</v>
      </c>
      <c r="I332" s="6" t="s">
        <v>819</v>
      </c>
      <c r="J332" s="6" t="s">
        <v>820</v>
      </c>
      <c r="K332" s="6" t="s">
        <v>821</v>
      </c>
      <c r="L332" s="6" t="s">
        <v>360</v>
      </c>
    </row>
    <row r="334" spans="2:12" ht="12.75">
      <c r="B334" s="138" t="s">
        <v>822</v>
      </c>
      <c r="C334" s="147" t="s">
        <v>823</v>
      </c>
      <c r="D334" s="151" t="s">
        <v>824</v>
      </c>
      <c r="E334" s="151"/>
      <c r="F334" s="151"/>
      <c r="G334" s="6" t="s">
        <v>825</v>
      </c>
      <c r="H334" s="6" t="s">
        <v>826</v>
      </c>
      <c r="I334" s="6" t="s">
        <v>827</v>
      </c>
      <c r="J334" s="6" t="s">
        <v>828</v>
      </c>
      <c r="K334" s="6" t="s">
        <v>829</v>
      </c>
    </row>
    <row r="336" spans="2:12">
      <c r="D336" s="143" t="s">
        <v>816</v>
      </c>
      <c r="G336" s="6" t="s">
        <v>830</v>
      </c>
      <c r="H336" s="6" t="s">
        <v>831</v>
      </c>
      <c r="I336" s="6" t="s">
        <v>426</v>
      </c>
      <c r="J336" s="6" t="s">
        <v>832</v>
      </c>
      <c r="K336" s="6" t="s">
        <v>360</v>
      </c>
    </row>
    <row r="337" spans="1:13">
      <c r="D337" s="143" t="s">
        <v>816</v>
      </c>
      <c r="G337" s="6" t="s">
        <v>830</v>
      </c>
      <c r="H337" s="6" t="s">
        <v>831</v>
      </c>
      <c r="I337" s="6" t="s">
        <v>429</v>
      </c>
      <c r="J337" s="6" t="s">
        <v>833</v>
      </c>
      <c r="K337" s="6" t="s">
        <v>360</v>
      </c>
    </row>
    <row r="338" spans="1:13">
      <c r="D338" s="143" t="s">
        <v>816</v>
      </c>
      <c r="G338" s="6" t="s">
        <v>830</v>
      </c>
      <c r="H338" s="6" t="s">
        <v>831</v>
      </c>
      <c r="I338" s="6" t="s">
        <v>432</v>
      </c>
      <c r="J338" s="6" t="s">
        <v>834</v>
      </c>
      <c r="K338" s="6" t="s">
        <v>360</v>
      </c>
    </row>
    <row r="339" spans="1:13">
      <c r="D339" s="143" t="s">
        <v>816</v>
      </c>
      <c r="G339" s="6" t="s">
        <v>830</v>
      </c>
      <c r="H339" s="6" t="s">
        <v>831</v>
      </c>
      <c r="I339" s="6" t="s">
        <v>435</v>
      </c>
      <c r="J339" s="6" t="s">
        <v>835</v>
      </c>
      <c r="K339" s="6" t="s">
        <v>360</v>
      </c>
    </row>
    <row r="340" spans="1:13">
      <c r="D340" s="143" t="s">
        <v>816</v>
      </c>
      <c r="G340" s="6" t="s">
        <v>830</v>
      </c>
      <c r="H340" s="6" t="s">
        <v>831</v>
      </c>
      <c r="I340" s="6" t="s">
        <v>438</v>
      </c>
      <c r="J340" s="6" t="s">
        <v>836</v>
      </c>
      <c r="K340" s="6" t="s">
        <v>360</v>
      </c>
    </row>
    <row r="342" spans="1:13">
      <c r="A342" s="6" t="s">
        <v>837</v>
      </c>
    </row>
    <row r="343" spans="1:13" ht="12.75">
      <c r="B343" s="146">
        <v>310000</v>
      </c>
      <c r="C343" s="146">
        <v>209</v>
      </c>
      <c r="D343" s="145" t="s">
        <v>838</v>
      </c>
      <c r="E343" s="145"/>
      <c r="F343" s="145"/>
      <c r="G343" s="6" t="s">
        <v>839</v>
      </c>
      <c r="H343" s="6" t="s">
        <v>840</v>
      </c>
      <c r="I343" s="6" t="s">
        <v>841</v>
      </c>
      <c r="J343" s="6" t="s">
        <v>842</v>
      </c>
    </row>
    <row r="344" spans="1:13" ht="12.75">
      <c r="B344" s="146">
        <v>310001</v>
      </c>
      <c r="C344" s="146">
        <v>209</v>
      </c>
      <c r="D344" s="145" t="s">
        <v>843</v>
      </c>
      <c r="E344" s="145"/>
      <c r="F344" s="145"/>
      <c r="G344" s="6" t="s">
        <v>844</v>
      </c>
      <c r="H344" s="6" t="s">
        <v>840</v>
      </c>
      <c r="I344" s="6" t="s">
        <v>841</v>
      </c>
      <c r="J344" s="6" t="s">
        <v>845</v>
      </c>
    </row>
    <row r="345" spans="1:13" ht="12.75">
      <c r="B345" s="146">
        <v>310100</v>
      </c>
      <c r="C345" s="146">
        <v>177</v>
      </c>
      <c r="D345" s="145" t="s">
        <v>846</v>
      </c>
      <c r="E345" s="145"/>
      <c r="F345" s="145"/>
      <c r="G345" s="6" t="s">
        <v>847</v>
      </c>
      <c r="H345" s="6" t="s">
        <v>840</v>
      </c>
      <c r="I345" s="6" t="s">
        <v>848</v>
      </c>
      <c r="J345" s="6" t="s">
        <v>849</v>
      </c>
    </row>
    <row r="346" spans="1:13" ht="12.75">
      <c r="B346" s="146">
        <v>310101</v>
      </c>
      <c r="C346" s="146">
        <v>193</v>
      </c>
      <c r="D346" s="145" t="s">
        <v>850</v>
      </c>
      <c r="E346" s="145"/>
      <c r="F346" s="145"/>
      <c r="G346" s="6" t="s">
        <v>851</v>
      </c>
      <c r="H346" s="6" t="s">
        <v>840</v>
      </c>
      <c r="I346" s="6" t="s">
        <v>852</v>
      </c>
      <c r="J346" s="6" t="s">
        <v>853</v>
      </c>
    </row>
    <row r="347" spans="1:13" ht="12.75">
      <c r="B347" s="146">
        <v>310102</v>
      </c>
      <c r="C347" s="146" t="s">
        <v>854</v>
      </c>
      <c r="D347" s="145" t="s">
        <v>855</v>
      </c>
      <c r="E347" s="145"/>
      <c r="F347" s="145"/>
      <c r="G347" s="6" t="s">
        <v>856</v>
      </c>
      <c r="H347" s="6" t="s">
        <v>857</v>
      </c>
      <c r="I347" s="6" t="s">
        <v>858</v>
      </c>
      <c r="J347" s="6" t="s">
        <v>859</v>
      </c>
    </row>
    <row r="348" spans="1:13" ht="12.75">
      <c r="B348" s="146">
        <v>310103</v>
      </c>
      <c r="C348" s="146" t="s">
        <v>854</v>
      </c>
      <c r="D348" s="145" t="s">
        <v>860</v>
      </c>
      <c r="E348" s="145"/>
      <c r="F348" s="145"/>
      <c r="G348" s="6" t="s">
        <v>861</v>
      </c>
      <c r="H348" s="6" t="s">
        <v>857</v>
      </c>
      <c r="I348" s="6" t="s">
        <v>858</v>
      </c>
      <c r="J348" s="6" t="s">
        <v>862</v>
      </c>
    </row>
    <row r="349" spans="1:13" ht="12.75">
      <c r="B349" s="146">
        <v>310200</v>
      </c>
      <c r="C349" s="146">
        <v>225</v>
      </c>
      <c r="D349" s="145" t="s">
        <v>863</v>
      </c>
      <c r="E349" s="145"/>
      <c r="F349" s="145"/>
      <c r="G349" s="6" t="s">
        <v>864</v>
      </c>
      <c r="H349" s="6" t="s">
        <v>840</v>
      </c>
      <c r="I349" s="6" t="s">
        <v>865</v>
      </c>
      <c r="J349" s="6" t="s">
        <v>866</v>
      </c>
    </row>
    <row r="351" spans="1:13" ht="12.75">
      <c r="B351" s="146">
        <v>311001</v>
      </c>
      <c r="C351" s="143">
        <v>49</v>
      </c>
      <c r="D351" s="145" t="s">
        <v>867</v>
      </c>
      <c r="E351" s="145"/>
      <c r="F351" s="145"/>
      <c r="G351" s="6" t="s">
        <v>868</v>
      </c>
      <c r="H351" s="6" t="s">
        <v>869</v>
      </c>
      <c r="I351" s="6" t="s">
        <v>858</v>
      </c>
      <c r="J351" s="6" t="s">
        <v>870</v>
      </c>
      <c r="K351" s="6" t="s">
        <v>360</v>
      </c>
      <c r="L351" s="6" t="s">
        <v>871</v>
      </c>
      <c r="M351" s="6" t="s">
        <v>127</v>
      </c>
    </row>
    <row r="352" spans="1:13" ht="12.75">
      <c r="B352" s="146">
        <v>311002</v>
      </c>
      <c r="C352" s="143">
        <v>49</v>
      </c>
      <c r="D352" s="145" t="s">
        <v>872</v>
      </c>
      <c r="E352" s="145"/>
      <c r="F352" s="145"/>
      <c r="G352" s="6" t="s">
        <v>872</v>
      </c>
      <c r="H352" s="6" t="s">
        <v>869</v>
      </c>
      <c r="I352" s="6" t="s">
        <v>858</v>
      </c>
      <c r="J352" s="6" t="s">
        <v>873</v>
      </c>
      <c r="K352" s="6" t="s">
        <v>360</v>
      </c>
      <c r="L352" s="6" t="s">
        <v>871</v>
      </c>
      <c r="M352" s="6" t="s">
        <v>127</v>
      </c>
    </row>
    <row r="353" spans="2:13" ht="12.75">
      <c r="B353" s="146">
        <v>311003</v>
      </c>
      <c r="C353" s="143">
        <v>49</v>
      </c>
      <c r="D353" s="145" t="s">
        <v>874</v>
      </c>
      <c r="E353" s="145"/>
      <c r="F353" s="145"/>
      <c r="G353" s="6" t="s">
        <v>874</v>
      </c>
      <c r="H353" s="6" t="s">
        <v>869</v>
      </c>
      <c r="I353" s="6" t="s">
        <v>858</v>
      </c>
      <c r="J353" s="6" t="s">
        <v>875</v>
      </c>
      <c r="K353" s="6" t="s">
        <v>360</v>
      </c>
      <c r="L353" s="6" t="s">
        <v>871</v>
      </c>
      <c r="M353" s="6" t="s">
        <v>127</v>
      </c>
    </row>
    <row r="354" spans="2:13" ht="12.75">
      <c r="B354" s="146">
        <v>311004</v>
      </c>
      <c r="C354" s="143">
        <v>49</v>
      </c>
      <c r="D354" s="145" t="s">
        <v>876</v>
      </c>
      <c r="E354" s="145"/>
      <c r="F354" s="145"/>
      <c r="G354" s="6" t="s">
        <v>877</v>
      </c>
      <c r="H354" s="6" t="s">
        <v>869</v>
      </c>
      <c r="I354" s="6" t="s">
        <v>858</v>
      </c>
      <c r="J354" s="6" t="s">
        <v>878</v>
      </c>
      <c r="K354" s="6" t="s">
        <v>360</v>
      </c>
      <c r="L354" s="6" t="s">
        <v>871</v>
      </c>
      <c r="M354" s="6" t="s">
        <v>127</v>
      </c>
    </row>
    <row r="355" spans="2:13" ht="12.75">
      <c r="B355" s="146">
        <v>311005</v>
      </c>
      <c r="C355" s="143">
        <v>49</v>
      </c>
      <c r="D355" s="145" t="s">
        <v>879</v>
      </c>
      <c r="E355" s="145"/>
      <c r="F355" s="145"/>
      <c r="G355" s="6" t="s">
        <v>879</v>
      </c>
      <c r="H355" s="6" t="s">
        <v>869</v>
      </c>
      <c r="I355" s="6" t="s">
        <v>858</v>
      </c>
      <c r="J355" s="6" t="s">
        <v>880</v>
      </c>
      <c r="K355" s="6" t="s">
        <v>360</v>
      </c>
      <c r="L355" s="6" t="s">
        <v>871</v>
      </c>
      <c r="M355" s="6" t="s">
        <v>127</v>
      </c>
    </row>
    <row r="356" spans="2:13" ht="12.75">
      <c r="B356" s="146">
        <v>311006</v>
      </c>
      <c r="C356" s="143">
        <v>49</v>
      </c>
      <c r="D356" s="145" t="s">
        <v>881</v>
      </c>
      <c r="E356" s="145"/>
      <c r="F356" s="145"/>
      <c r="G356" s="6" t="s">
        <v>881</v>
      </c>
      <c r="H356" s="6" t="s">
        <v>869</v>
      </c>
      <c r="I356" s="6" t="s">
        <v>858</v>
      </c>
      <c r="J356" s="6" t="s">
        <v>882</v>
      </c>
      <c r="K356" s="6" t="s">
        <v>360</v>
      </c>
      <c r="L356" s="6" t="s">
        <v>871</v>
      </c>
      <c r="M356" s="6" t="s">
        <v>127</v>
      </c>
    </row>
    <row r="357" spans="2:13" ht="12.75">
      <c r="B357" s="146">
        <v>311007</v>
      </c>
      <c r="C357" s="143">
        <v>49</v>
      </c>
      <c r="D357" s="145" t="s">
        <v>883</v>
      </c>
      <c r="E357" s="145"/>
      <c r="F357" s="145"/>
      <c r="G357" s="6" t="s">
        <v>883</v>
      </c>
      <c r="H357" s="6" t="s">
        <v>869</v>
      </c>
      <c r="I357" s="6" t="s">
        <v>858</v>
      </c>
      <c r="J357" s="6" t="s">
        <v>884</v>
      </c>
      <c r="K357" s="6" t="s">
        <v>360</v>
      </c>
      <c r="L357" s="6" t="s">
        <v>871</v>
      </c>
      <c r="M357" s="6" t="s">
        <v>127</v>
      </c>
    </row>
    <row r="358" spans="2:13" ht="12.75">
      <c r="B358" s="146">
        <v>311008</v>
      </c>
      <c r="C358" s="143">
        <v>49</v>
      </c>
      <c r="D358" s="145" t="s">
        <v>885</v>
      </c>
      <c r="E358" s="145"/>
      <c r="F358" s="145"/>
      <c r="G358" s="6" t="s">
        <v>885</v>
      </c>
      <c r="H358" s="6" t="s">
        <v>869</v>
      </c>
      <c r="I358" s="6" t="s">
        <v>858</v>
      </c>
      <c r="J358" s="6" t="s">
        <v>886</v>
      </c>
      <c r="K358" s="6" t="s">
        <v>360</v>
      </c>
      <c r="L358" s="6" t="s">
        <v>871</v>
      </c>
      <c r="M358" s="6" t="s">
        <v>127</v>
      </c>
    </row>
    <row r="359" spans="2:13" ht="12.75">
      <c r="B359" s="146">
        <v>311009</v>
      </c>
      <c r="C359" s="143">
        <v>49</v>
      </c>
      <c r="D359" s="145" t="s">
        <v>887</v>
      </c>
      <c r="E359" s="145"/>
      <c r="F359" s="145"/>
      <c r="G359" s="6" t="s">
        <v>887</v>
      </c>
      <c r="H359" s="6" t="s">
        <v>869</v>
      </c>
      <c r="I359" s="6" t="s">
        <v>858</v>
      </c>
      <c r="J359" s="6" t="s">
        <v>888</v>
      </c>
      <c r="K359" s="6" t="s">
        <v>360</v>
      </c>
      <c r="L359" s="6" t="s">
        <v>871</v>
      </c>
      <c r="M359" s="6" t="s">
        <v>127</v>
      </c>
    </row>
    <row r="360" spans="2:13" ht="12.75">
      <c r="B360" s="146">
        <v>311010</v>
      </c>
      <c r="C360" s="143">
        <v>49</v>
      </c>
      <c r="D360" s="145" t="s">
        <v>889</v>
      </c>
      <c r="E360" s="145"/>
      <c r="F360" s="145"/>
      <c r="G360" s="6" t="s">
        <v>890</v>
      </c>
      <c r="H360" s="6" t="s">
        <v>869</v>
      </c>
      <c r="I360" s="6" t="s">
        <v>858</v>
      </c>
      <c r="J360" s="6" t="s">
        <v>891</v>
      </c>
      <c r="K360" s="6" t="s">
        <v>360</v>
      </c>
      <c r="L360" s="6" t="s">
        <v>871</v>
      </c>
      <c r="M360" s="6" t="s">
        <v>127</v>
      </c>
    </row>
    <row r="361" spans="2:13" ht="12.75">
      <c r="B361" s="146">
        <v>311011</v>
      </c>
      <c r="C361" s="143">
        <v>49</v>
      </c>
      <c r="D361" s="145" t="s">
        <v>892</v>
      </c>
      <c r="E361" s="145"/>
      <c r="F361" s="145"/>
      <c r="G361" s="6" t="s">
        <v>892</v>
      </c>
      <c r="H361" s="6" t="s">
        <v>869</v>
      </c>
      <c r="I361" s="6" t="s">
        <v>858</v>
      </c>
      <c r="J361" s="6" t="s">
        <v>893</v>
      </c>
      <c r="K361" s="6" t="s">
        <v>360</v>
      </c>
      <c r="L361" s="6" t="s">
        <v>871</v>
      </c>
      <c r="M361" s="6" t="s">
        <v>127</v>
      </c>
    </row>
    <row r="362" spans="2:13" ht="12.75">
      <c r="B362" s="146">
        <v>311012</v>
      </c>
      <c r="C362" s="143">
        <v>49</v>
      </c>
      <c r="D362" s="145" t="s">
        <v>894</v>
      </c>
      <c r="E362" s="145"/>
      <c r="F362" s="145"/>
      <c r="G362" s="6" t="s">
        <v>894</v>
      </c>
      <c r="H362" s="6" t="s">
        <v>869</v>
      </c>
      <c r="I362" s="6" t="s">
        <v>858</v>
      </c>
      <c r="J362" s="6" t="s">
        <v>895</v>
      </c>
      <c r="K362" s="6" t="s">
        <v>360</v>
      </c>
      <c r="L362" s="6" t="s">
        <v>871</v>
      </c>
      <c r="M362" s="6" t="s">
        <v>127</v>
      </c>
    </row>
    <row r="363" spans="2:13" ht="12.75">
      <c r="B363" s="146">
        <v>311013</v>
      </c>
      <c r="C363" s="143">
        <v>49</v>
      </c>
      <c r="D363" s="145" t="s">
        <v>896</v>
      </c>
      <c r="E363" s="145"/>
      <c r="F363" s="145"/>
      <c r="G363" s="6" t="s">
        <v>897</v>
      </c>
      <c r="H363" s="6" t="s">
        <v>869</v>
      </c>
      <c r="I363" s="6" t="s">
        <v>858</v>
      </c>
      <c r="J363" s="6" t="s">
        <v>898</v>
      </c>
      <c r="K363" s="6" t="s">
        <v>360</v>
      </c>
      <c r="L363" s="6" t="s">
        <v>871</v>
      </c>
      <c r="M363" s="6" t="s">
        <v>127</v>
      </c>
    </row>
    <row r="364" spans="2:13" ht="12.75">
      <c r="B364" s="146">
        <v>311014</v>
      </c>
      <c r="C364" s="143">
        <v>49</v>
      </c>
      <c r="D364" s="145" t="s">
        <v>899</v>
      </c>
      <c r="E364" s="145"/>
      <c r="F364" s="145"/>
      <c r="G364" s="6" t="s">
        <v>900</v>
      </c>
      <c r="H364" s="6" t="s">
        <v>869</v>
      </c>
      <c r="I364" s="6" t="s">
        <v>858</v>
      </c>
      <c r="J364" s="6" t="s">
        <v>901</v>
      </c>
      <c r="K364" s="6" t="s">
        <v>360</v>
      </c>
      <c r="L364" s="6" t="s">
        <v>871</v>
      </c>
      <c r="M364" s="6" t="s">
        <v>127</v>
      </c>
    </row>
    <row r="365" spans="2:13" ht="12.75">
      <c r="B365" s="146">
        <v>311015</v>
      </c>
      <c r="C365" s="143">
        <v>49</v>
      </c>
      <c r="D365" s="145" t="s">
        <v>902</v>
      </c>
      <c r="E365" s="145"/>
      <c r="F365" s="145"/>
      <c r="G365" s="6" t="s">
        <v>903</v>
      </c>
      <c r="H365" s="6" t="s">
        <v>869</v>
      </c>
      <c r="I365" s="6" t="s">
        <v>858</v>
      </c>
      <c r="J365" s="6" t="s">
        <v>904</v>
      </c>
      <c r="K365" s="6" t="s">
        <v>360</v>
      </c>
      <c r="L365" s="6" t="s">
        <v>871</v>
      </c>
      <c r="M365" s="6" t="s">
        <v>127</v>
      </c>
    </row>
    <row r="366" spans="2:13" ht="12.75">
      <c r="B366" s="146">
        <v>311016</v>
      </c>
      <c r="C366" s="143">
        <v>49</v>
      </c>
      <c r="D366" s="145" t="s">
        <v>905</v>
      </c>
      <c r="E366" s="145"/>
      <c r="F366" s="145"/>
      <c r="G366" s="6" t="s">
        <v>906</v>
      </c>
      <c r="H366" s="6" t="s">
        <v>869</v>
      </c>
      <c r="I366" s="6" t="s">
        <v>858</v>
      </c>
      <c r="J366" s="6" t="s">
        <v>907</v>
      </c>
      <c r="K366" s="6" t="s">
        <v>360</v>
      </c>
      <c r="L366" s="6" t="s">
        <v>871</v>
      </c>
      <c r="M366" s="6" t="s">
        <v>127</v>
      </c>
    </row>
    <row r="367" spans="2:13" ht="12.75">
      <c r="B367" s="146">
        <v>311017</v>
      </c>
      <c r="C367" s="143">
        <v>49</v>
      </c>
      <c r="D367" s="145" t="s">
        <v>908</v>
      </c>
      <c r="E367" s="145"/>
      <c r="F367" s="145"/>
      <c r="G367" s="6" t="s">
        <v>908</v>
      </c>
      <c r="H367" s="6" t="s">
        <v>869</v>
      </c>
      <c r="I367" s="6" t="s">
        <v>858</v>
      </c>
      <c r="J367" s="6" t="s">
        <v>909</v>
      </c>
      <c r="K367" s="6" t="s">
        <v>360</v>
      </c>
      <c r="L367" s="6" t="s">
        <v>871</v>
      </c>
      <c r="M367" s="6" t="s">
        <v>127</v>
      </c>
    </row>
    <row r="368" spans="2:13" ht="12.75">
      <c r="B368" s="146">
        <v>311018</v>
      </c>
      <c r="C368" s="143">
        <v>49</v>
      </c>
      <c r="D368" s="145" t="s">
        <v>910</v>
      </c>
      <c r="E368" s="145"/>
      <c r="F368" s="145"/>
      <c r="G368" s="6" t="s">
        <v>910</v>
      </c>
      <c r="H368" s="6" t="s">
        <v>869</v>
      </c>
      <c r="I368" s="6" t="s">
        <v>858</v>
      </c>
      <c r="J368" s="6" t="s">
        <v>911</v>
      </c>
      <c r="K368" s="6" t="s">
        <v>360</v>
      </c>
      <c r="L368" s="6" t="s">
        <v>871</v>
      </c>
      <c r="M368" s="6" t="s">
        <v>127</v>
      </c>
    </row>
    <row r="369" spans="2:13" ht="12.75">
      <c r="B369" s="146">
        <v>311019</v>
      </c>
      <c r="C369" s="143">
        <v>49</v>
      </c>
      <c r="D369" s="145" t="s">
        <v>912</v>
      </c>
      <c r="E369" s="145"/>
      <c r="F369" s="145"/>
      <c r="G369" s="6" t="s">
        <v>913</v>
      </c>
      <c r="H369" s="6" t="s">
        <v>869</v>
      </c>
      <c r="I369" s="6" t="s">
        <v>858</v>
      </c>
      <c r="J369" s="6" t="s">
        <v>914</v>
      </c>
      <c r="K369" s="6" t="s">
        <v>360</v>
      </c>
      <c r="L369" s="6" t="s">
        <v>871</v>
      </c>
      <c r="M369" s="6" t="s">
        <v>127</v>
      </c>
    </row>
    <row r="370" spans="2:13" ht="12.75">
      <c r="B370" s="146">
        <v>311020</v>
      </c>
      <c r="C370" s="143">
        <v>49</v>
      </c>
      <c r="D370" s="145" t="s">
        <v>915</v>
      </c>
      <c r="E370" s="145"/>
      <c r="F370" s="145"/>
      <c r="G370" s="155" t="s">
        <v>915</v>
      </c>
      <c r="H370" s="6" t="s">
        <v>869</v>
      </c>
      <c r="I370" s="6" t="s">
        <v>858</v>
      </c>
      <c r="J370" s="6" t="s">
        <v>916</v>
      </c>
      <c r="K370" s="6" t="s">
        <v>360</v>
      </c>
      <c r="L370" s="6" t="s">
        <v>871</v>
      </c>
      <c r="M370" s="6" t="s">
        <v>127</v>
      </c>
    </row>
    <row r="371" spans="2:13" ht="12.75">
      <c r="B371" s="146">
        <v>311021</v>
      </c>
      <c r="C371" s="143">
        <v>49</v>
      </c>
      <c r="D371" s="145" t="s">
        <v>917</v>
      </c>
      <c r="E371" s="145"/>
      <c r="F371" s="145"/>
      <c r="G371" s="6" t="s">
        <v>917</v>
      </c>
      <c r="H371" s="6" t="s">
        <v>869</v>
      </c>
      <c r="I371" s="6" t="s">
        <v>858</v>
      </c>
      <c r="J371" s="6" t="s">
        <v>918</v>
      </c>
      <c r="K371" s="6" t="s">
        <v>360</v>
      </c>
      <c r="L371" s="6" t="s">
        <v>871</v>
      </c>
      <c r="M371" s="6" t="s">
        <v>127</v>
      </c>
    </row>
    <row r="372" spans="2:13" ht="12.75">
      <c r="B372" s="146">
        <v>311022</v>
      </c>
      <c r="C372" s="143">
        <v>49</v>
      </c>
      <c r="D372" s="145" t="s">
        <v>919</v>
      </c>
      <c r="E372" s="145"/>
      <c r="F372" s="145"/>
      <c r="G372" s="6" t="s">
        <v>919</v>
      </c>
      <c r="H372" s="6" t="s">
        <v>869</v>
      </c>
      <c r="I372" s="6" t="s">
        <v>858</v>
      </c>
      <c r="J372" s="6" t="s">
        <v>920</v>
      </c>
      <c r="K372" s="6" t="s">
        <v>360</v>
      </c>
      <c r="L372" s="6" t="s">
        <v>871</v>
      </c>
      <c r="M372" s="6" t="s">
        <v>127</v>
      </c>
    </row>
    <row r="373" spans="2:13" ht="12.75">
      <c r="B373" s="146">
        <v>311023</v>
      </c>
      <c r="C373" s="143">
        <v>49</v>
      </c>
      <c r="D373" s="145" t="s">
        <v>921</v>
      </c>
      <c r="E373" s="145"/>
      <c r="F373" s="145"/>
      <c r="G373" s="6" t="s">
        <v>921</v>
      </c>
      <c r="H373" s="6" t="s">
        <v>869</v>
      </c>
      <c r="I373" s="6" t="s">
        <v>858</v>
      </c>
      <c r="J373" s="6" t="s">
        <v>922</v>
      </c>
      <c r="K373" s="6" t="s">
        <v>360</v>
      </c>
      <c r="L373" s="6" t="s">
        <v>871</v>
      </c>
      <c r="M373" s="6" t="s">
        <v>127</v>
      </c>
    </row>
    <row r="374" spans="2:13" ht="12.75">
      <c r="B374" s="146">
        <v>311024</v>
      </c>
      <c r="C374" s="143">
        <v>49</v>
      </c>
      <c r="D374" s="145" t="s">
        <v>923</v>
      </c>
      <c r="E374" s="145"/>
      <c r="F374" s="145"/>
      <c r="G374" s="6" t="s">
        <v>923</v>
      </c>
      <c r="H374" s="6" t="s">
        <v>869</v>
      </c>
      <c r="I374" s="6" t="s">
        <v>858</v>
      </c>
      <c r="J374" s="6" t="s">
        <v>924</v>
      </c>
      <c r="K374" s="6" t="s">
        <v>360</v>
      </c>
      <c r="L374" s="6" t="s">
        <v>871</v>
      </c>
      <c r="M374" s="6" t="s">
        <v>127</v>
      </c>
    </row>
    <row r="375" spans="2:13" ht="12.75">
      <c r="B375" s="146">
        <v>311025</v>
      </c>
      <c r="C375" s="143">
        <v>49</v>
      </c>
      <c r="D375" s="145" t="s">
        <v>925</v>
      </c>
      <c r="E375" s="145"/>
      <c r="F375" s="145"/>
      <c r="G375" s="6" t="s">
        <v>926</v>
      </c>
      <c r="H375" s="6" t="s">
        <v>869</v>
      </c>
      <c r="I375" s="6" t="s">
        <v>858</v>
      </c>
      <c r="J375" s="6" t="s">
        <v>927</v>
      </c>
      <c r="K375" s="6" t="s">
        <v>360</v>
      </c>
      <c r="L375" s="6" t="s">
        <v>871</v>
      </c>
      <c r="M375" s="6" t="s">
        <v>127</v>
      </c>
    </row>
    <row r="376" spans="2:13" ht="12.75">
      <c r="B376" s="146">
        <v>311026</v>
      </c>
      <c r="C376" s="143">
        <v>49</v>
      </c>
      <c r="D376" s="145" t="s">
        <v>928</v>
      </c>
      <c r="E376" s="145"/>
      <c r="F376" s="145"/>
      <c r="G376" s="6" t="s">
        <v>929</v>
      </c>
      <c r="H376" s="6" t="s">
        <v>869</v>
      </c>
      <c r="I376" s="6" t="s">
        <v>858</v>
      </c>
      <c r="J376" s="6" t="s">
        <v>930</v>
      </c>
      <c r="K376" s="6" t="s">
        <v>360</v>
      </c>
      <c r="L376" s="6" t="s">
        <v>871</v>
      </c>
      <c r="M376" s="6" t="s">
        <v>127</v>
      </c>
    </row>
    <row r="377" spans="2:13" ht="12.75">
      <c r="B377" s="146">
        <v>311027</v>
      </c>
      <c r="C377" s="143">
        <v>49</v>
      </c>
      <c r="D377" s="145" t="s">
        <v>931</v>
      </c>
      <c r="E377" s="145"/>
      <c r="F377" s="145"/>
      <c r="G377" s="6" t="s">
        <v>932</v>
      </c>
      <c r="H377" s="6" t="s">
        <v>869</v>
      </c>
      <c r="I377" s="6" t="s">
        <v>858</v>
      </c>
      <c r="J377" s="6" t="s">
        <v>933</v>
      </c>
      <c r="K377" s="6" t="s">
        <v>360</v>
      </c>
      <c r="L377" s="6" t="s">
        <v>871</v>
      </c>
      <c r="M377" s="6" t="s">
        <v>127</v>
      </c>
    </row>
    <row r="378" spans="2:13" ht="12.75">
      <c r="B378" s="146">
        <v>311028</v>
      </c>
      <c r="C378" s="143">
        <v>49</v>
      </c>
      <c r="D378" s="145" t="s">
        <v>934</v>
      </c>
      <c r="E378" s="145"/>
      <c r="F378" s="145"/>
      <c r="G378" s="6" t="s">
        <v>935</v>
      </c>
      <c r="H378" s="6" t="s">
        <v>869</v>
      </c>
      <c r="I378" s="6" t="s">
        <v>858</v>
      </c>
      <c r="J378" s="6" t="s">
        <v>936</v>
      </c>
      <c r="K378" s="6" t="s">
        <v>360</v>
      </c>
      <c r="L378" s="6" t="s">
        <v>871</v>
      </c>
      <c r="M378" s="6" t="s">
        <v>127</v>
      </c>
    </row>
    <row r="379" spans="2:13" ht="12.75">
      <c r="B379" s="146">
        <v>311029</v>
      </c>
      <c r="C379" s="143">
        <v>49</v>
      </c>
      <c r="D379" s="145" t="s">
        <v>937</v>
      </c>
      <c r="E379" s="145"/>
      <c r="F379" s="145"/>
      <c r="G379" s="6" t="s">
        <v>938</v>
      </c>
      <c r="H379" s="6" t="s">
        <v>869</v>
      </c>
      <c r="I379" s="6" t="s">
        <v>858</v>
      </c>
      <c r="J379" s="6" t="s">
        <v>939</v>
      </c>
      <c r="K379" s="6" t="s">
        <v>360</v>
      </c>
      <c r="L379" s="6" t="s">
        <v>871</v>
      </c>
      <c r="M379" s="6" t="s">
        <v>127</v>
      </c>
    </row>
    <row r="380" spans="2:13" ht="12.75">
      <c r="B380" s="146">
        <v>311030</v>
      </c>
      <c r="C380" s="143">
        <v>49</v>
      </c>
      <c r="D380" s="145" t="s">
        <v>940</v>
      </c>
      <c r="E380" s="145"/>
      <c r="F380" s="145"/>
      <c r="G380" s="6" t="s">
        <v>941</v>
      </c>
      <c r="H380" s="6" t="s">
        <v>869</v>
      </c>
      <c r="I380" s="6" t="s">
        <v>858</v>
      </c>
      <c r="J380" s="6" t="s">
        <v>942</v>
      </c>
      <c r="K380" s="6" t="s">
        <v>360</v>
      </c>
      <c r="L380" s="6" t="s">
        <v>871</v>
      </c>
      <c r="M380" s="6" t="s">
        <v>127</v>
      </c>
    </row>
    <row r="381" spans="2:13" ht="12.75">
      <c r="B381" s="146">
        <v>311031</v>
      </c>
      <c r="C381" s="143">
        <v>49</v>
      </c>
      <c r="D381" s="145" t="s">
        <v>943</v>
      </c>
      <c r="E381" s="145"/>
      <c r="F381" s="145"/>
      <c r="G381" s="155" t="s">
        <v>944</v>
      </c>
      <c r="H381" s="6" t="s">
        <v>869</v>
      </c>
      <c r="I381" s="6" t="s">
        <v>858</v>
      </c>
      <c r="J381" s="6" t="s">
        <v>945</v>
      </c>
      <c r="K381" s="6" t="s">
        <v>360</v>
      </c>
      <c r="L381" s="6" t="s">
        <v>871</v>
      </c>
    </row>
    <row r="382" spans="2:13" ht="12.75">
      <c r="B382" s="146">
        <v>311032</v>
      </c>
      <c r="C382" s="143">
        <v>49</v>
      </c>
      <c r="D382" s="145" t="s">
        <v>946</v>
      </c>
      <c r="E382" s="145"/>
      <c r="F382" s="145"/>
      <c r="G382" s="155" t="s">
        <v>947</v>
      </c>
      <c r="H382" s="6" t="s">
        <v>869</v>
      </c>
      <c r="I382" s="6" t="s">
        <v>858</v>
      </c>
      <c r="J382" s="6" t="s">
        <v>948</v>
      </c>
      <c r="K382" s="6" t="s">
        <v>360</v>
      </c>
      <c r="L382" s="6" t="s">
        <v>871</v>
      </c>
    </row>
    <row r="383" spans="2:13" ht="12.75">
      <c r="B383" s="146">
        <v>311033</v>
      </c>
      <c r="C383" s="143">
        <v>49</v>
      </c>
      <c r="D383" s="145" t="s">
        <v>949</v>
      </c>
      <c r="E383" s="145"/>
      <c r="F383" s="145"/>
      <c r="G383" s="6" t="s">
        <v>949</v>
      </c>
      <c r="H383" s="6" t="s">
        <v>869</v>
      </c>
      <c r="I383" s="6" t="s">
        <v>858</v>
      </c>
      <c r="J383" s="6" t="s">
        <v>950</v>
      </c>
      <c r="K383" s="6" t="s">
        <v>360</v>
      </c>
      <c r="L383" s="6" t="s">
        <v>871</v>
      </c>
      <c r="M383" s="6" t="s">
        <v>127</v>
      </c>
    </row>
    <row r="384" spans="2:13" ht="12.75">
      <c r="B384" s="146">
        <v>311034</v>
      </c>
      <c r="C384" s="143">
        <v>49</v>
      </c>
      <c r="D384" s="145" t="s">
        <v>951</v>
      </c>
      <c r="E384" s="145"/>
      <c r="F384" s="145"/>
      <c r="G384" s="6" t="s">
        <v>951</v>
      </c>
      <c r="H384" s="6" t="s">
        <v>869</v>
      </c>
      <c r="I384" s="6" t="s">
        <v>858</v>
      </c>
      <c r="J384" s="6" t="s">
        <v>952</v>
      </c>
      <c r="K384" s="6" t="s">
        <v>360</v>
      </c>
      <c r="L384" s="6" t="s">
        <v>871</v>
      </c>
      <c r="M384" s="6" t="s">
        <v>127</v>
      </c>
    </row>
    <row r="385" spans="2:13" ht="12.75">
      <c r="B385" s="146">
        <v>311035</v>
      </c>
      <c r="C385" s="143">
        <v>49</v>
      </c>
      <c r="D385" s="145" t="s">
        <v>953</v>
      </c>
      <c r="E385" s="145"/>
      <c r="F385" s="145"/>
      <c r="K385" s="6" t="s">
        <v>360</v>
      </c>
      <c r="L385" s="6" t="s">
        <v>871</v>
      </c>
      <c r="M385" s="6" t="s">
        <v>127</v>
      </c>
    </row>
    <row r="386" spans="2:13" ht="12.75">
      <c r="B386" s="146">
        <v>311036</v>
      </c>
      <c r="C386" s="143">
        <v>49</v>
      </c>
      <c r="D386" s="145" t="s">
        <v>954</v>
      </c>
      <c r="E386" s="145"/>
      <c r="F386" s="145"/>
      <c r="K386" s="6" t="s">
        <v>360</v>
      </c>
      <c r="L386" s="6" t="s">
        <v>871</v>
      </c>
      <c r="M386" s="6" t="s">
        <v>127</v>
      </c>
    </row>
    <row r="387" spans="2:13" ht="12.75">
      <c r="B387" s="146">
        <v>311037</v>
      </c>
      <c r="C387" s="143">
        <v>49</v>
      </c>
      <c r="D387" s="145" t="s">
        <v>955</v>
      </c>
      <c r="E387" s="145"/>
      <c r="F387" s="145"/>
      <c r="K387" s="6" t="s">
        <v>360</v>
      </c>
      <c r="L387" s="6" t="s">
        <v>871</v>
      </c>
      <c r="M387" s="6" t="s">
        <v>127</v>
      </c>
    </row>
    <row r="388" spans="2:13" ht="12.75">
      <c r="B388" s="146">
        <v>311038</v>
      </c>
      <c r="C388" s="143">
        <v>49</v>
      </c>
      <c r="D388" s="145" t="s">
        <v>956</v>
      </c>
      <c r="E388" s="145"/>
      <c r="F388" s="145"/>
      <c r="G388" s="6" t="s">
        <v>957</v>
      </c>
      <c r="H388" s="6" t="s">
        <v>869</v>
      </c>
      <c r="I388" s="6" t="s">
        <v>858</v>
      </c>
      <c r="J388" s="6" t="s">
        <v>958</v>
      </c>
      <c r="K388" s="6" t="s">
        <v>360</v>
      </c>
      <c r="L388" s="6" t="s">
        <v>871</v>
      </c>
      <c r="M388" s="6" t="s">
        <v>127</v>
      </c>
    </row>
    <row r="389" spans="2:13" ht="12.75">
      <c r="B389" s="146">
        <v>311039</v>
      </c>
      <c r="C389" s="143">
        <v>49</v>
      </c>
      <c r="D389" s="145" t="s">
        <v>959</v>
      </c>
      <c r="E389" s="145"/>
      <c r="F389" s="145"/>
      <c r="G389" s="6" t="s">
        <v>959</v>
      </c>
      <c r="H389" s="6" t="s">
        <v>869</v>
      </c>
      <c r="I389" s="6" t="s">
        <v>858</v>
      </c>
      <c r="J389" s="6" t="s">
        <v>960</v>
      </c>
      <c r="K389" s="6" t="s">
        <v>360</v>
      </c>
      <c r="L389" s="6" t="s">
        <v>871</v>
      </c>
      <c r="M389" s="6" t="s">
        <v>127</v>
      </c>
    </row>
    <row r="390" spans="2:13" ht="12.75">
      <c r="B390" s="146">
        <v>311040</v>
      </c>
      <c r="C390" s="143">
        <v>49</v>
      </c>
      <c r="D390" s="145" t="s">
        <v>961</v>
      </c>
      <c r="E390" s="145"/>
      <c r="F390" s="145"/>
      <c r="G390" s="6" t="s">
        <v>961</v>
      </c>
      <c r="H390" s="6" t="s">
        <v>869</v>
      </c>
      <c r="I390" s="6" t="s">
        <v>858</v>
      </c>
      <c r="J390" s="6" t="s">
        <v>962</v>
      </c>
      <c r="K390" s="6" t="s">
        <v>360</v>
      </c>
      <c r="L390" s="6" t="s">
        <v>871</v>
      </c>
      <c r="M390" s="6" t="s">
        <v>127</v>
      </c>
    </row>
    <row r="391" spans="2:13" ht="12.75">
      <c r="B391" s="146">
        <v>311041</v>
      </c>
      <c r="C391" s="143">
        <v>49</v>
      </c>
      <c r="D391" s="145" t="s">
        <v>963</v>
      </c>
      <c r="E391" s="145"/>
      <c r="F391" s="145"/>
      <c r="G391" s="6" t="s">
        <v>964</v>
      </c>
      <c r="H391" s="6" t="s">
        <v>869</v>
      </c>
      <c r="I391" s="6" t="s">
        <v>858</v>
      </c>
      <c r="J391" s="6" t="s">
        <v>965</v>
      </c>
      <c r="K391" s="6" t="s">
        <v>360</v>
      </c>
      <c r="L391" s="6" t="s">
        <v>871</v>
      </c>
      <c r="M391" s="6" t="s">
        <v>127</v>
      </c>
    </row>
    <row r="392" spans="2:13" ht="12.75">
      <c r="B392" s="146">
        <v>311042</v>
      </c>
      <c r="C392" s="143">
        <v>49</v>
      </c>
      <c r="D392" s="145" t="s">
        <v>966</v>
      </c>
      <c r="E392" s="145"/>
      <c r="F392" s="145"/>
      <c r="G392" s="6" t="s">
        <v>966</v>
      </c>
      <c r="H392" s="6" t="s">
        <v>869</v>
      </c>
      <c r="I392" s="6" t="s">
        <v>858</v>
      </c>
      <c r="J392" s="6" t="s">
        <v>967</v>
      </c>
      <c r="K392" s="6" t="s">
        <v>360</v>
      </c>
      <c r="L392" s="6" t="s">
        <v>871</v>
      </c>
      <c r="M392" s="6" t="s">
        <v>127</v>
      </c>
    </row>
    <row r="393" spans="2:13" ht="12.75">
      <c r="B393" s="146">
        <v>311043</v>
      </c>
      <c r="C393" s="143">
        <v>49</v>
      </c>
      <c r="D393" s="145" t="s">
        <v>968</v>
      </c>
      <c r="E393" s="145"/>
      <c r="F393" s="145"/>
      <c r="G393" s="6" t="s">
        <v>968</v>
      </c>
      <c r="H393" s="6" t="s">
        <v>869</v>
      </c>
      <c r="I393" s="6" t="s">
        <v>858</v>
      </c>
      <c r="J393" s="6" t="s">
        <v>969</v>
      </c>
      <c r="K393" s="6" t="s">
        <v>360</v>
      </c>
      <c r="L393" s="6" t="s">
        <v>871</v>
      </c>
      <c r="M393" s="6" t="s">
        <v>127</v>
      </c>
    </row>
    <row r="394" spans="2:13" ht="12.75">
      <c r="B394" s="146">
        <v>311044</v>
      </c>
      <c r="C394" s="143">
        <v>49</v>
      </c>
      <c r="D394" s="145" t="s">
        <v>970</v>
      </c>
      <c r="E394" s="145"/>
      <c r="F394" s="145"/>
      <c r="G394" s="6" t="s">
        <v>970</v>
      </c>
      <c r="H394" s="6" t="s">
        <v>869</v>
      </c>
      <c r="I394" s="6" t="s">
        <v>858</v>
      </c>
      <c r="J394" s="6" t="s">
        <v>971</v>
      </c>
      <c r="K394" s="6" t="s">
        <v>360</v>
      </c>
      <c r="L394" s="6" t="s">
        <v>871</v>
      </c>
      <c r="M394" s="6" t="s">
        <v>127</v>
      </c>
    </row>
    <row r="395" spans="2:13" ht="12.75">
      <c r="B395" s="146">
        <v>311045</v>
      </c>
      <c r="C395" s="143">
        <v>49</v>
      </c>
      <c r="D395" s="145" t="s">
        <v>972</v>
      </c>
      <c r="E395" s="145"/>
      <c r="F395" s="145"/>
      <c r="G395" s="6" t="s">
        <v>972</v>
      </c>
      <c r="H395" s="6" t="s">
        <v>869</v>
      </c>
      <c r="I395" s="6" t="s">
        <v>858</v>
      </c>
      <c r="J395" s="6" t="s">
        <v>973</v>
      </c>
      <c r="K395" s="6" t="s">
        <v>360</v>
      </c>
      <c r="L395" s="6" t="s">
        <v>871</v>
      </c>
      <c r="M395" s="6" t="s">
        <v>127</v>
      </c>
    </row>
    <row r="396" spans="2:13" ht="12.75">
      <c r="B396" s="146">
        <v>311046</v>
      </c>
      <c r="C396" s="143">
        <v>49</v>
      </c>
      <c r="D396" s="145" t="s">
        <v>974</v>
      </c>
      <c r="E396" s="145"/>
      <c r="F396" s="145"/>
      <c r="G396" s="6" t="s">
        <v>974</v>
      </c>
      <c r="H396" s="6" t="s">
        <v>869</v>
      </c>
      <c r="I396" s="6" t="s">
        <v>858</v>
      </c>
      <c r="J396" s="6" t="s">
        <v>975</v>
      </c>
      <c r="K396" s="6" t="s">
        <v>360</v>
      </c>
      <c r="L396" s="6" t="s">
        <v>871</v>
      </c>
      <c r="M396" s="6" t="s">
        <v>127</v>
      </c>
    </row>
    <row r="397" spans="2:13" ht="12.75">
      <c r="B397" s="146">
        <v>311047</v>
      </c>
      <c r="C397" s="143">
        <v>49</v>
      </c>
      <c r="D397" s="145" t="s">
        <v>976</v>
      </c>
      <c r="E397" s="145"/>
      <c r="F397" s="145"/>
      <c r="G397" s="6" t="s">
        <v>977</v>
      </c>
      <c r="H397" s="6" t="s">
        <v>869</v>
      </c>
      <c r="I397" s="6" t="s">
        <v>858</v>
      </c>
      <c r="J397" s="6" t="s">
        <v>978</v>
      </c>
      <c r="K397" s="6" t="s">
        <v>360</v>
      </c>
      <c r="L397" s="6" t="s">
        <v>871</v>
      </c>
      <c r="M397" s="6" t="s">
        <v>127</v>
      </c>
    </row>
    <row r="398" spans="2:13" ht="12.75">
      <c r="B398" s="146">
        <v>311048</v>
      </c>
      <c r="C398" s="143">
        <v>49</v>
      </c>
      <c r="D398" s="145" t="s">
        <v>979</v>
      </c>
      <c r="E398" s="145"/>
      <c r="F398" s="145"/>
      <c r="G398" s="6" t="s">
        <v>979</v>
      </c>
      <c r="H398" s="6" t="s">
        <v>869</v>
      </c>
      <c r="I398" s="6" t="s">
        <v>858</v>
      </c>
      <c r="J398" s="6" t="s">
        <v>980</v>
      </c>
      <c r="K398" s="6" t="s">
        <v>360</v>
      </c>
      <c r="L398" s="6" t="s">
        <v>871</v>
      </c>
      <c r="M398" s="6" t="s">
        <v>127</v>
      </c>
    </row>
    <row r="399" spans="2:13" ht="12.75">
      <c r="B399" s="146">
        <v>311049</v>
      </c>
      <c r="C399" s="143">
        <v>49</v>
      </c>
      <c r="D399" s="145" t="s">
        <v>981</v>
      </c>
      <c r="E399" s="145"/>
      <c r="F399" s="145"/>
      <c r="G399" s="6" t="s">
        <v>981</v>
      </c>
      <c r="H399" s="6" t="s">
        <v>869</v>
      </c>
      <c r="I399" s="6" t="s">
        <v>858</v>
      </c>
      <c r="J399" s="6" t="s">
        <v>982</v>
      </c>
      <c r="K399" s="6" t="s">
        <v>360</v>
      </c>
      <c r="L399" s="6" t="s">
        <v>871</v>
      </c>
      <c r="M399" s="6" t="s">
        <v>127</v>
      </c>
    </row>
    <row r="400" spans="2:13" ht="12.75">
      <c r="B400" s="146">
        <v>311050</v>
      </c>
      <c r="C400" s="143">
        <v>49</v>
      </c>
      <c r="D400" s="145" t="s">
        <v>983</v>
      </c>
      <c r="E400" s="145"/>
      <c r="F400" s="145"/>
      <c r="G400" s="6" t="s">
        <v>984</v>
      </c>
      <c r="H400" s="6" t="s">
        <v>869</v>
      </c>
      <c r="I400" s="6" t="s">
        <v>858</v>
      </c>
      <c r="J400" s="6" t="s">
        <v>985</v>
      </c>
      <c r="K400" s="6" t="s">
        <v>360</v>
      </c>
      <c r="L400" s="6" t="s">
        <v>871</v>
      </c>
      <c r="M400" s="6" t="s">
        <v>127</v>
      </c>
    </row>
    <row r="401" spans="2:13" ht="12.75">
      <c r="B401" s="146">
        <v>311051</v>
      </c>
      <c r="C401" s="143">
        <v>49</v>
      </c>
      <c r="D401" s="145" t="s">
        <v>986</v>
      </c>
      <c r="E401" s="145"/>
      <c r="F401" s="145"/>
      <c r="G401" s="6" t="s">
        <v>987</v>
      </c>
      <c r="H401" s="6" t="s">
        <v>869</v>
      </c>
      <c r="I401" s="6" t="s">
        <v>858</v>
      </c>
      <c r="J401" s="6" t="s">
        <v>988</v>
      </c>
      <c r="K401" s="6" t="s">
        <v>360</v>
      </c>
      <c r="L401" s="6" t="s">
        <v>871</v>
      </c>
      <c r="M401" s="6" t="s">
        <v>127</v>
      </c>
    </row>
    <row r="402" spans="2:13" ht="12.75">
      <c r="B402" s="146">
        <v>311052</v>
      </c>
      <c r="C402" s="143">
        <v>49</v>
      </c>
      <c r="D402" s="145" t="s">
        <v>989</v>
      </c>
      <c r="E402" s="145"/>
      <c r="F402" s="145"/>
      <c r="G402" s="6" t="s">
        <v>990</v>
      </c>
      <c r="H402" s="6" t="s">
        <v>869</v>
      </c>
      <c r="I402" s="6" t="s">
        <v>858</v>
      </c>
      <c r="J402" s="6" t="s">
        <v>991</v>
      </c>
      <c r="K402" s="6" t="s">
        <v>360</v>
      </c>
      <c r="L402" s="6" t="s">
        <v>871</v>
      </c>
      <c r="M402" s="6" t="s">
        <v>127</v>
      </c>
    </row>
    <row r="403" spans="2:13" ht="12.75">
      <c r="B403" s="146">
        <v>311053</v>
      </c>
      <c r="C403" s="143">
        <v>49</v>
      </c>
      <c r="D403" s="145" t="s">
        <v>992</v>
      </c>
      <c r="E403" s="145"/>
      <c r="F403" s="145"/>
      <c r="G403" s="6" t="s">
        <v>993</v>
      </c>
      <c r="H403" s="6" t="s">
        <v>869</v>
      </c>
      <c r="I403" s="6" t="s">
        <v>858</v>
      </c>
      <c r="J403" s="6" t="s">
        <v>994</v>
      </c>
      <c r="K403" s="6" t="s">
        <v>360</v>
      </c>
      <c r="L403" s="6" t="s">
        <v>871</v>
      </c>
      <c r="M403" s="6" t="s">
        <v>127</v>
      </c>
    </row>
    <row r="404" spans="2:13" ht="12.75">
      <c r="B404" s="146">
        <v>311054</v>
      </c>
      <c r="C404" s="143">
        <v>49</v>
      </c>
      <c r="D404" s="145" t="s">
        <v>995</v>
      </c>
      <c r="E404" s="145"/>
      <c r="F404" s="145"/>
      <c r="G404" s="6" t="s">
        <v>995</v>
      </c>
      <c r="H404" s="6" t="s">
        <v>869</v>
      </c>
      <c r="I404" s="6" t="s">
        <v>858</v>
      </c>
      <c r="J404" s="6" t="s">
        <v>996</v>
      </c>
      <c r="K404" s="6" t="s">
        <v>360</v>
      </c>
      <c r="L404" s="6" t="s">
        <v>871</v>
      </c>
      <c r="M404" s="6" t="s">
        <v>127</v>
      </c>
    </row>
    <row r="405" spans="2:13" ht="12.75">
      <c r="B405" s="146">
        <v>311055</v>
      </c>
      <c r="C405" s="143">
        <v>49</v>
      </c>
      <c r="D405" s="145" t="s">
        <v>997</v>
      </c>
      <c r="E405" s="145"/>
      <c r="F405" s="145"/>
      <c r="G405" s="6" t="s">
        <v>997</v>
      </c>
      <c r="H405" s="6" t="s">
        <v>869</v>
      </c>
      <c r="I405" s="6" t="s">
        <v>858</v>
      </c>
      <c r="J405" s="6" t="s">
        <v>998</v>
      </c>
      <c r="K405" s="6" t="s">
        <v>360</v>
      </c>
      <c r="L405" s="6" t="s">
        <v>871</v>
      </c>
      <c r="M405" s="6" t="s">
        <v>127</v>
      </c>
    </row>
    <row r="406" spans="2:13" ht="12.75">
      <c r="B406" s="146">
        <v>311056</v>
      </c>
      <c r="C406" s="143">
        <v>49</v>
      </c>
      <c r="D406" s="145" t="s">
        <v>999</v>
      </c>
      <c r="E406" s="145"/>
      <c r="F406" s="145"/>
      <c r="G406" s="6" t="s">
        <v>1000</v>
      </c>
      <c r="H406" s="6" t="s">
        <v>869</v>
      </c>
      <c r="I406" s="6" t="s">
        <v>858</v>
      </c>
      <c r="J406" s="6" t="s">
        <v>1001</v>
      </c>
      <c r="K406" s="6" t="s">
        <v>360</v>
      </c>
      <c r="L406" s="6" t="s">
        <v>871</v>
      </c>
      <c r="M406" s="6" t="s">
        <v>127</v>
      </c>
    </row>
    <row r="407" spans="2:13" ht="12.75">
      <c r="B407" s="146">
        <v>311057</v>
      </c>
      <c r="C407" s="143">
        <v>49</v>
      </c>
      <c r="D407" s="145" t="s">
        <v>1002</v>
      </c>
      <c r="E407" s="145"/>
      <c r="F407" s="145"/>
      <c r="G407" s="155" t="s">
        <v>1002</v>
      </c>
      <c r="H407" s="6" t="s">
        <v>869</v>
      </c>
      <c r="I407" s="6" t="s">
        <v>858</v>
      </c>
      <c r="J407" s="6" t="s">
        <v>1003</v>
      </c>
      <c r="K407" s="6" t="s">
        <v>360</v>
      </c>
      <c r="L407" s="6" t="s">
        <v>871</v>
      </c>
      <c r="M407" s="6" t="s">
        <v>127</v>
      </c>
    </row>
    <row r="408" spans="2:13" ht="12.75">
      <c r="B408" s="146">
        <v>311058</v>
      </c>
      <c r="C408" s="143">
        <v>49</v>
      </c>
      <c r="D408" s="145" t="s">
        <v>1004</v>
      </c>
      <c r="E408" s="145"/>
      <c r="F408" s="145"/>
      <c r="G408" s="6" t="s">
        <v>1004</v>
      </c>
      <c r="H408" s="6" t="s">
        <v>869</v>
      </c>
      <c r="I408" s="6" t="s">
        <v>858</v>
      </c>
      <c r="J408" s="6" t="s">
        <v>1005</v>
      </c>
      <c r="K408" s="6" t="s">
        <v>360</v>
      </c>
      <c r="L408" s="6" t="s">
        <v>871</v>
      </c>
      <c r="M408" s="6" t="s">
        <v>127</v>
      </c>
    </row>
    <row r="409" spans="2:13" ht="12.75">
      <c r="B409" s="146">
        <v>311059</v>
      </c>
      <c r="C409" s="143">
        <v>49</v>
      </c>
      <c r="D409" s="145" t="s">
        <v>1006</v>
      </c>
      <c r="E409" s="145"/>
      <c r="F409" s="145"/>
      <c r="G409" s="6" t="s">
        <v>1006</v>
      </c>
      <c r="H409" s="6" t="s">
        <v>869</v>
      </c>
      <c r="I409" s="6" t="s">
        <v>858</v>
      </c>
      <c r="J409" s="6" t="s">
        <v>1007</v>
      </c>
      <c r="K409" s="6" t="s">
        <v>360</v>
      </c>
      <c r="L409" s="6" t="s">
        <v>871</v>
      </c>
      <c r="M409" s="6" t="s">
        <v>127</v>
      </c>
    </row>
    <row r="410" spans="2:13" ht="12.75">
      <c r="B410" s="146">
        <v>311060</v>
      </c>
      <c r="C410" s="143">
        <v>49</v>
      </c>
      <c r="D410" s="145" t="s">
        <v>1008</v>
      </c>
      <c r="E410" s="145"/>
      <c r="F410" s="145"/>
      <c r="G410" s="6" t="s">
        <v>1008</v>
      </c>
      <c r="H410" s="6" t="s">
        <v>869</v>
      </c>
      <c r="I410" s="6" t="s">
        <v>858</v>
      </c>
      <c r="J410" s="6" t="s">
        <v>1009</v>
      </c>
      <c r="K410" s="6" t="s">
        <v>360</v>
      </c>
      <c r="L410" s="6" t="s">
        <v>871</v>
      </c>
      <c r="M410" s="6" t="s">
        <v>127</v>
      </c>
    </row>
    <row r="411" spans="2:13" ht="12.75">
      <c r="B411" s="146">
        <v>311061</v>
      </c>
      <c r="C411" s="143">
        <v>49</v>
      </c>
      <c r="D411" s="145" t="s">
        <v>1010</v>
      </c>
      <c r="E411" s="145"/>
      <c r="F411" s="145"/>
      <c r="K411" s="6" t="s">
        <v>360</v>
      </c>
      <c r="L411" s="6" t="s">
        <v>871</v>
      </c>
      <c r="M411" s="6" t="s">
        <v>127</v>
      </c>
    </row>
    <row r="412" spans="2:13" ht="12.75">
      <c r="B412" s="146">
        <v>311062</v>
      </c>
      <c r="C412" s="143">
        <v>49</v>
      </c>
      <c r="D412" s="145" t="s">
        <v>1011</v>
      </c>
      <c r="E412" s="145"/>
      <c r="F412" s="145"/>
      <c r="G412" s="6" t="s">
        <v>1012</v>
      </c>
      <c r="H412" s="6" t="s">
        <v>869</v>
      </c>
      <c r="I412" s="6" t="s">
        <v>858</v>
      </c>
      <c r="J412" s="6" t="s">
        <v>1013</v>
      </c>
      <c r="K412" s="6" t="s">
        <v>360</v>
      </c>
      <c r="L412" s="6" t="s">
        <v>871</v>
      </c>
      <c r="M412" s="6" t="s">
        <v>127</v>
      </c>
    </row>
    <row r="413" spans="2:13" ht="12.75">
      <c r="B413" s="146">
        <v>311063</v>
      </c>
      <c r="C413" s="143">
        <v>49</v>
      </c>
      <c r="D413" s="145" t="s">
        <v>1014</v>
      </c>
      <c r="E413" s="145"/>
      <c r="F413" s="145"/>
      <c r="G413" s="6" t="s">
        <v>1015</v>
      </c>
      <c r="H413" s="6" t="s">
        <v>869</v>
      </c>
      <c r="I413" s="6" t="s">
        <v>858</v>
      </c>
      <c r="J413" s="6" t="s">
        <v>1016</v>
      </c>
      <c r="K413" s="6" t="s">
        <v>360</v>
      </c>
      <c r="L413" s="6" t="s">
        <v>871</v>
      </c>
      <c r="M413" s="6" t="s">
        <v>127</v>
      </c>
    </row>
    <row r="414" spans="2:13" ht="12.75">
      <c r="B414" s="146">
        <v>311064</v>
      </c>
      <c r="C414" s="143">
        <v>49</v>
      </c>
      <c r="D414" s="145" t="s">
        <v>1017</v>
      </c>
      <c r="E414" s="145"/>
      <c r="F414" s="145"/>
      <c r="G414" s="6" t="s">
        <v>1018</v>
      </c>
      <c r="H414" s="6" t="s">
        <v>869</v>
      </c>
      <c r="I414" s="6" t="s">
        <v>858</v>
      </c>
      <c r="J414" s="6" t="s">
        <v>1019</v>
      </c>
      <c r="K414" s="6" t="s">
        <v>360</v>
      </c>
      <c r="L414" s="6" t="s">
        <v>871</v>
      </c>
      <c r="M414" s="6" t="s">
        <v>127</v>
      </c>
    </row>
    <row r="415" spans="2:13" ht="12.75">
      <c r="B415" s="146">
        <v>311065</v>
      </c>
      <c r="C415" s="143">
        <v>49</v>
      </c>
      <c r="D415" s="145" t="s">
        <v>1020</v>
      </c>
      <c r="E415" s="145"/>
      <c r="F415" s="145"/>
      <c r="G415" s="6" t="s">
        <v>1021</v>
      </c>
      <c r="H415" s="6" t="s">
        <v>869</v>
      </c>
      <c r="I415" s="6" t="s">
        <v>858</v>
      </c>
      <c r="J415" s="6" t="s">
        <v>1022</v>
      </c>
      <c r="K415" s="6" t="s">
        <v>360</v>
      </c>
      <c r="L415" s="6" t="s">
        <v>871</v>
      </c>
      <c r="M415" s="6" t="s">
        <v>127</v>
      </c>
    </row>
    <row r="416" spans="2:13" ht="12.75">
      <c r="B416" s="146">
        <v>311066</v>
      </c>
      <c r="C416" s="143">
        <v>49</v>
      </c>
      <c r="D416" s="145" t="s">
        <v>1023</v>
      </c>
      <c r="E416" s="145"/>
      <c r="F416" s="145"/>
      <c r="G416" s="6" t="s">
        <v>1024</v>
      </c>
      <c r="H416" s="6" t="s">
        <v>869</v>
      </c>
      <c r="I416" s="6" t="s">
        <v>858</v>
      </c>
      <c r="J416" s="6" t="s">
        <v>1025</v>
      </c>
      <c r="K416" s="6" t="s">
        <v>360</v>
      </c>
      <c r="L416" s="6" t="s">
        <v>871</v>
      </c>
      <c r="M416" s="6" t="s">
        <v>127</v>
      </c>
    </row>
    <row r="417" spans="2:13" ht="12.75">
      <c r="B417" s="146">
        <v>311067</v>
      </c>
      <c r="C417" s="143">
        <v>49</v>
      </c>
      <c r="D417" s="145" t="s">
        <v>1026</v>
      </c>
      <c r="E417" s="145"/>
      <c r="F417" s="145"/>
      <c r="G417" s="6" t="s">
        <v>1027</v>
      </c>
      <c r="H417" s="6" t="s">
        <v>869</v>
      </c>
      <c r="I417" s="6" t="s">
        <v>858</v>
      </c>
      <c r="J417" s="6" t="s">
        <v>1028</v>
      </c>
      <c r="K417" s="6" t="s">
        <v>360</v>
      </c>
      <c r="L417" s="6" t="s">
        <v>871</v>
      </c>
      <c r="M417" s="6" t="s">
        <v>127</v>
      </c>
    </row>
    <row r="418" spans="2:13" ht="12.75">
      <c r="B418" s="146">
        <v>311068</v>
      </c>
      <c r="C418" s="143">
        <v>49</v>
      </c>
      <c r="D418" s="145" t="s">
        <v>1029</v>
      </c>
      <c r="E418" s="145"/>
      <c r="F418" s="145"/>
      <c r="G418" s="6" t="s">
        <v>1030</v>
      </c>
      <c r="H418" s="6" t="s">
        <v>869</v>
      </c>
      <c r="I418" s="6" t="s">
        <v>858</v>
      </c>
      <c r="J418" s="6" t="s">
        <v>1031</v>
      </c>
      <c r="K418" s="6" t="s">
        <v>360</v>
      </c>
      <c r="L418" s="6" t="s">
        <v>871</v>
      </c>
      <c r="M418" s="6" t="s">
        <v>127</v>
      </c>
    </row>
    <row r="419" spans="2:13" ht="12.75">
      <c r="B419" s="146">
        <v>311069</v>
      </c>
      <c r="C419" s="143">
        <v>49</v>
      </c>
      <c r="D419" s="145" t="s">
        <v>1032</v>
      </c>
      <c r="E419" s="145"/>
      <c r="F419" s="145"/>
      <c r="G419" s="6" t="s">
        <v>1033</v>
      </c>
      <c r="H419" s="6" t="s">
        <v>869</v>
      </c>
      <c r="I419" s="6" t="s">
        <v>858</v>
      </c>
      <c r="J419" s="6" t="s">
        <v>1034</v>
      </c>
      <c r="K419" s="6" t="s">
        <v>360</v>
      </c>
      <c r="L419" s="6" t="s">
        <v>871</v>
      </c>
      <c r="M419" s="6" t="s">
        <v>127</v>
      </c>
    </row>
    <row r="420" spans="2:13" ht="12.75">
      <c r="B420" s="146">
        <v>311070</v>
      </c>
      <c r="C420" s="143">
        <v>49</v>
      </c>
      <c r="D420" s="145" t="s">
        <v>1035</v>
      </c>
      <c r="E420" s="145"/>
      <c r="F420" s="145"/>
      <c r="G420" s="6" t="s">
        <v>1035</v>
      </c>
      <c r="H420" s="6" t="s">
        <v>869</v>
      </c>
      <c r="I420" s="6" t="s">
        <v>858</v>
      </c>
      <c r="J420" s="6" t="s">
        <v>1036</v>
      </c>
      <c r="K420" s="6" t="s">
        <v>360</v>
      </c>
      <c r="L420" s="6" t="s">
        <v>871</v>
      </c>
      <c r="M420" s="6" t="s">
        <v>127</v>
      </c>
    </row>
    <row r="421" spans="2:13" ht="12.75">
      <c r="B421" s="146">
        <v>311071</v>
      </c>
      <c r="C421" s="143">
        <v>49</v>
      </c>
      <c r="D421" s="145" t="s">
        <v>1037</v>
      </c>
      <c r="E421" s="145"/>
      <c r="F421" s="145"/>
      <c r="G421" s="6" t="s">
        <v>1037</v>
      </c>
      <c r="H421" s="6" t="s">
        <v>869</v>
      </c>
      <c r="I421" s="6" t="s">
        <v>858</v>
      </c>
      <c r="J421" s="6" t="s">
        <v>1038</v>
      </c>
      <c r="K421" s="6" t="s">
        <v>360</v>
      </c>
      <c r="L421" s="6" t="s">
        <v>871</v>
      </c>
      <c r="M421" s="6" t="s">
        <v>127</v>
      </c>
    </row>
    <row r="422" spans="2:13" ht="12.75">
      <c r="B422" s="146">
        <v>311072</v>
      </c>
      <c r="C422" s="143">
        <v>49</v>
      </c>
      <c r="D422" s="145" t="s">
        <v>1039</v>
      </c>
      <c r="E422" s="145"/>
      <c r="F422" s="145"/>
      <c r="K422" s="6" t="s">
        <v>360</v>
      </c>
      <c r="L422" s="6" t="s">
        <v>871</v>
      </c>
      <c r="M422" s="6" t="s">
        <v>127</v>
      </c>
    </row>
    <row r="423" spans="2:13" ht="12.75">
      <c r="B423" s="146">
        <v>311073</v>
      </c>
      <c r="C423" s="143">
        <v>49</v>
      </c>
      <c r="D423" s="145" t="s">
        <v>1040</v>
      </c>
      <c r="E423" s="145"/>
      <c r="F423" s="145"/>
      <c r="K423" s="6" t="s">
        <v>360</v>
      </c>
      <c r="L423" s="6" t="s">
        <v>871</v>
      </c>
      <c r="M423" s="6" t="s">
        <v>127</v>
      </c>
    </row>
    <row r="424" spans="2:13" ht="12.75">
      <c r="B424" s="146">
        <v>311074</v>
      </c>
      <c r="C424" s="143">
        <v>49</v>
      </c>
      <c r="D424" s="145" t="s">
        <v>1041</v>
      </c>
      <c r="E424" s="145"/>
      <c r="F424" s="145"/>
      <c r="K424" s="6" t="s">
        <v>360</v>
      </c>
      <c r="L424" s="6" t="s">
        <v>871</v>
      </c>
      <c r="M424" s="6" t="s">
        <v>127</v>
      </c>
    </row>
    <row r="425" spans="2:13" ht="12.75">
      <c r="B425" s="146">
        <v>311075</v>
      </c>
      <c r="C425" s="143">
        <v>49</v>
      </c>
      <c r="D425" s="145" t="s">
        <v>1042</v>
      </c>
      <c r="E425" s="145"/>
      <c r="F425" s="145"/>
      <c r="G425" s="6" t="s">
        <v>1043</v>
      </c>
      <c r="H425" s="6" t="s">
        <v>869</v>
      </c>
      <c r="I425" s="6" t="s">
        <v>858</v>
      </c>
      <c r="J425" s="6" t="s">
        <v>1044</v>
      </c>
      <c r="K425" s="6" t="s">
        <v>360</v>
      </c>
      <c r="L425" s="6" t="s">
        <v>871</v>
      </c>
      <c r="M425" s="6" t="s">
        <v>127</v>
      </c>
    </row>
    <row r="426" spans="2:13" ht="12.75">
      <c r="B426" s="146">
        <v>311076</v>
      </c>
      <c r="C426" s="143">
        <v>49</v>
      </c>
      <c r="D426" s="145" t="s">
        <v>1045</v>
      </c>
      <c r="E426" s="145"/>
      <c r="F426" s="145"/>
      <c r="G426" s="6" t="s">
        <v>1046</v>
      </c>
      <c r="H426" s="6" t="s">
        <v>869</v>
      </c>
      <c r="I426" s="6" t="s">
        <v>858</v>
      </c>
      <c r="J426" s="6" t="s">
        <v>1047</v>
      </c>
      <c r="K426" s="6" t="s">
        <v>360</v>
      </c>
      <c r="L426" s="6" t="s">
        <v>871</v>
      </c>
      <c r="M426" s="6" t="s">
        <v>127</v>
      </c>
    </row>
    <row r="427" spans="2:13" ht="12.75">
      <c r="B427" s="146">
        <v>311077</v>
      </c>
      <c r="C427" s="143">
        <v>49</v>
      </c>
      <c r="D427" s="145" t="s">
        <v>1048</v>
      </c>
      <c r="E427" s="145"/>
      <c r="F427" s="145"/>
      <c r="G427" s="6" t="s">
        <v>1049</v>
      </c>
      <c r="H427" s="6" t="s">
        <v>869</v>
      </c>
      <c r="I427" s="6" t="s">
        <v>858</v>
      </c>
      <c r="J427" s="6" t="s">
        <v>1050</v>
      </c>
      <c r="K427" s="6" t="s">
        <v>360</v>
      </c>
      <c r="L427" s="6" t="s">
        <v>871</v>
      </c>
      <c r="M427" s="6" t="s">
        <v>127</v>
      </c>
    </row>
    <row r="428" spans="2:13" ht="12.75">
      <c r="B428" s="146">
        <v>311078</v>
      </c>
      <c r="C428" s="143">
        <v>49</v>
      </c>
      <c r="D428" s="145" t="s">
        <v>1043</v>
      </c>
      <c r="E428" s="145"/>
      <c r="F428" s="145"/>
      <c r="G428" s="6" t="s">
        <v>1042</v>
      </c>
      <c r="H428" s="6" t="s">
        <v>869</v>
      </c>
      <c r="I428" s="6" t="s">
        <v>858</v>
      </c>
      <c r="J428" s="6" t="s">
        <v>1051</v>
      </c>
      <c r="K428" s="6" t="s">
        <v>360</v>
      </c>
      <c r="L428" s="6" t="s">
        <v>871</v>
      </c>
      <c r="M428" s="6" t="s">
        <v>127</v>
      </c>
    </row>
    <row r="429" spans="2:13" ht="12.75">
      <c r="B429" s="146">
        <v>311079</v>
      </c>
      <c r="C429" s="143">
        <v>49</v>
      </c>
      <c r="D429" s="145" t="s">
        <v>1052</v>
      </c>
      <c r="E429" s="145"/>
      <c r="F429" s="145"/>
      <c r="G429" s="6" t="s">
        <v>1052</v>
      </c>
      <c r="H429" s="6" t="s">
        <v>869</v>
      </c>
      <c r="I429" s="6" t="s">
        <v>858</v>
      </c>
      <c r="J429" s="6" t="s">
        <v>1053</v>
      </c>
      <c r="K429" s="6" t="s">
        <v>360</v>
      </c>
      <c r="L429" s="6" t="s">
        <v>871</v>
      </c>
      <c r="M429" s="6" t="s">
        <v>127</v>
      </c>
    </row>
    <row r="430" spans="2:13" ht="12.75">
      <c r="B430" s="146">
        <v>311080</v>
      </c>
      <c r="C430" s="143">
        <v>49</v>
      </c>
      <c r="D430" s="145" t="s">
        <v>1054</v>
      </c>
      <c r="E430" s="145"/>
      <c r="F430" s="145"/>
      <c r="G430" s="6" t="s">
        <v>1055</v>
      </c>
      <c r="H430" s="6" t="s">
        <v>869</v>
      </c>
      <c r="I430" s="6" t="s">
        <v>858</v>
      </c>
      <c r="J430" s="6" t="s">
        <v>1056</v>
      </c>
      <c r="K430" s="6" t="s">
        <v>360</v>
      </c>
      <c r="L430" s="6" t="s">
        <v>871</v>
      </c>
      <c r="M430" s="6" t="s">
        <v>127</v>
      </c>
    </row>
    <row r="431" spans="2:13" ht="12.75">
      <c r="B431" s="146">
        <v>311081</v>
      </c>
      <c r="C431" s="143">
        <v>49</v>
      </c>
      <c r="D431" s="145" t="s">
        <v>1057</v>
      </c>
      <c r="E431" s="145"/>
      <c r="F431" s="145"/>
      <c r="G431" s="6" t="s">
        <v>1058</v>
      </c>
      <c r="H431" s="6" t="s">
        <v>869</v>
      </c>
      <c r="I431" s="6" t="s">
        <v>858</v>
      </c>
      <c r="J431" s="6" t="s">
        <v>1059</v>
      </c>
      <c r="K431" s="6" t="s">
        <v>360</v>
      </c>
      <c r="L431" s="6" t="s">
        <v>871</v>
      </c>
      <c r="M431" s="6" t="s">
        <v>127</v>
      </c>
    </row>
    <row r="432" spans="2:13" ht="12.75">
      <c r="B432" s="146">
        <v>311082</v>
      </c>
      <c r="C432" s="143">
        <v>49</v>
      </c>
      <c r="D432" s="145" t="s">
        <v>1060</v>
      </c>
      <c r="E432" s="145"/>
      <c r="F432" s="145"/>
      <c r="G432" s="6" t="s">
        <v>1061</v>
      </c>
      <c r="H432" s="6" t="s">
        <v>869</v>
      </c>
      <c r="I432" s="6" t="s">
        <v>858</v>
      </c>
      <c r="J432" s="6" t="s">
        <v>1062</v>
      </c>
      <c r="K432" s="6" t="s">
        <v>360</v>
      </c>
      <c r="L432" s="6" t="s">
        <v>871</v>
      </c>
      <c r="M432" s="6" t="s">
        <v>127</v>
      </c>
    </row>
    <row r="433" spans="1:14" ht="12.75">
      <c r="B433" s="146">
        <v>311083</v>
      </c>
      <c r="C433" s="143">
        <v>49</v>
      </c>
      <c r="D433" s="145" t="s">
        <v>1063</v>
      </c>
      <c r="E433" s="145"/>
      <c r="F433" s="145"/>
      <c r="G433" s="155" t="s">
        <v>1063</v>
      </c>
      <c r="H433" s="6" t="s">
        <v>869</v>
      </c>
      <c r="I433" s="6" t="s">
        <v>858</v>
      </c>
      <c r="J433" s="6" t="s">
        <v>1064</v>
      </c>
    </row>
    <row r="434" spans="1:14" ht="12.75">
      <c r="B434" s="146">
        <v>311084</v>
      </c>
      <c r="C434" s="143">
        <v>49</v>
      </c>
      <c r="D434" s="145" t="s">
        <v>1065</v>
      </c>
      <c r="E434" s="145"/>
      <c r="F434" s="145"/>
      <c r="G434" s="155" t="s">
        <v>1066</v>
      </c>
      <c r="H434" s="6" t="s">
        <v>869</v>
      </c>
      <c r="I434" s="6" t="s">
        <v>858</v>
      </c>
      <c r="J434" s="6" t="s">
        <v>1067</v>
      </c>
    </row>
    <row r="435" spans="1:14" ht="12.75">
      <c r="B435" s="146">
        <v>311085</v>
      </c>
      <c r="C435" s="143">
        <v>49</v>
      </c>
      <c r="D435" s="145" t="s">
        <v>1068</v>
      </c>
      <c r="E435" s="145"/>
      <c r="F435" s="145"/>
      <c r="G435" s="155" t="s">
        <v>1069</v>
      </c>
      <c r="H435" s="6" t="s">
        <v>869</v>
      </c>
      <c r="I435" s="6" t="s">
        <v>858</v>
      </c>
      <c r="J435" s="6" t="s">
        <v>1070</v>
      </c>
    </row>
    <row r="436" spans="1:14" ht="12.75">
      <c r="B436" s="146">
        <v>311086</v>
      </c>
      <c r="C436" s="143">
        <v>49</v>
      </c>
      <c r="D436" s="145" t="s">
        <v>1071</v>
      </c>
      <c r="E436" s="145"/>
      <c r="F436" s="145"/>
      <c r="G436" s="155" t="s">
        <v>1072</v>
      </c>
      <c r="H436" s="6" t="s">
        <v>869</v>
      </c>
      <c r="I436" s="6" t="s">
        <v>858</v>
      </c>
      <c r="J436" s="6" t="s">
        <v>1073</v>
      </c>
    </row>
    <row r="437" spans="1:14" ht="12.75">
      <c r="B437" s="146">
        <v>311087</v>
      </c>
      <c r="C437" s="143">
        <v>49</v>
      </c>
      <c r="D437" s="145" t="s">
        <v>1074</v>
      </c>
      <c r="E437" s="145"/>
      <c r="F437" s="145"/>
      <c r="G437" s="155" t="s">
        <v>1075</v>
      </c>
      <c r="H437" s="6" t="s">
        <v>869</v>
      </c>
      <c r="I437" s="6" t="s">
        <v>858</v>
      </c>
      <c r="J437" s="6" t="s">
        <v>1076</v>
      </c>
    </row>
    <row r="438" spans="1:14" ht="12.75">
      <c r="B438" s="146">
        <v>311088</v>
      </c>
      <c r="C438" s="143">
        <v>49</v>
      </c>
      <c r="D438" s="145" t="s">
        <v>1077</v>
      </c>
      <c r="E438" s="145"/>
      <c r="F438" s="145"/>
      <c r="G438" s="155" t="s">
        <v>1078</v>
      </c>
      <c r="H438" s="6" t="s">
        <v>869</v>
      </c>
      <c r="I438" s="6" t="s">
        <v>858</v>
      </c>
      <c r="J438" s="6" t="s">
        <v>1079</v>
      </c>
    </row>
    <row r="439" spans="1:14" ht="12.75">
      <c r="B439" s="146">
        <v>311089</v>
      </c>
      <c r="C439" s="143">
        <v>49</v>
      </c>
      <c r="D439" s="145" t="s">
        <v>1080</v>
      </c>
      <c r="E439" s="145"/>
      <c r="F439" s="145"/>
      <c r="G439" s="155" t="s">
        <v>1081</v>
      </c>
      <c r="H439" s="6" t="s">
        <v>869</v>
      </c>
      <c r="I439" s="6" t="s">
        <v>858</v>
      </c>
      <c r="J439" s="6" t="s">
        <v>1082</v>
      </c>
    </row>
    <row r="440" spans="1:14" ht="12.75">
      <c r="B440" s="146">
        <v>311090</v>
      </c>
      <c r="C440" s="143">
        <v>49</v>
      </c>
      <c r="D440" s="145" t="s">
        <v>1083</v>
      </c>
      <c r="E440" s="145"/>
      <c r="F440" s="145"/>
      <c r="G440" s="155" t="s">
        <v>1084</v>
      </c>
      <c r="H440" s="6" t="s">
        <v>869</v>
      </c>
      <c r="I440" s="6" t="s">
        <v>858</v>
      </c>
      <c r="J440" s="6" t="s">
        <v>1085</v>
      </c>
    </row>
    <row r="441" spans="1:14" ht="12.75">
      <c r="B441" s="146"/>
      <c r="D441" s="145"/>
      <c r="E441" s="145"/>
      <c r="F441" s="145"/>
      <c r="G441" s="155" t="s">
        <v>1086</v>
      </c>
      <c r="H441" s="6" t="s">
        <v>869</v>
      </c>
      <c r="I441" s="6" t="s">
        <v>858</v>
      </c>
      <c r="J441" s="6" t="s">
        <v>1087</v>
      </c>
    </row>
    <row r="442" spans="1:14">
      <c r="N442" s="6" t="s">
        <v>1088</v>
      </c>
    </row>
    <row r="443" spans="1:14">
      <c r="A443" s="6" t="s">
        <v>1089</v>
      </c>
    </row>
    <row r="444" spans="1:14" ht="12.75">
      <c r="B444" s="147" t="s">
        <v>1090</v>
      </c>
      <c r="C444" s="138" t="s">
        <v>1091</v>
      </c>
      <c r="D444" s="151" t="s">
        <v>1092</v>
      </c>
      <c r="E444" s="151"/>
      <c r="F444" s="151"/>
      <c r="G444" s="6" t="s">
        <v>1093</v>
      </c>
      <c r="H444" s="6" t="s">
        <v>1094</v>
      </c>
      <c r="I444" s="6" t="s">
        <v>1095</v>
      </c>
      <c r="J444" s="6" t="s">
        <v>1096</v>
      </c>
      <c r="K444" s="6" t="s">
        <v>1097</v>
      </c>
      <c r="L444" s="6" t="s">
        <v>871</v>
      </c>
      <c r="M444" s="6" t="s">
        <v>127</v>
      </c>
    </row>
    <row r="445" spans="1:14" ht="12.75">
      <c r="B445" s="147" t="s">
        <v>1098</v>
      </c>
      <c r="C445" s="138" t="s">
        <v>1099</v>
      </c>
      <c r="D445" s="151" t="s">
        <v>1100</v>
      </c>
      <c r="E445" s="151"/>
      <c r="F445" s="151"/>
      <c r="G445" s="6" t="s">
        <v>1101</v>
      </c>
      <c r="H445" s="6" t="s">
        <v>1102</v>
      </c>
      <c r="I445" s="6" t="s">
        <v>1103</v>
      </c>
      <c r="J445" s="6" t="s">
        <v>1104</v>
      </c>
      <c r="K445" s="6" t="s">
        <v>208</v>
      </c>
      <c r="L445" s="6" t="s">
        <v>1105</v>
      </c>
    </row>
    <row r="446" spans="1:14" ht="12.75">
      <c r="B446" s="138" t="s">
        <v>1106</v>
      </c>
      <c r="C446" s="138" t="s">
        <v>1099</v>
      </c>
      <c r="D446" s="151" t="s">
        <v>1107</v>
      </c>
      <c r="E446" s="151"/>
      <c r="F446" s="151"/>
      <c r="G446" s="6" t="s">
        <v>1108</v>
      </c>
      <c r="H446" s="6" t="s">
        <v>1102</v>
      </c>
      <c r="I446" s="6" t="s">
        <v>1103</v>
      </c>
      <c r="J446" s="6" t="s">
        <v>1109</v>
      </c>
      <c r="K446" s="6" t="s">
        <v>208</v>
      </c>
      <c r="L446" s="6" t="s">
        <v>1110</v>
      </c>
      <c r="M446" s="6" t="s">
        <v>190</v>
      </c>
    </row>
    <row r="447" spans="1:14" ht="12.75">
      <c r="B447" s="138" t="s">
        <v>1111</v>
      </c>
      <c r="C447" s="138" t="s">
        <v>1099</v>
      </c>
      <c r="D447" s="151" t="s">
        <v>1112</v>
      </c>
      <c r="E447" s="151"/>
      <c r="F447" s="151"/>
      <c r="G447" s="6" t="s">
        <v>1113</v>
      </c>
      <c r="H447" s="6" t="s">
        <v>1102</v>
      </c>
      <c r="I447" s="6" t="s">
        <v>1103</v>
      </c>
      <c r="J447" s="6" t="s">
        <v>1114</v>
      </c>
      <c r="K447" s="6" t="s">
        <v>208</v>
      </c>
      <c r="L447" s="6" t="s">
        <v>190</v>
      </c>
      <c r="M447" s="6" t="s">
        <v>1088</v>
      </c>
    </row>
    <row r="448" spans="1:14" ht="12.75">
      <c r="B448" s="138" t="s">
        <v>1115</v>
      </c>
      <c r="C448" s="138" t="s">
        <v>1099</v>
      </c>
      <c r="D448" s="151" t="s">
        <v>1116</v>
      </c>
      <c r="E448" s="151"/>
      <c r="F448" s="151"/>
      <c r="G448" s="6" t="s">
        <v>1117</v>
      </c>
      <c r="H448" s="6" t="s">
        <v>1102</v>
      </c>
      <c r="I448" s="6" t="s">
        <v>1103</v>
      </c>
      <c r="J448" s="6" t="s">
        <v>1118</v>
      </c>
      <c r="K448" s="6" t="s">
        <v>208</v>
      </c>
      <c r="L448" s="6" t="s">
        <v>190</v>
      </c>
      <c r="M448" s="6" t="s">
        <v>1088</v>
      </c>
    </row>
    <row r="449" spans="1:13" ht="12.75">
      <c r="B449" s="138" t="s">
        <v>1119</v>
      </c>
      <c r="C449" s="138" t="s">
        <v>1099</v>
      </c>
      <c r="D449" s="151" t="s">
        <v>1120</v>
      </c>
      <c r="E449" s="151"/>
      <c r="F449" s="151"/>
      <c r="G449" s="6" t="s">
        <v>1121</v>
      </c>
      <c r="H449" s="6" t="s">
        <v>1102</v>
      </c>
      <c r="I449" s="6" t="s">
        <v>1103</v>
      </c>
      <c r="J449" s="6" t="s">
        <v>1122</v>
      </c>
      <c r="K449" s="6" t="s">
        <v>208</v>
      </c>
      <c r="L449" s="6" t="s">
        <v>190</v>
      </c>
      <c r="M449" s="6" t="s">
        <v>1088</v>
      </c>
    </row>
    <row r="450" spans="1:13" ht="12.75">
      <c r="B450" s="138" t="s">
        <v>1123</v>
      </c>
      <c r="C450" s="138" t="s">
        <v>1099</v>
      </c>
      <c r="D450" s="151" t="s">
        <v>1124</v>
      </c>
      <c r="E450" s="151"/>
      <c r="F450" s="151"/>
      <c r="G450" s="6" t="s">
        <v>1125</v>
      </c>
      <c r="H450" s="6" t="s">
        <v>1102</v>
      </c>
      <c r="I450" s="6" t="s">
        <v>1103</v>
      </c>
      <c r="J450" s="6" t="s">
        <v>1126</v>
      </c>
      <c r="K450" s="6" t="s">
        <v>208</v>
      </c>
      <c r="L450" s="6" t="s">
        <v>190</v>
      </c>
      <c r="M450" s="6" t="s">
        <v>1088</v>
      </c>
    </row>
    <row r="451" spans="1:13" ht="12.75">
      <c r="B451" s="138" t="s">
        <v>1127</v>
      </c>
      <c r="C451" s="138" t="s">
        <v>1099</v>
      </c>
      <c r="D451" s="151" t="s">
        <v>1128</v>
      </c>
      <c r="E451" s="151"/>
      <c r="F451" s="151"/>
      <c r="G451" s="6" t="s">
        <v>1129</v>
      </c>
      <c r="H451" s="6" t="s">
        <v>1102</v>
      </c>
      <c r="I451" s="6" t="s">
        <v>1103</v>
      </c>
      <c r="J451" s="6" t="s">
        <v>1130</v>
      </c>
      <c r="K451" s="6" t="s">
        <v>208</v>
      </c>
      <c r="L451" s="6" t="s">
        <v>190</v>
      </c>
      <c r="M451" s="6" t="s">
        <v>1088</v>
      </c>
    </row>
    <row r="452" spans="1:13" ht="12.75">
      <c r="B452" s="138" t="s">
        <v>1131</v>
      </c>
      <c r="C452" s="138" t="s">
        <v>1099</v>
      </c>
      <c r="D452" s="151" t="s">
        <v>1132</v>
      </c>
      <c r="E452" s="151"/>
      <c r="F452" s="151"/>
      <c r="G452" s="6" t="s">
        <v>1133</v>
      </c>
      <c r="H452" s="6" t="s">
        <v>1102</v>
      </c>
      <c r="I452" s="6" t="s">
        <v>1103</v>
      </c>
      <c r="J452" s="6" t="s">
        <v>1134</v>
      </c>
      <c r="K452" s="6" t="s">
        <v>208</v>
      </c>
      <c r="L452" s="6" t="s">
        <v>190</v>
      </c>
      <c r="M452" s="6" t="s">
        <v>1088</v>
      </c>
    </row>
    <row r="453" spans="1:13" ht="12.75">
      <c r="B453" s="138" t="s">
        <v>1135</v>
      </c>
      <c r="C453" s="138" t="s">
        <v>1099</v>
      </c>
      <c r="D453" s="151" t="s">
        <v>1136</v>
      </c>
      <c r="E453" s="151"/>
      <c r="F453" s="151"/>
      <c r="G453" s="6" t="s">
        <v>1137</v>
      </c>
      <c r="H453" s="6" t="s">
        <v>1102</v>
      </c>
      <c r="I453" s="6" t="s">
        <v>1103</v>
      </c>
      <c r="J453" s="6" t="s">
        <v>1138</v>
      </c>
      <c r="K453" s="6" t="s">
        <v>208</v>
      </c>
      <c r="L453" s="6" t="s">
        <v>190</v>
      </c>
      <c r="M453" s="6" t="s">
        <v>1088</v>
      </c>
    </row>
    <row r="454" spans="1:13" ht="12.75">
      <c r="B454" s="138" t="s">
        <v>1139</v>
      </c>
      <c r="C454" s="138" t="s">
        <v>1099</v>
      </c>
      <c r="D454" s="151" t="s">
        <v>1140</v>
      </c>
      <c r="E454" s="151"/>
      <c r="F454" s="151"/>
      <c r="G454" s="6" t="s">
        <v>1141</v>
      </c>
      <c r="H454" s="6" t="s">
        <v>1102</v>
      </c>
      <c r="I454" s="6" t="s">
        <v>1103</v>
      </c>
      <c r="J454" s="6" t="s">
        <v>1142</v>
      </c>
      <c r="K454" s="6" t="s">
        <v>208</v>
      </c>
      <c r="L454" s="6" t="s">
        <v>190</v>
      </c>
      <c r="M454" s="6" t="s">
        <v>1088</v>
      </c>
    </row>
    <row r="455" spans="1:13">
      <c r="L455" s="6" t="s">
        <v>190</v>
      </c>
      <c r="M455" s="6" t="s">
        <v>1088</v>
      </c>
    </row>
    <row r="456" spans="1:13">
      <c r="A456" s="6" t="s">
        <v>1143</v>
      </c>
    </row>
    <row r="457" spans="1:13" ht="12.75">
      <c r="B457" s="138" t="s">
        <v>1144</v>
      </c>
      <c r="C457" s="153" t="s">
        <v>1145</v>
      </c>
      <c r="D457" s="151" t="s">
        <v>1146</v>
      </c>
      <c r="E457" s="151"/>
      <c r="F457" s="151"/>
    </row>
    <row r="458" spans="1:13" ht="12.75">
      <c r="B458" s="138" t="s">
        <v>1147</v>
      </c>
      <c r="C458" s="153" t="s">
        <v>1145</v>
      </c>
      <c r="D458" s="151" t="s">
        <v>1148</v>
      </c>
      <c r="E458" s="151"/>
      <c r="F458" s="151"/>
    </row>
    <row r="459" spans="1:13" ht="12.75">
      <c r="B459" s="138" t="s">
        <v>1149</v>
      </c>
      <c r="C459" s="153" t="s">
        <v>1145</v>
      </c>
      <c r="D459" s="151" t="s">
        <v>1150</v>
      </c>
      <c r="E459" s="151"/>
      <c r="F459" s="151"/>
    </row>
    <row r="460" spans="1:13" ht="12.75">
      <c r="B460" s="138" t="s">
        <v>1151</v>
      </c>
      <c r="C460" s="153" t="s">
        <v>1145</v>
      </c>
      <c r="D460" s="151" t="s">
        <v>1152</v>
      </c>
      <c r="E460" s="151"/>
      <c r="F460" s="151"/>
    </row>
    <row r="461" spans="1:13" ht="12.75">
      <c r="B461" s="138" t="s">
        <v>1153</v>
      </c>
      <c r="C461" s="153" t="s">
        <v>1145</v>
      </c>
      <c r="D461" s="151" t="s">
        <v>1154</v>
      </c>
      <c r="E461" s="151"/>
      <c r="F461" s="151"/>
    </row>
    <row r="462" spans="1:13" ht="12.75">
      <c r="B462" s="138" t="s">
        <v>1155</v>
      </c>
      <c r="C462" s="153" t="s">
        <v>1145</v>
      </c>
      <c r="D462" s="151" t="s">
        <v>1156</v>
      </c>
      <c r="E462" s="151"/>
      <c r="F462" s="151"/>
    </row>
    <row r="463" spans="1:13" ht="12.75">
      <c r="B463" s="138" t="s">
        <v>1157</v>
      </c>
      <c r="C463" s="153" t="s">
        <v>1145</v>
      </c>
      <c r="D463" s="151" t="s">
        <v>1158</v>
      </c>
      <c r="E463" s="151"/>
      <c r="F463" s="151"/>
    </row>
    <row r="464" spans="1:13" ht="12.75">
      <c r="B464" s="138" t="s">
        <v>1159</v>
      </c>
      <c r="C464" s="153" t="s">
        <v>1145</v>
      </c>
      <c r="D464" s="151" t="s">
        <v>1160</v>
      </c>
      <c r="E464" s="151"/>
      <c r="F464" s="151"/>
    </row>
    <row r="465" spans="1:10" ht="12.75">
      <c r="B465" s="138" t="s">
        <v>1161</v>
      </c>
      <c r="C465" s="153" t="s">
        <v>1145</v>
      </c>
      <c r="D465" s="151" t="s">
        <v>1162</v>
      </c>
      <c r="E465" s="151"/>
      <c r="F465" s="151"/>
    </row>
    <row r="468" spans="1:10">
      <c r="A468" s="6" t="s">
        <v>1163</v>
      </c>
    </row>
    <row r="469" spans="1:10">
      <c r="D469" s="143" t="s">
        <v>816</v>
      </c>
      <c r="G469" s="6" t="s">
        <v>1164</v>
      </c>
      <c r="H469" s="6" t="s">
        <v>1165</v>
      </c>
      <c r="I469" s="6" t="s">
        <v>1166</v>
      </c>
      <c r="J469" s="6" t="s">
        <v>1167</v>
      </c>
    </row>
    <row r="472" spans="1:10">
      <c r="A472" s="6" t="s">
        <v>1168</v>
      </c>
    </row>
    <row r="473" spans="1:10" ht="12.75">
      <c r="B473" s="147" t="s">
        <v>1169</v>
      </c>
      <c r="C473" s="138" t="s">
        <v>1170</v>
      </c>
      <c r="D473" s="151" t="s">
        <v>871</v>
      </c>
      <c r="E473" s="151"/>
      <c r="F473" s="151"/>
      <c r="G473" s="6" t="s">
        <v>871</v>
      </c>
      <c r="H473" s="6" t="s">
        <v>871</v>
      </c>
      <c r="I473" s="6" t="s">
        <v>1171</v>
      </c>
      <c r="J473" s="6" t="s">
        <v>1172</v>
      </c>
    </row>
    <row r="474" spans="1:10" ht="12.75">
      <c r="B474" s="138" t="s">
        <v>1173</v>
      </c>
      <c r="C474" s="138" t="s">
        <v>1174</v>
      </c>
      <c r="D474" s="151" t="s">
        <v>1175</v>
      </c>
      <c r="E474" s="151"/>
      <c r="F474" s="151"/>
      <c r="G474" s="6" t="s">
        <v>1175</v>
      </c>
    </row>
    <row r="475" spans="1:10" ht="12.75">
      <c r="B475" s="147" t="s">
        <v>1176</v>
      </c>
      <c r="C475" s="138" t="s">
        <v>1177</v>
      </c>
      <c r="D475" s="156" t="s">
        <v>1178</v>
      </c>
      <c r="E475" s="156"/>
      <c r="F475" s="156"/>
      <c r="G475" s="6" t="s">
        <v>1179</v>
      </c>
      <c r="H475" s="6" t="s">
        <v>1180</v>
      </c>
      <c r="I475" s="6" t="s">
        <v>1181</v>
      </c>
      <c r="J475" s="6" t="s">
        <v>1182</v>
      </c>
    </row>
    <row r="476" spans="1:10">
      <c r="B476" s="138" t="s">
        <v>1183</v>
      </c>
      <c r="C476" s="138" t="s">
        <v>1177</v>
      </c>
      <c r="D476" s="156" t="s">
        <v>1184</v>
      </c>
      <c r="E476" s="156"/>
      <c r="F476" s="156"/>
      <c r="G476" s="6" t="s">
        <v>1185</v>
      </c>
      <c r="H476" s="6" t="s">
        <v>1180</v>
      </c>
      <c r="I476" s="6" t="s">
        <v>1181</v>
      </c>
      <c r="J476" s="6" t="s">
        <v>1186</v>
      </c>
    </row>
    <row r="477" spans="1:10">
      <c r="B477" s="138" t="s">
        <v>1187</v>
      </c>
      <c r="C477" s="138" t="s">
        <v>1177</v>
      </c>
      <c r="D477" s="156" t="s">
        <v>1188</v>
      </c>
      <c r="E477" s="156"/>
      <c r="F477" s="156"/>
      <c r="G477" s="6" t="s">
        <v>1189</v>
      </c>
      <c r="H477" s="6" t="s">
        <v>1180</v>
      </c>
      <c r="I477" s="6" t="s">
        <v>1181</v>
      </c>
      <c r="J477" s="6" t="s">
        <v>1190</v>
      </c>
    </row>
    <row r="478" spans="1:10">
      <c r="B478" s="138" t="s">
        <v>1191</v>
      </c>
      <c r="C478" s="138" t="s">
        <v>1177</v>
      </c>
      <c r="D478" s="156" t="s">
        <v>1192</v>
      </c>
      <c r="E478" s="156"/>
      <c r="F478" s="156"/>
      <c r="G478" s="6" t="s">
        <v>1193</v>
      </c>
      <c r="H478" s="6" t="s">
        <v>1180</v>
      </c>
      <c r="I478" s="6" t="s">
        <v>1181</v>
      </c>
      <c r="J478" s="6" t="s">
        <v>1194</v>
      </c>
    </row>
    <row r="479" spans="1:10">
      <c r="B479" s="138" t="s">
        <v>1195</v>
      </c>
      <c r="C479" s="138" t="s">
        <v>1177</v>
      </c>
      <c r="D479" s="156" t="s">
        <v>1196</v>
      </c>
      <c r="E479" s="156"/>
      <c r="F479" s="156"/>
      <c r="G479" s="6" t="s">
        <v>1197</v>
      </c>
      <c r="H479" s="6" t="s">
        <v>1180</v>
      </c>
      <c r="I479" s="6" t="s">
        <v>1181</v>
      </c>
      <c r="J479" s="6" t="s">
        <v>1198</v>
      </c>
    </row>
    <row r="481" spans="2:12">
      <c r="D481" s="143" t="s">
        <v>816</v>
      </c>
      <c r="G481" s="6" t="s">
        <v>1199</v>
      </c>
      <c r="H481" s="6" t="s">
        <v>1200</v>
      </c>
      <c r="I481" s="6" t="s">
        <v>1201</v>
      </c>
      <c r="J481" s="6" t="s">
        <v>1202</v>
      </c>
      <c r="K481" s="6" t="s">
        <v>1203</v>
      </c>
    </row>
    <row r="482" spans="2:12">
      <c r="D482" s="143" t="s">
        <v>816</v>
      </c>
      <c r="G482" s="6" t="s">
        <v>1204</v>
      </c>
      <c r="H482" s="6" t="s">
        <v>1200</v>
      </c>
      <c r="I482" s="6" t="s">
        <v>1201</v>
      </c>
      <c r="J482" s="6" t="s">
        <v>1202</v>
      </c>
      <c r="K482" s="6" t="s">
        <v>1203</v>
      </c>
      <c r="L482" s="6" t="s">
        <v>360</v>
      </c>
    </row>
    <row r="483" spans="2:12">
      <c r="L483" s="6" t="s">
        <v>360</v>
      </c>
    </row>
    <row r="484" spans="2:12" ht="12.75">
      <c r="B484" s="147" t="s">
        <v>1205</v>
      </c>
      <c r="C484" s="147" t="s">
        <v>1206</v>
      </c>
      <c r="D484" s="148" t="s">
        <v>1207</v>
      </c>
      <c r="E484" s="148"/>
      <c r="F484" s="148"/>
      <c r="G484" s="6" t="s">
        <v>1208</v>
      </c>
      <c r="H484" s="6" t="s">
        <v>1209</v>
      </c>
      <c r="I484" s="6" t="s">
        <v>1210</v>
      </c>
      <c r="J484" s="6" t="s">
        <v>1211</v>
      </c>
    </row>
    <row r="485" spans="2:12" ht="12.75">
      <c r="B485" s="147" t="s">
        <v>1212</v>
      </c>
      <c r="C485" s="147" t="s">
        <v>1206</v>
      </c>
      <c r="D485" s="148" t="s">
        <v>1213</v>
      </c>
      <c r="E485" s="148"/>
      <c r="F485" s="148"/>
      <c r="G485" s="6" t="s">
        <v>1214</v>
      </c>
      <c r="H485" s="6" t="s">
        <v>1209</v>
      </c>
      <c r="I485" s="6" t="s">
        <v>1210</v>
      </c>
      <c r="J485" s="6" t="s">
        <v>1215</v>
      </c>
    </row>
    <row r="486" spans="2:12" ht="12.75">
      <c r="B486" s="147" t="s">
        <v>1216</v>
      </c>
      <c r="C486" s="147" t="s">
        <v>1217</v>
      </c>
      <c r="D486" s="148" t="s">
        <v>1218</v>
      </c>
      <c r="E486" s="148"/>
      <c r="F486" s="148"/>
      <c r="G486" s="6" t="s">
        <v>1219</v>
      </c>
      <c r="H486" s="6" t="s">
        <v>1220</v>
      </c>
      <c r="I486" s="6" t="s">
        <v>1210</v>
      </c>
      <c r="J486" s="6" t="s">
        <v>1221</v>
      </c>
    </row>
    <row r="488" spans="2:12">
      <c r="D488" s="143" t="s">
        <v>816</v>
      </c>
      <c r="G488" s="6" t="s">
        <v>1222</v>
      </c>
      <c r="H488" s="6" t="s">
        <v>1223</v>
      </c>
      <c r="I488" s="6" t="s">
        <v>1224</v>
      </c>
      <c r="J488" s="6" t="s">
        <v>1225</v>
      </c>
    </row>
    <row r="490" spans="2:12">
      <c r="D490" s="143" t="s">
        <v>1226</v>
      </c>
      <c r="G490" s="6" t="s">
        <v>1227</v>
      </c>
    </row>
    <row r="491" spans="2:12">
      <c r="D491" s="143" t="s">
        <v>1226</v>
      </c>
      <c r="G491" s="6" t="s">
        <v>1228</v>
      </c>
    </row>
    <row r="493" spans="2:12">
      <c r="B493" s="143">
        <v>337009</v>
      </c>
      <c r="C493" s="143">
        <v>4518</v>
      </c>
      <c r="D493" s="143" t="s">
        <v>1229</v>
      </c>
      <c r="G493" s="6" t="s">
        <v>1229</v>
      </c>
    </row>
    <row r="497" spans="1:1">
      <c r="A497" s="6" t="s">
        <v>1230</v>
      </c>
    </row>
  </sheetData>
  <phoneticPr fontId="28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J341"/>
  <sheetViews>
    <sheetView topLeftCell="A53" workbookViewId="0">
      <selection activeCell="B79" sqref="B79:B81"/>
    </sheetView>
  </sheetViews>
  <sheetFormatPr defaultColWidth="9" defaultRowHeight="12"/>
  <cols>
    <col min="1" max="1" width="10.875" style="6" customWidth="1"/>
    <col min="2" max="2" width="14.125" style="6" customWidth="1"/>
    <col min="3" max="3" width="7.625" style="6" customWidth="1"/>
    <col min="4" max="4" width="6.625" style="6" customWidth="1"/>
    <col min="5" max="5" width="8" style="6" customWidth="1"/>
    <col min="6" max="6" width="6.375" style="6" customWidth="1"/>
    <col min="7" max="7" width="8" style="6" customWidth="1"/>
    <col min="8" max="8" width="6.625" style="6" customWidth="1"/>
    <col min="9" max="9" width="8" style="6" customWidth="1"/>
    <col min="10" max="10" width="8.375" style="6" customWidth="1"/>
    <col min="11" max="11" width="8" style="6" customWidth="1"/>
    <col min="12" max="12" width="11.375" style="6" customWidth="1"/>
    <col min="13" max="13" width="8" style="6" customWidth="1"/>
    <col min="14" max="14" width="6.625" style="6" customWidth="1"/>
    <col min="15" max="15" width="8" style="6" customWidth="1"/>
    <col min="16" max="16" width="11" style="6" customWidth="1"/>
    <col min="17" max="17" width="8" style="6" customWidth="1"/>
    <col min="18" max="18" width="6.625" style="6" customWidth="1"/>
    <col min="19" max="19" width="8" style="6" customWidth="1"/>
    <col min="20" max="20" width="6.625" style="6" customWidth="1"/>
    <col min="21" max="21" width="9" style="6" customWidth="1"/>
    <col min="22" max="22" width="11.875" style="6" customWidth="1"/>
    <col min="23" max="23" width="9" style="6" customWidth="1"/>
    <col min="24" max="24" width="10" style="6" customWidth="1"/>
    <col min="25" max="25" width="9" style="6" customWidth="1"/>
    <col min="26" max="26" width="6.625" style="6" customWidth="1"/>
    <col min="27" max="27" width="9" style="6" customWidth="1"/>
    <col min="28" max="106" width="6.625" style="6" customWidth="1"/>
    <col min="107" max="16384" width="9" style="6"/>
  </cols>
  <sheetData>
    <row r="1" spans="1:114" s="121" customFormat="1" ht="12.75">
      <c r="A1" s="121" t="s">
        <v>1</v>
      </c>
      <c r="B1" s="125" t="s">
        <v>1231</v>
      </c>
      <c r="C1" s="126" t="s">
        <v>1232</v>
      </c>
      <c r="D1" s="127" t="s">
        <v>1233</v>
      </c>
      <c r="E1" s="121" t="s">
        <v>1234</v>
      </c>
      <c r="F1" s="127" t="s">
        <v>1235</v>
      </c>
      <c r="G1" s="121" t="s">
        <v>1236</v>
      </c>
      <c r="H1" s="127" t="s">
        <v>1237</v>
      </c>
      <c r="I1" s="121" t="s">
        <v>1238</v>
      </c>
      <c r="J1" s="127" t="s">
        <v>1239</v>
      </c>
      <c r="K1" s="121" t="s">
        <v>1240</v>
      </c>
      <c r="L1" s="127" t="s">
        <v>1241</v>
      </c>
      <c r="M1" s="121" t="s">
        <v>1242</v>
      </c>
      <c r="N1" s="127" t="s">
        <v>1243</v>
      </c>
      <c r="O1" s="121" t="s">
        <v>1244</v>
      </c>
      <c r="P1" s="127" t="s">
        <v>1245</v>
      </c>
      <c r="Q1" s="121" t="s">
        <v>1246</v>
      </c>
      <c r="R1" s="127" t="s">
        <v>1247</v>
      </c>
      <c r="S1" s="121" t="s">
        <v>1248</v>
      </c>
      <c r="T1" s="127" t="s">
        <v>1249</v>
      </c>
      <c r="U1" s="121" t="s">
        <v>1250</v>
      </c>
      <c r="V1" s="127" t="s">
        <v>1251</v>
      </c>
      <c r="W1" s="121" t="s">
        <v>1252</v>
      </c>
      <c r="X1" s="127" t="s">
        <v>1253</v>
      </c>
      <c r="Y1" s="121" t="s">
        <v>1254</v>
      </c>
      <c r="Z1" s="127" t="s">
        <v>1255</v>
      </c>
      <c r="AA1" s="121" t="s">
        <v>1256</v>
      </c>
      <c r="AB1" s="127" t="s">
        <v>1257</v>
      </c>
      <c r="AC1" s="121" t="s">
        <v>1258</v>
      </c>
      <c r="AD1" s="127" t="s">
        <v>1259</v>
      </c>
      <c r="AE1" s="121" t="s">
        <v>1260</v>
      </c>
      <c r="AF1" s="127" t="s">
        <v>1261</v>
      </c>
      <c r="AG1" s="121" t="s">
        <v>1262</v>
      </c>
      <c r="AH1" s="127" t="s">
        <v>1263</v>
      </c>
      <c r="AI1" s="121" t="s">
        <v>1264</v>
      </c>
      <c r="AJ1" s="127" t="s">
        <v>1265</v>
      </c>
      <c r="AK1" s="121" t="s">
        <v>1266</v>
      </c>
      <c r="AL1" s="127" t="s">
        <v>1267</v>
      </c>
      <c r="AM1" s="121" t="s">
        <v>1268</v>
      </c>
      <c r="AN1" s="127" t="s">
        <v>1269</v>
      </c>
      <c r="AO1" s="121" t="s">
        <v>1270</v>
      </c>
      <c r="AP1" s="127" t="s">
        <v>1271</v>
      </c>
      <c r="AQ1" s="121" t="s">
        <v>1272</v>
      </c>
      <c r="AR1" s="127" t="s">
        <v>1273</v>
      </c>
      <c r="AS1" s="121" t="s">
        <v>1274</v>
      </c>
      <c r="AT1" s="127" t="s">
        <v>1275</v>
      </c>
      <c r="AU1" s="121" t="s">
        <v>1276</v>
      </c>
      <c r="AV1" s="127" t="s">
        <v>1277</v>
      </c>
      <c r="AW1" s="121" t="s">
        <v>1278</v>
      </c>
      <c r="AX1" s="127" t="s">
        <v>1279</v>
      </c>
      <c r="AY1" s="121" t="s">
        <v>1280</v>
      </c>
      <c r="AZ1" s="127" t="s">
        <v>1281</v>
      </c>
      <c r="BA1" s="121" t="s">
        <v>1282</v>
      </c>
      <c r="BB1" s="127" t="s">
        <v>1283</v>
      </c>
      <c r="BC1" s="121" t="s">
        <v>1284</v>
      </c>
      <c r="BD1" s="127" t="s">
        <v>1285</v>
      </c>
      <c r="BE1" s="121" t="s">
        <v>1286</v>
      </c>
      <c r="BF1" s="127" t="s">
        <v>1287</v>
      </c>
      <c r="BG1" s="121" t="s">
        <v>1288</v>
      </c>
      <c r="BH1" s="127" t="s">
        <v>1289</v>
      </c>
      <c r="BI1" s="121" t="s">
        <v>1290</v>
      </c>
      <c r="BJ1" s="127" t="s">
        <v>1291</v>
      </c>
      <c r="BK1" s="121" t="s">
        <v>1292</v>
      </c>
      <c r="BL1" s="127" t="s">
        <v>1293</v>
      </c>
      <c r="BM1" s="121" t="s">
        <v>1294</v>
      </c>
      <c r="BN1" s="127" t="s">
        <v>1295</v>
      </c>
      <c r="BO1" s="121" t="s">
        <v>1296</v>
      </c>
      <c r="BP1" s="127" t="s">
        <v>1297</v>
      </c>
      <c r="BQ1" s="121" t="s">
        <v>1298</v>
      </c>
      <c r="BR1" s="127" t="s">
        <v>1299</v>
      </c>
      <c r="BS1" s="121" t="s">
        <v>1300</v>
      </c>
      <c r="BT1" s="127" t="s">
        <v>1301</v>
      </c>
      <c r="BU1" s="121" t="s">
        <v>1302</v>
      </c>
      <c r="BV1" s="127" t="s">
        <v>1303</v>
      </c>
      <c r="BW1" s="121" t="s">
        <v>1304</v>
      </c>
      <c r="BX1" s="127" t="s">
        <v>1305</v>
      </c>
      <c r="BY1" s="121" t="s">
        <v>1306</v>
      </c>
      <c r="BZ1" s="127" t="s">
        <v>1307</v>
      </c>
      <c r="CA1" s="121" t="s">
        <v>1308</v>
      </c>
      <c r="CB1" s="127" t="s">
        <v>1309</v>
      </c>
      <c r="CC1" s="121" t="s">
        <v>1310</v>
      </c>
      <c r="CD1" s="127" t="s">
        <v>1311</v>
      </c>
      <c r="CE1" s="121" t="s">
        <v>1312</v>
      </c>
      <c r="CF1" s="127" t="s">
        <v>1313</v>
      </c>
      <c r="CG1" s="121" t="s">
        <v>1314</v>
      </c>
      <c r="CH1" s="127" t="s">
        <v>1315</v>
      </c>
      <c r="CI1" s="121" t="s">
        <v>1316</v>
      </c>
      <c r="CJ1" s="127" t="s">
        <v>1317</v>
      </c>
      <c r="CK1" s="121" t="s">
        <v>1318</v>
      </c>
      <c r="CL1" s="127" t="s">
        <v>1319</v>
      </c>
      <c r="CM1" s="121" t="s">
        <v>1320</v>
      </c>
      <c r="CN1" s="127" t="s">
        <v>1321</v>
      </c>
      <c r="CO1" s="121" t="s">
        <v>1322</v>
      </c>
      <c r="CP1" s="127" t="s">
        <v>1323</v>
      </c>
      <c r="CQ1" s="121" t="s">
        <v>1324</v>
      </c>
      <c r="CR1" s="127" t="s">
        <v>1325</v>
      </c>
      <c r="CS1" s="121" t="s">
        <v>1326</v>
      </c>
      <c r="CT1" s="127" t="s">
        <v>1327</v>
      </c>
      <c r="CU1" s="121" t="s">
        <v>1328</v>
      </c>
      <c r="CV1" s="127" t="s">
        <v>1329</v>
      </c>
      <c r="CW1" s="121" t="s">
        <v>1330</v>
      </c>
      <c r="CX1" s="127" t="s">
        <v>1331</v>
      </c>
      <c r="CY1" s="121" t="s">
        <v>1332</v>
      </c>
      <c r="CZ1" s="127" t="s">
        <v>1333</v>
      </c>
      <c r="DA1" s="121" t="s">
        <v>1334</v>
      </c>
      <c r="DB1" s="127" t="s">
        <v>1335</v>
      </c>
      <c r="DC1" s="121" t="s">
        <v>1336</v>
      </c>
      <c r="DD1" s="127" t="s">
        <v>1337</v>
      </c>
      <c r="DE1" s="121" t="s">
        <v>1338</v>
      </c>
      <c r="DF1" s="127" t="s">
        <v>1339</v>
      </c>
      <c r="DG1" s="121" t="s">
        <v>1340</v>
      </c>
      <c r="DH1" s="127" t="s">
        <v>1341</v>
      </c>
      <c r="DI1" s="121" t="s">
        <v>1342</v>
      </c>
      <c r="DJ1" s="127" t="s">
        <v>1343</v>
      </c>
    </row>
    <row r="2" spans="1:114" s="122" customFormat="1" ht="12.75">
      <c r="A2" s="128">
        <v>200008</v>
      </c>
      <c r="B2" s="129" t="s">
        <v>1344</v>
      </c>
      <c r="C2" s="130">
        <v>331300</v>
      </c>
      <c r="D2" s="123">
        <v>100</v>
      </c>
      <c r="F2" s="123"/>
      <c r="H2" s="123"/>
      <c r="J2" s="123"/>
      <c r="L2" s="123"/>
      <c r="N2" s="123"/>
      <c r="P2" s="123"/>
    </row>
    <row r="3" spans="1:114" s="122" customFormat="1" ht="12.75">
      <c r="A3" s="128">
        <v>200009</v>
      </c>
      <c r="B3" s="129" t="s">
        <v>1345</v>
      </c>
      <c r="C3" s="130">
        <v>331350</v>
      </c>
      <c r="D3" s="123">
        <v>20</v>
      </c>
      <c r="E3" s="130">
        <v>331351</v>
      </c>
      <c r="F3" s="123">
        <v>20</v>
      </c>
      <c r="G3" s="130">
        <v>331352</v>
      </c>
      <c r="H3" s="123">
        <v>50</v>
      </c>
      <c r="I3" s="130">
        <v>331353</v>
      </c>
      <c r="J3" s="123">
        <v>100</v>
      </c>
      <c r="K3" s="130">
        <v>331354</v>
      </c>
      <c r="L3" s="123">
        <v>100</v>
      </c>
      <c r="M3" s="128">
        <v>35001</v>
      </c>
      <c r="N3" s="123">
        <v>500</v>
      </c>
      <c r="O3" s="128">
        <v>35002</v>
      </c>
      <c r="P3" s="123">
        <v>500</v>
      </c>
      <c r="Q3" s="128">
        <v>35003</v>
      </c>
      <c r="R3" s="123">
        <v>500</v>
      </c>
      <c r="S3" s="128">
        <v>35004</v>
      </c>
      <c r="T3" s="123">
        <v>500</v>
      </c>
      <c r="U3" s="128">
        <v>35005</v>
      </c>
      <c r="V3" s="123">
        <v>500</v>
      </c>
      <c r="W3" s="128">
        <v>35006</v>
      </c>
      <c r="X3" s="123">
        <v>500</v>
      </c>
      <c r="Y3" s="128">
        <v>35007</v>
      </c>
      <c r="Z3" s="123">
        <v>500</v>
      </c>
      <c r="AA3" s="128">
        <v>35008</v>
      </c>
      <c r="AB3" s="123">
        <v>500</v>
      </c>
      <c r="AC3" s="128">
        <v>35009</v>
      </c>
      <c r="AD3" s="123">
        <v>500</v>
      </c>
      <c r="AF3" s="128"/>
      <c r="AH3" s="128"/>
      <c r="AJ3" s="128"/>
      <c r="AL3" s="128"/>
      <c r="AN3" s="128"/>
      <c r="AP3" s="128"/>
      <c r="AR3" s="128"/>
      <c r="AT3" s="128"/>
      <c r="AV3" s="128"/>
      <c r="AX3" s="128"/>
      <c r="AZ3" s="128"/>
      <c r="BB3" s="128"/>
      <c r="BD3" s="128"/>
      <c r="BF3" s="128"/>
      <c r="BH3" s="128"/>
      <c r="BJ3" s="128"/>
      <c r="BL3" s="128"/>
      <c r="BN3" s="128"/>
      <c r="BP3" s="128"/>
      <c r="BR3" s="128"/>
      <c r="BT3" s="128"/>
      <c r="BV3" s="128"/>
      <c r="BX3" s="128"/>
      <c r="BZ3" s="128"/>
      <c r="CB3" s="128"/>
      <c r="CD3" s="128"/>
      <c r="CF3" s="128"/>
      <c r="CH3" s="128"/>
      <c r="CJ3" s="128"/>
      <c r="CL3" s="128"/>
      <c r="CN3" s="128"/>
      <c r="CP3" s="128"/>
      <c r="CR3" s="128"/>
      <c r="CT3" s="128"/>
      <c r="CV3" s="128"/>
      <c r="CX3" s="128"/>
      <c r="CZ3" s="128"/>
      <c r="DB3" s="128"/>
      <c r="DD3" s="128"/>
      <c r="DF3" s="128"/>
      <c r="DH3" s="128"/>
      <c r="DJ3" s="128"/>
    </row>
    <row r="4" spans="1:114" s="122" customFormat="1">
      <c r="A4" s="128">
        <v>200010</v>
      </c>
      <c r="B4" s="129" t="s">
        <v>1346</v>
      </c>
      <c r="C4" s="128">
        <v>35001</v>
      </c>
      <c r="D4" s="123">
        <v>100</v>
      </c>
      <c r="E4" s="128">
        <v>35002</v>
      </c>
      <c r="F4" s="123">
        <v>100</v>
      </c>
      <c r="G4" s="128">
        <v>35003</v>
      </c>
      <c r="H4" s="123">
        <v>100</v>
      </c>
      <c r="I4" s="128">
        <v>35004</v>
      </c>
      <c r="J4" s="123">
        <v>100</v>
      </c>
      <c r="K4" s="128">
        <v>35005</v>
      </c>
      <c r="L4" s="123">
        <v>100</v>
      </c>
      <c r="M4" s="128">
        <v>35006</v>
      </c>
      <c r="N4" s="123">
        <v>100</v>
      </c>
      <c r="O4" s="128">
        <v>35007</v>
      </c>
      <c r="P4" s="123">
        <v>100</v>
      </c>
      <c r="Q4" s="128">
        <v>35008</v>
      </c>
      <c r="R4" s="123">
        <v>100</v>
      </c>
      <c r="S4" s="128">
        <v>35009</v>
      </c>
      <c r="T4" s="123">
        <v>100</v>
      </c>
      <c r="V4" s="123"/>
      <c r="X4" s="123"/>
      <c r="Z4" s="123"/>
      <c r="AB4" s="123"/>
      <c r="AD4" s="123"/>
      <c r="AF4" s="128"/>
      <c r="AH4" s="128"/>
      <c r="AJ4" s="128"/>
      <c r="AL4" s="128"/>
      <c r="AN4" s="128"/>
      <c r="AP4" s="128"/>
      <c r="AR4" s="128"/>
      <c r="AT4" s="128"/>
      <c r="AV4" s="128"/>
      <c r="AX4" s="128"/>
      <c r="AZ4" s="128"/>
      <c r="BB4" s="128"/>
      <c r="BD4" s="128"/>
      <c r="BF4" s="128"/>
      <c r="BH4" s="128"/>
      <c r="BJ4" s="128"/>
      <c r="BL4" s="128"/>
      <c r="BN4" s="128"/>
      <c r="BP4" s="128"/>
      <c r="BR4" s="128"/>
      <c r="BT4" s="128"/>
      <c r="BV4" s="128"/>
      <c r="BX4" s="128"/>
      <c r="BZ4" s="128"/>
      <c r="CB4" s="128"/>
      <c r="CD4" s="128"/>
      <c r="CF4" s="128"/>
      <c r="CH4" s="128"/>
      <c r="CJ4" s="128"/>
      <c r="CL4" s="128"/>
      <c r="CN4" s="128"/>
      <c r="CP4" s="128"/>
      <c r="CR4" s="128"/>
      <c r="CT4" s="128"/>
      <c r="CV4" s="128"/>
      <c r="CX4" s="128"/>
      <c r="CZ4" s="128"/>
      <c r="DB4" s="128"/>
      <c r="DD4" s="128"/>
      <c r="DF4" s="128"/>
      <c r="DH4" s="128"/>
      <c r="DJ4" s="128"/>
    </row>
    <row r="5" spans="1:114" s="122" customFormat="1" ht="12.75">
      <c r="A5" s="130">
        <v>200011</v>
      </c>
      <c r="B5" s="129" t="s">
        <v>1347</v>
      </c>
      <c r="C5" s="128">
        <v>35001</v>
      </c>
      <c r="D5" s="123">
        <v>100</v>
      </c>
      <c r="E5" s="128">
        <v>35002</v>
      </c>
      <c r="F5" s="123">
        <v>100</v>
      </c>
      <c r="G5" s="128">
        <v>35003</v>
      </c>
      <c r="H5" s="123">
        <v>100</v>
      </c>
      <c r="I5" s="128">
        <v>35004</v>
      </c>
      <c r="J5" s="123">
        <v>100</v>
      </c>
      <c r="K5" s="128">
        <v>35005</v>
      </c>
      <c r="L5" s="123">
        <v>100</v>
      </c>
      <c r="M5" s="128">
        <v>35006</v>
      </c>
      <c r="N5" s="123">
        <v>100</v>
      </c>
      <c r="O5" s="128">
        <v>35007</v>
      </c>
      <c r="P5" s="123">
        <v>100</v>
      </c>
      <c r="Q5" s="128">
        <v>35008</v>
      </c>
      <c r="R5" s="123">
        <v>100</v>
      </c>
      <c r="S5" s="128">
        <v>35009</v>
      </c>
      <c r="T5" s="123">
        <v>100</v>
      </c>
      <c r="V5" s="123"/>
      <c r="X5" s="123"/>
      <c r="Z5" s="123"/>
      <c r="AB5" s="123"/>
      <c r="AD5" s="123"/>
      <c r="AF5" s="128"/>
      <c r="AH5" s="128"/>
      <c r="AJ5" s="128"/>
      <c r="AL5" s="128"/>
      <c r="AN5" s="128"/>
      <c r="AP5" s="128"/>
      <c r="AR5" s="128"/>
      <c r="AT5" s="128"/>
      <c r="AV5" s="128"/>
      <c r="AX5" s="128"/>
      <c r="AZ5" s="128"/>
      <c r="BB5" s="128"/>
      <c r="BD5" s="128"/>
      <c r="BF5" s="128"/>
      <c r="BH5" s="128"/>
      <c r="BJ5" s="128"/>
      <c r="BL5" s="128"/>
      <c r="BN5" s="128"/>
      <c r="BP5" s="128"/>
      <c r="BR5" s="128"/>
      <c r="BT5" s="128"/>
      <c r="BV5" s="128"/>
      <c r="BX5" s="128"/>
      <c r="BZ5" s="128"/>
      <c r="CB5" s="128"/>
      <c r="CD5" s="128"/>
      <c r="CF5" s="128"/>
      <c r="CH5" s="128"/>
      <c r="CJ5" s="128"/>
      <c r="CL5" s="128"/>
      <c r="CN5" s="128"/>
      <c r="CP5" s="128"/>
      <c r="CR5" s="128"/>
      <c r="CT5" s="128"/>
      <c r="CV5" s="128"/>
      <c r="CX5" s="128"/>
      <c r="CZ5" s="128"/>
      <c r="DB5" s="128"/>
      <c r="DD5" s="128"/>
      <c r="DF5" s="128"/>
      <c r="DH5" s="128"/>
      <c r="DJ5" s="128"/>
    </row>
    <row r="6" spans="1:114" s="122" customFormat="1" ht="12.75">
      <c r="A6" s="128">
        <v>200012</v>
      </c>
      <c r="B6" s="129" t="s">
        <v>1348</v>
      </c>
      <c r="C6" s="130">
        <f>C5+9</f>
        <v>35010</v>
      </c>
      <c r="D6" s="123">
        <v>100</v>
      </c>
      <c r="E6" s="130">
        <f t="shared" ref="E6" si="0">E5+9</f>
        <v>35011</v>
      </c>
      <c r="F6" s="123">
        <v>100</v>
      </c>
      <c r="G6" s="130">
        <f t="shared" ref="G6" si="1">G5+9</f>
        <v>35012</v>
      </c>
      <c r="H6" s="123">
        <v>100</v>
      </c>
      <c r="I6" s="130">
        <f>I5+9</f>
        <v>35013</v>
      </c>
      <c r="J6" s="123">
        <v>100</v>
      </c>
      <c r="K6" s="130">
        <f>K5+9</f>
        <v>35014</v>
      </c>
      <c r="L6" s="123">
        <v>100</v>
      </c>
      <c r="M6" s="130">
        <f t="shared" ref="M6" si="2">M5+9</f>
        <v>35015</v>
      </c>
      <c r="N6" s="123">
        <v>100</v>
      </c>
      <c r="O6" s="130">
        <f t="shared" ref="O6" si="3">O5+9</f>
        <v>35016</v>
      </c>
      <c r="P6" s="123">
        <v>100</v>
      </c>
      <c r="Q6" s="130">
        <f>Q5+9</f>
        <v>35017</v>
      </c>
      <c r="R6" s="123">
        <v>100</v>
      </c>
      <c r="S6" s="130">
        <f>S5+9</f>
        <v>35018</v>
      </c>
      <c r="T6" s="123">
        <v>100</v>
      </c>
      <c r="V6" s="123"/>
      <c r="X6" s="123"/>
      <c r="Z6" s="123"/>
      <c r="AB6" s="123"/>
      <c r="AD6" s="123"/>
      <c r="AF6" s="130"/>
      <c r="AH6" s="130"/>
      <c r="AJ6" s="130"/>
      <c r="AL6" s="130"/>
      <c r="AN6" s="130"/>
      <c r="AP6" s="130"/>
      <c r="AR6" s="130"/>
      <c r="AT6" s="130"/>
      <c r="AV6" s="130"/>
      <c r="AX6" s="130"/>
      <c r="AZ6" s="130"/>
      <c r="BB6" s="130"/>
      <c r="BD6" s="130"/>
      <c r="BF6" s="130"/>
      <c r="BH6" s="130"/>
      <c r="BJ6" s="130"/>
      <c r="BL6" s="130"/>
      <c r="BN6" s="130"/>
      <c r="BP6" s="130"/>
      <c r="BR6" s="130"/>
      <c r="BT6" s="130"/>
      <c r="BV6" s="130"/>
      <c r="BX6" s="130"/>
      <c r="BZ6" s="130"/>
      <c r="CB6" s="130"/>
      <c r="CD6" s="130"/>
      <c r="CF6" s="130"/>
      <c r="CH6" s="130"/>
      <c r="CJ6" s="130"/>
      <c r="CL6" s="130"/>
      <c r="CN6" s="130"/>
      <c r="CP6" s="130"/>
      <c r="CR6" s="130"/>
      <c r="CT6" s="130"/>
      <c r="CV6" s="130"/>
      <c r="CX6" s="130"/>
      <c r="CZ6" s="130"/>
      <c r="DB6" s="130"/>
      <c r="DD6" s="130"/>
      <c r="DF6" s="130"/>
      <c r="DH6" s="130"/>
      <c r="DJ6" s="130"/>
    </row>
    <row r="7" spans="1:114" s="122" customFormat="1" ht="12.75">
      <c r="A7" s="130">
        <v>200013</v>
      </c>
      <c r="B7" s="129" t="s">
        <v>1349</v>
      </c>
      <c r="C7" s="130">
        <f>C6+9</f>
        <v>35019</v>
      </c>
      <c r="D7" s="123">
        <v>100</v>
      </c>
      <c r="E7" s="130">
        <f>E6+9</f>
        <v>35020</v>
      </c>
      <c r="F7" s="123">
        <v>100</v>
      </c>
      <c r="G7" s="130">
        <f t="shared" ref="G7" si="4">G6+9</f>
        <v>35021</v>
      </c>
      <c r="H7" s="123">
        <v>100</v>
      </c>
      <c r="I7" s="130">
        <f t="shared" ref="I7" si="5">I6+9</f>
        <v>35022</v>
      </c>
      <c r="J7" s="123">
        <v>100</v>
      </c>
      <c r="K7" s="130">
        <f t="shared" ref="K7" si="6">K6+9</f>
        <v>35023</v>
      </c>
      <c r="L7" s="123">
        <v>100</v>
      </c>
      <c r="M7" s="130">
        <f t="shared" ref="M7" si="7">M6+9</f>
        <v>35024</v>
      </c>
      <c r="N7" s="123">
        <v>100</v>
      </c>
      <c r="O7" s="130">
        <f t="shared" ref="O7" si="8">O6+9</f>
        <v>35025</v>
      </c>
      <c r="P7" s="123">
        <v>100</v>
      </c>
      <c r="Q7" s="130">
        <f t="shared" ref="Q7" si="9">Q6+9</f>
        <v>35026</v>
      </c>
      <c r="R7" s="123">
        <v>100</v>
      </c>
      <c r="S7" s="130">
        <f t="shared" ref="S7" si="10">S6+9</f>
        <v>35027</v>
      </c>
      <c r="T7" s="123">
        <v>100</v>
      </c>
      <c r="V7" s="123"/>
      <c r="X7" s="123"/>
      <c r="Z7" s="123"/>
      <c r="AB7" s="123"/>
      <c r="AD7" s="123"/>
      <c r="AF7" s="130"/>
      <c r="AH7" s="130"/>
      <c r="AJ7" s="130"/>
      <c r="AL7" s="130"/>
      <c r="AN7" s="130"/>
      <c r="AP7" s="130"/>
      <c r="AR7" s="130"/>
      <c r="AT7" s="130"/>
      <c r="AV7" s="130"/>
      <c r="AX7" s="130"/>
      <c r="AZ7" s="130"/>
      <c r="BB7" s="130"/>
      <c r="BD7" s="130"/>
      <c r="BF7" s="130"/>
      <c r="BH7" s="130"/>
      <c r="BJ7" s="130"/>
      <c r="BL7" s="130"/>
      <c r="BN7" s="130"/>
      <c r="BP7" s="130"/>
      <c r="BR7" s="130"/>
      <c r="BT7" s="130"/>
      <c r="BV7" s="130"/>
      <c r="BX7" s="130"/>
      <c r="BZ7" s="130"/>
      <c r="CB7" s="130"/>
      <c r="CD7" s="130"/>
      <c r="CF7" s="130"/>
      <c r="CH7" s="130"/>
      <c r="CJ7" s="130"/>
      <c r="CL7" s="130"/>
      <c r="CN7" s="130"/>
      <c r="CP7" s="130"/>
      <c r="CR7" s="130"/>
      <c r="CT7" s="130"/>
      <c r="CV7" s="130"/>
      <c r="CX7" s="130"/>
      <c r="CZ7" s="130"/>
      <c r="DB7" s="130"/>
      <c r="DD7" s="130"/>
      <c r="DF7" s="130"/>
      <c r="DH7" s="130"/>
      <c r="DJ7" s="130"/>
    </row>
    <row r="8" spans="1:114" s="122" customFormat="1" ht="12.75">
      <c r="A8" s="130">
        <v>200014</v>
      </c>
      <c r="B8" s="131" t="s">
        <v>1350</v>
      </c>
      <c r="C8" s="130">
        <v>311001</v>
      </c>
      <c r="D8" s="123">
        <v>100</v>
      </c>
      <c r="E8" s="130">
        <v>311002</v>
      </c>
      <c r="F8" s="123">
        <v>100</v>
      </c>
      <c r="G8" s="130">
        <v>311003</v>
      </c>
      <c r="H8" s="123">
        <v>100</v>
      </c>
      <c r="I8" s="130">
        <v>311004</v>
      </c>
      <c r="J8" s="123">
        <v>100</v>
      </c>
      <c r="K8" s="130">
        <v>311005</v>
      </c>
      <c r="L8" s="123">
        <v>100</v>
      </c>
      <c r="M8" s="130">
        <v>311006</v>
      </c>
      <c r="N8" s="123">
        <v>100</v>
      </c>
      <c r="O8" s="130">
        <v>311007</v>
      </c>
      <c r="P8" s="123">
        <v>100</v>
      </c>
      <c r="Q8" s="130">
        <v>311008</v>
      </c>
      <c r="R8" s="123">
        <v>100</v>
      </c>
      <c r="S8" s="130">
        <v>311009</v>
      </c>
      <c r="T8" s="123">
        <v>100</v>
      </c>
      <c r="U8" s="130">
        <v>311010</v>
      </c>
      <c r="V8" s="123">
        <v>100</v>
      </c>
      <c r="W8" s="130">
        <v>311011</v>
      </c>
      <c r="X8" s="123">
        <v>100</v>
      </c>
      <c r="Y8" s="130">
        <v>311012</v>
      </c>
      <c r="Z8" s="123">
        <v>100</v>
      </c>
      <c r="AA8" s="130">
        <v>311013</v>
      </c>
      <c r="AB8" s="123">
        <v>100</v>
      </c>
      <c r="AC8" s="130">
        <v>311014</v>
      </c>
      <c r="AD8" s="123">
        <v>100</v>
      </c>
      <c r="AE8" s="130">
        <v>311015</v>
      </c>
      <c r="AF8" s="123">
        <v>100</v>
      </c>
      <c r="AG8" s="130">
        <v>311016</v>
      </c>
      <c r="AH8" s="123">
        <v>100</v>
      </c>
      <c r="AI8" s="130">
        <v>311017</v>
      </c>
      <c r="AJ8" s="123">
        <v>100</v>
      </c>
      <c r="AK8" s="130">
        <v>311018</v>
      </c>
      <c r="AL8" s="123">
        <v>100</v>
      </c>
      <c r="AM8" s="130">
        <v>311019</v>
      </c>
      <c r="AN8" s="123">
        <v>100</v>
      </c>
      <c r="AO8" s="130">
        <v>311020</v>
      </c>
      <c r="AP8" s="123">
        <v>100</v>
      </c>
      <c r="AQ8" s="130">
        <v>311021</v>
      </c>
      <c r="AR8" s="123">
        <v>100</v>
      </c>
      <c r="AS8" s="130">
        <v>311022</v>
      </c>
      <c r="AT8" s="123">
        <v>100</v>
      </c>
      <c r="AU8" s="130">
        <v>311023</v>
      </c>
      <c r="AV8" s="123">
        <v>100</v>
      </c>
      <c r="AW8" s="130">
        <v>311024</v>
      </c>
      <c r="AX8" s="123">
        <v>100</v>
      </c>
      <c r="AY8" s="130">
        <v>311025</v>
      </c>
      <c r="AZ8" s="123">
        <v>100</v>
      </c>
      <c r="BA8" s="130">
        <v>311026</v>
      </c>
      <c r="BB8" s="123">
        <v>100</v>
      </c>
      <c r="BC8" s="130">
        <v>311027</v>
      </c>
      <c r="BD8" s="123">
        <v>100</v>
      </c>
      <c r="BE8" s="130">
        <v>311028</v>
      </c>
      <c r="BF8" s="123">
        <v>100</v>
      </c>
      <c r="BG8" s="130">
        <v>311029</v>
      </c>
      <c r="BH8" s="123">
        <v>100</v>
      </c>
      <c r="BI8" s="130">
        <v>311030</v>
      </c>
      <c r="BJ8" s="123">
        <v>100</v>
      </c>
      <c r="BK8" s="130">
        <v>311031</v>
      </c>
      <c r="BL8" s="123">
        <v>100</v>
      </c>
      <c r="BM8" s="130">
        <v>311032</v>
      </c>
      <c r="BN8" s="123">
        <v>100</v>
      </c>
      <c r="BO8" s="130">
        <v>311033</v>
      </c>
      <c r="BP8" s="123">
        <v>100</v>
      </c>
      <c r="BQ8" s="130">
        <v>311034</v>
      </c>
      <c r="BR8" s="123">
        <v>100</v>
      </c>
      <c r="BS8" s="130">
        <v>311035</v>
      </c>
      <c r="BT8" s="123">
        <v>100</v>
      </c>
      <c r="BU8" s="130">
        <v>311036</v>
      </c>
      <c r="BV8" s="123">
        <v>100</v>
      </c>
      <c r="BW8" s="130">
        <v>311037</v>
      </c>
      <c r="BX8" s="123">
        <v>100</v>
      </c>
      <c r="BY8" s="122">
        <v>311075</v>
      </c>
      <c r="BZ8" s="123">
        <v>100</v>
      </c>
      <c r="CA8" s="122">
        <v>311076</v>
      </c>
      <c r="CB8" s="123">
        <v>100</v>
      </c>
      <c r="CC8" s="122">
        <v>311077</v>
      </c>
      <c r="CD8" s="123">
        <v>100</v>
      </c>
      <c r="CE8" s="122">
        <v>311078</v>
      </c>
      <c r="CF8" s="123">
        <v>100</v>
      </c>
      <c r="CH8" s="130"/>
      <c r="CJ8" s="130"/>
      <c r="CL8" s="130"/>
      <c r="CN8" s="130"/>
      <c r="CP8" s="130"/>
      <c r="CR8" s="130"/>
      <c r="CT8" s="130"/>
      <c r="CV8" s="130"/>
      <c r="CX8" s="130"/>
      <c r="CZ8" s="130"/>
      <c r="DB8" s="130"/>
      <c r="DD8" s="130"/>
      <c r="DF8" s="130"/>
      <c r="DH8" s="130"/>
      <c r="DJ8" s="130"/>
    </row>
    <row r="9" spans="1:114" s="122" customFormat="1">
      <c r="A9" s="128">
        <v>200015</v>
      </c>
      <c r="B9" s="131" t="s">
        <v>1351</v>
      </c>
      <c r="C9" s="122">
        <v>311038</v>
      </c>
      <c r="D9" s="123">
        <v>100</v>
      </c>
      <c r="E9" s="122">
        <v>311039</v>
      </c>
      <c r="F9" s="123">
        <v>100</v>
      </c>
      <c r="G9" s="122">
        <v>311040</v>
      </c>
      <c r="H9" s="123">
        <v>100</v>
      </c>
      <c r="I9" s="122">
        <v>311041</v>
      </c>
      <c r="J9" s="123">
        <v>100</v>
      </c>
      <c r="K9" s="122">
        <v>311042</v>
      </c>
      <c r="L9" s="123">
        <v>100</v>
      </c>
      <c r="M9" s="122">
        <v>311043</v>
      </c>
      <c r="N9" s="123">
        <v>100</v>
      </c>
      <c r="O9" s="122">
        <v>311044</v>
      </c>
      <c r="P9" s="123">
        <v>100</v>
      </c>
      <c r="Q9" s="122">
        <v>311045</v>
      </c>
      <c r="R9" s="123">
        <v>100</v>
      </c>
      <c r="S9" s="122">
        <v>311046</v>
      </c>
      <c r="T9" s="123">
        <v>100</v>
      </c>
      <c r="U9" s="122">
        <v>311047</v>
      </c>
      <c r="V9" s="123">
        <v>100</v>
      </c>
      <c r="W9" s="122">
        <v>311048</v>
      </c>
      <c r="X9" s="123">
        <v>100</v>
      </c>
      <c r="Y9" s="122">
        <v>311049</v>
      </c>
      <c r="Z9" s="123">
        <v>100</v>
      </c>
      <c r="AA9" s="122">
        <v>311050</v>
      </c>
      <c r="AB9" s="123">
        <v>100</v>
      </c>
      <c r="AC9" s="122">
        <v>311051</v>
      </c>
      <c r="AD9" s="123">
        <v>100</v>
      </c>
      <c r="AE9" s="122">
        <v>311052</v>
      </c>
      <c r="AF9" s="123">
        <v>100</v>
      </c>
      <c r="AG9" s="122">
        <v>311053</v>
      </c>
      <c r="AH9" s="123">
        <v>100</v>
      </c>
      <c r="AI9" s="122">
        <v>311054</v>
      </c>
      <c r="AJ9" s="123">
        <v>100</v>
      </c>
      <c r="AK9" s="122">
        <v>311055</v>
      </c>
      <c r="AL9" s="123">
        <v>100</v>
      </c>
      <c r="AM9" s="122">
        <v>311056</v>
      </c>
      <c r="AN9" s="123">
        <v>100</v>
      </c>
      <c r="AO9" s="122">
        <v>311057</v>
      </c>
      <c r="AP9" s="123">
        <v>100</v>
      </c>
      <c r="AQ9" s="122">
        <v>311058</v>
      </c>
      <c r="AR9" s="123">
        <v>100</v>
      </c>
      <c r="AS9" s="122">
        <v>311059</v>
      </c>
      <c r="AT9" s="123">
        <v>100</v>
      </c>
      <c r="AU9" s="122">
        <v>311060</v>
      </c>
      <c r="AV9" s="123">
        <v>100</v>
      </c>
      <c r="AW9" s="122">
        <v>311061</v>
      </c>
      <c r="AX9" s="123">
        <v>100</v>
      </c>
      <c r="AY9" s="122">
        <v>311062</v>
      </c>
      <c r="AZ9" s="123">
        <v>100</v>
      </c>
      <c r="BA9" s="122">
        <v>311063</v>
      </c>
      <c r="BB9" s="123">
        <v>100</v>
      </c>
      <c r="BC9" s="122">
        <v>311064</v>
      </c>
      <c r="BD9" s="123">
        <v>100</v>
      </c>
      <c r="BE9" s="122">
        <v>311065</v>
      </c>
      <c r="BF9" s="123">
        <v>100</v>
      </c>
      <c r="BG9" s="122">
        <v>311066</v>
      </c>
      <c r="BH9" s="123">
        <v>100</v>
      </c>
      <c r="BI9" s="122">
        <v>311067</v>
      </c>
      <c r="BJ9" s="123">
        <v>100</v>
      </c>
      <c r="BK9" s="122">
        <v>311068</v>
      </c>
      <c r="BL9" s="123">
        <v>100</v>
      </c>
      <c r="BM9" s="122">
        <v>311069</v>
      </c>
      <c r="BN9" s="123">
        <v>100</v>
      </c>
      <c r="BO9" s="122">
        <v>311070</v>
      </c>
      <c r="BP9" s="123">
        <v>100</v>
      </c>
      <c r="BQ9" s="122">
        <v>311071</v>
      </c>
      <c r="BR9" s="123">
        <v>100</v>
      </c>
      <c r="BS9" s="122">
        <v>311072</v>
      </c>
      <c r="BT9" s="123">
        <v>100</v>
      </c>
      <c r="BU9" s="122">
        <v>311073</v>
      </c>
      <c r="BV9" s="123">
        <v>100</v>
      </c>
      <c r="BW9" s="122">
        <v>311074</v>
      </c>
      <c r="BX9" s="123">
        <v>100</v>
      </c>
      <c r="BY9" s="122">
        <v>311079</v>
      </c>
      <c r="BZ9" s="123">
        <v>100</v>
      </c>
      <c r="CA9" s="122">
        <v>311080</v>
      </c>
      <c r="CB9" s="123">
        <v>100</v>
      </c>
      <c r="CC9" s="122">
        <v>311081</v>
      </c>
      <c r="CD9" s="123">
        <v>100</v>
      </c>
      <c r="CE9" s="122">
        <v>311082</v>
      </c>
      <c r="CF9" s="123">
        <v>100</v>
      </c>
    </row>
    <row r="10" spans="1:114" s="122" customFormat="1" ht="12.75">
      <c r="A10" s="130">
        <v>200016</v>
      </c>
      <c r="B10" s="129" t="s">
        <v>1352</v>
      </c>
      <c r="C10" s="128">
        <v>331350</v>
      </c>
      <c r="D10" s="123">
        <v>20</v>
      </c>
      <c r="E10" s="128">
        <v>331351</v>
      </c>
      <c r="F10" s="123">
        <v>20</v>
      </c>
      <c r="G10" s="128">
        <v>331352</v>
      </c>
      <c r="H10" s="123">
        <v>50</v>
      </c>
      <c r="I10" s="128">
        <v>331353</v>
      </c>
      <c r="J10" s="123">
        <v>100</v>
      </c>
      <c r="K10" s="128">
        <v>331354</v>
      </c>
      <c r="L10" s="123">
        <v>100</v>
      </c>
      <c r="N10" s="123"/>
      <c r="P10" s="123"/>
      <c r="R10" s="123"/>
      <c r="T10" s="123"/>
      <c r="V10" s="123"/>
      <c r="X10" s="123"/>
      <c r="Z10" s="123"/>
      <c r="AB10" s="123"/>
    </row>
    <row r="11" spans="1:114" s="122" customFormat="1" ht="12.75">
      <c r="A11" s="128">
        <v>200017</v>
      </c>
      <c r="B11" s="132" t="s">
        <v>1353</v>
      </c>
      <c r="C11" s="132">
        <v>6040101</v>
      </c>
      <c r="D11" s="123">
        <v>50</v>
      </c>
      <c r="E11" s="129">
        <v>6040102</v>
      </c>
      <c r="F11" s="123">
        <v>50</v>
      </c>
      <c r="G11" s="129">
        <v>6040103</v>
      </c>
      <c r="H11" s="123">
        <v>50</v>
      </c>
      <c r="I11" s="129">
        <v>6040104</v>
      </c>
      <c r="J11" s="123">
        <v>50</v>
      </c>
      <c r="K11" s="129">
        <v>6040105</v>
      </c>
      <c r="L11" s="123">
        <v>50</v>
      </c>
      <c r="M11" s="129">
        <v>6040106</v>
      </c>
      <c r="N11" s="123">
        <v>50</v>
      </c>
      <c r="O11" s="129">
        <v>6040207</v>
      </c>
      <c r="P11" s="123">
        <v>100</v>
      </c>
      <c r="Q11" s="129">
        <v>6040208</v>
      </c>
      <c r="R11" s="123">
        <v>100</v>
      </c>
      <c r="S11" s="129">
        <v>6040309</v>
      </c>
      <c r="T11" s="123">
        <v>100</v>
      </c>
      <c r="U11" s="129">
        <v>6040310</v>
      </c>
      <c r="V11" s="123">
        <v>100</v>
      </c>
      <c r="W11" s="129">
        <v>6040411</v>
      </c>
      <c r="X11" s="123">
        <v>100</v>
      </c>
      <c r="Y11" s="129">
        <v>6040512</v>
      </c>
      <c r="Z11" s="123">
        <v>100</v>
      </c>
      <c r="AA11" s="129">
        <v>6040613</v>
      </c>
      <c r="AB11" s="123">
        <v>100</v>
      </c>
      <c r="AD11" s="129"/>
      <c r="AF11" s="129"/>
      <c r="AH11" s="129"/>
      <c r="AJ11" s="129"/>
      <c r="AL11" s="129"/>
      <c r="AN11" s="129"/>
      <c r="AP11" s="129"/>
      <c r="AR11" s="129"/>
      <c r="AT11" s="129"/>
      <c r="AV11" s="129"/>
      <c r="AX11" s="129"/>
      <c r="AZ11" s="129"/>
      <c r="BB11" s="129"/>
      <c r="BD11" s="129"/>
      <c r="BF11" s="129"/>
      <c r="BH11" s="129"/>
      <c r="BJ11" s="129"/>
      <c r="BL11" s="129"/>
      <c r="BN11" s="129"/>
      <c r="BP11" s="129"/>
      <c r="BR11" s="129"/>
      <c r="BT11" s="129"/>
      <c r="BV11" s="129"/>
      <c r="BX11" s="129"/>
      <c r="BZ11" s="129"/>
      <c r="CB11" s="129"/>
      <c r="CD11" s="129"/>
      <c r="CF11" s="129"/>
      <c r="CH11" s="129"/>
      <c r="CJ11" s="129"/>
      <c r="CL11" s="129"/>
      <c r="CN11" s="129"/>
      <c r="CP11" s="129"/>
      <c r="CR11" s="129"/>
      <c r="CT11" s="129"/>
      <c r="CV11" s="129"/>
      <c r="CX11" s="129"/>
      <c r="CZ11" s="129"/>
      <c r="DB11" s="129"/>
      <c r="DD11" s="129"/>
      <c r="DF11" s="129"/>
      <c r="DH11" s="129"/>
      <c r="DJ11" s="129"/>
    </row>
    <row r="12" spans="1:114" s="122" customFormat="1" ht="12.75">
      <c r="A12" s="130">
        <v>200018</v>
      </c>
      <c r="B12" s="132" t="s">
        <v>1354</v>
      </c>
      <c r="C12" s="129">
        <v>6050101</v>
      </c>
      <c r="D12" s="123">
        <v>50</v>
      </c>
      <c r="E12" s="129">
        <v>6050102</v>
      </c>
      <c r="F12" s="123">
        <v>50</v>
      </c>
      <c r="G12" s="129">
        <v>6050103</v>
      </c>
      <c r="H12" s="123">
        <v>50</v>
      </c>
      <c r="I12" s="129">
        <v>6050104</v>
      </c>
      <c r="J12" s="123">
        <v>50</v>
      </c>
      <c r="K12" s="129">
        <v>6050105</v>
      </c>
      <c r="L12" s="123">
        <v>50</v>
      </c>
      <c r="M12" s="129">
        <v>6050106</v>
      </c>
      <c r="N12" s="123">
        <v>50</v>
      </c>
      <c r="O12" s="129">
        <v>6050207</v>
      </c>
      <c r="P12" s="123">
        <v>100</v>
      </c>
      <c r="Q12" s="129">
        <v>6050208</v>
      </c>
      <c r="R12" s="123">
        <v>100</v>
      </c>
      <c r="S12" s="129">
        <v>6050309</v>
      </c>
      <c r="T12" s="123">
        <v>100</v>
      </c>
      <c r="U12" s="129">
        <v>6050310</v>
      </c>
      <c r="V12" s="123">
        <v>100</v>
      </c>
      <c r="W12" s="129">
        <v>6050411</v>
      </c>
      <c r="X12" s="123">
        <v>100</v>
      </c>
      <c r="Y12" s="129">
        <v>6050512</v>
      </c>
      <c r="Z12" s="123">
        <v>100</v>
      </c>
      <c r="AA12" s="129">
        <v>6050613</v>
      </c>
      <c r="AB12" s="123">
        <v>100</v>
      </c>
      <c r="AD12" s="129"/>
      <c r="AF12" s="129"/>
      <c r="AH12" s="129"/>
      <c r="AJ12" s="129"/>
      <c r="AL12" s="129"/>
      <c r="AN12" s="129"/>
      <c r="AP12" s="129"/>
      <c r="AR12" s="129"/>
      <c r="AT12" s="129"/>
      <c r="AV12" s="129"/>
      <c r="AX12" s="129"/>
      <c r="AZ12" s="129"/>
      <c r="BB12" s="129"/>
      <c r="BD12" s="129"/>
      <c r="BF12" s="129"/>
      <c r="BH12" s="129"/>
      <c r="BJ12" s="129"/>
      <c r="BL12" s="129"/>
      <c r="BN12" s="129"/>
      <c r="BP12" s="129"/>
      <c r="BR12" s="129"/>
      <c r="BT12" s="129"/>
      <c r="BV12" s="129"/>
      <c r="BX12" s="129"/>
      <c r="BZ12" s="129"/>
      <c r="CB12" s="129"/>
      <c r="CD12" s="129"/>
      <c r="CF12" s="129"/>
      <c r="CH12" s="129"/>
      <c r="CJ12" s="129"/>
      <c r="CL12" s="129"/>
      <c r="CN12" s="129"/>
      <c r="CP12" s="129"/>
      <c r="CR12" s="129"/>
      <c r="CT12" s="129"/>
      <c r="CV12" s="129"/>
      <c r="CX12" s="129"/>
      <c r="CZ12" s="129"/>
      <c r="DB12" s="129"/>
      <c r="DD12" s="129"/>
      <c r="DF12" s="129"/>
      <c r="DH12" s="129"/>
      <c r="DJ12" s="129"/>
    </row>
    <row r="13" spans="1:114" s="122" customFormat="1" ht="12.75">
      <c r="A13" s="128">
        <v>200019</v>
      </c>
      <c r="B13" s="129" t="s">
        <v>1355</v>
      </c>
      <c r="C13" s="129">
        <v>6060101</v>
      </c>
      <c r="D13" s="123">
        <v>50</v>
      </c>
      <c r="E13" s="129">
        <v>6060102</v>
      </c>
      <c r="F13" s="123">
        <v>50</v>
      </c>
      <c r="G13" s="129">
        <v>6060103</v>
      </c>
      <c r="H13" s="123">
        <v>50</v>
      </c>
      <c r="I13" s="129">
        <v>6060104</v>
      </c>
      <c r="J13" s="123">
        <v>50</v>
      </c>
      <c r="K13" s="129">
        <v>6060105</v>
      </c>
      <c r="L13" s="123">
        <v>50</v>
      </c>
      <c r="M13" s="129">
        <v>6060106</v>
      </c>
      <c r="N13" s="123">
        <v>50</v>
      </c>
      <c r="O13" s="129">
        <v>6060207</v>
      </c>
      <c r="P13" s="123">
        <v>100</v>
      </c>
      <c r="Q13" s="129">
        <v>6060208</v>
      </c>
      <c r="R13" s="123">
        <v>100</v>
      </c>
      <c r="S13" s="129">
        <v>6060309</v>
      </c>
      <c r="T13" s="123">
        <v>100</v>
      </c>
      <c r="U13" s="129">
        <v>6060310</v>
      </c>
      <c r="V13" s="123">
        <v>100</v>
      </c>
      <c r="W13" s="129">
        <v>6060411</v>
      </c>
      <c r="X13" s="123">
        <v>100</v>
      </c>
      <c r="Y13" s="129">
        <v>6060512</v>
      </c>
      <c r="Z13" s="123">
        <v>100</v>
      </c>
      <c r="AA13" s="129">
        <v>6060613</v>
      </c>
      <c r="AB13" s="123">
        <v>100</v>
      </c>
      <c r="AD13" s="129"/>
      <c r="AF13" s="129"/>
      <c r="AH13" s="129"/>
      <c r="AJ13" s="129"/>
      <c r="AL13" s="129"/>
      <c r="AN13" s="129"/>
      <c r="AP13" s="129"/>
      <c r="AR13" s="129"/>
      <c r="AT13" s="129"/>
      <c r="AV13" s="129"/>
      <c r="AX13" s="129"/>
      <c r="AZ13" s="129"/>
      <c r="BB13" s="129"/>
      <c r="BD13" s="129"/>
      <c r="BF13" s="129"/>
      <c r="BH13" s="129"/>
      <c r="BJ13" s="129"/>
      <c r="BL13" s="129"/>
      <c r="BN13" s="129"/>
      <c r="BP13" s="129"/>
      <c r="BR13" s="129"/>
      <c r="BT13" s="129"/>
      <c r="BV13" s="129"/>
      <c r="BX13" s="129"/>
      <c r="BZ13" s="129"/>
      <c r="CB13" s="129"/>
      <c r="CD13" s="129"/>
      <c r="CF13" s="129"/>
      <c r="CH13" s="129"/>
      <c r="CJ13" s="129"/>
      <c r="CL13" s="129"/>
      <c r="CN13" s="129"/>
      <c r="CP13" s="129"/>
      <c r="CR13" s="129"/>
      <c r="CT13" s="129"/>
      <c r="CV13" s="129"/>
      <c r="CX13" s="129"/>
      <c r="CZ13" s="129"/>
      <c r="DB13" s="129"/>
      <c r="DD13" s="129"/>
      <c r="DF13" s="129"/>
      <c r="DH13" s="129"/>
      <c r="DJ13" s="129"/>
    </row>
    <row r="14" spans="1:114" s="122" customFormat="1" ht="12.75">
      <c r="A14" s="130">
        <v>200020</v>
      </c>
      <c r="B14" s="129" t="s">
        <v>1356</v>
      </c>
      <c r="C14" s="129">
        <v>7040101</v>
      </c>
      <c r="D14" s="123">
        <v>50</v>
      </c>
      <c r="E14" s="129">
        <v>7040102</v>
      </c>
      <c r="F14" s="123">
        <v>50</v>
      </c>
      <c r="G14" s="129">
        <v>7040103</v>
      </c>
      <c r="H14" s="123">
        <v>50</v>
      </c>
      <c r="I14" s="129">
        <v>7040104</v>
      </c>
      <c r="J14" s="123">
        <v>50</v>
      </c>
      <c r="K14" s="129">
        <v>7040105</v>
      </c>
      <c r="L14" s="123">
        <v>50</v>
      </c>
      <c r="M14" s="129">
        <v>7040106</v>
      </c>
      <c r="N14" s="123">
        <v>50</v>
      </c>
      <c r="O14" s="129">
        <v>7040207</v>
      </c>
      <c r="P14" s="123">
        <v>100</v>
      </c>
      <c r="Q14" s="129">
        <v>7040208</v>
      </c>
      <c r="R14" s="123">
        <v>100</v>
      </c>
      <c r="S14" s="129">
        <v>7040309</v>
      </c>
      <c r="T14" s="123">
        <v>100</v>
      </c>
      <c r="U14" s="129">
        <v>7040310</v>
      </c>
      <c r="V14" s="123">
        <v>100</v>
      </c>
      <c r="W14" s="129">
        <v>7040411</v>
      </c>
      <c r="X14" s="123">
        <v>100</v>
      </c>
      <c r="Y14" s="129">
        <v>7040512</v>
      </c>
      <c r="Z14" s="123">
        <v>100</v>
      </c>
      <c r="AA14" s="129">
        <v>7040613</v>
      </c>
      <c r="AB14" s="123">
        <v>100</v>
      </c>
      <c r="AD14" s="129"/>
      <c r="AF14" s="129"/>
      <c r="AH14" s="129"/>
      <c r="AJ14" s="129"/>
      <c r="AL14" s="129"/>
      <c r="AN14" s="129"/>
      <c r="AP14" s="129"/>
      <c r="AR14" s="129"/>
      <c r="AT14" s="129"/>
      <c r="AV14" s="129"/>
      <c r="AX14" s="129"/>
      <c r="AZ14" s="129"/>
      <c r="BB14" s="129"/>
      <c r="BD14" s="129"/>
      <c r="BF14" s="129"/>
      <c r="BH14" s="129"/>
      <c r="BJ14" s="129"/>
      <c r="BL14" s="129"/>
      <c r="BN14" s="129"/>
      <c r="BP14" s="129"/>
      <c r="BR14" s="129"/>
      <c r="BT14" s="129"/>
      <c r="BV14" s="129"/>
      <c r="BX14" s="129"/>
      <c r="BZ14" s="129"/>
      <c r="CB14" s="129"/>
      <c r="CD14" s="129"/>
      <c r="CF14" s="129"/>
      <c r="CH14" s="129"/>
      <c r="CJ14" s="129"/>
      <c r="CL14" s="129"/>
      <c r="CN14" s="129"/>
      <c r="CP14" s="129"/>
      <c r="CR14" s="129"/>
      <c r="CT14" s="129"/>
      <c r="CV14" s="129"/>
      <c r="CX14" s="129"/>
      <c r="CZ14" s="129"/>
      <c r="DB14" s="129"/>
      <c r="DD14" s="129"/>
      <c r="DF14" s="129"/>
      <c r="DH14" s="129"/>
      <c r="DJ14" s="129"/>
    </row>
    <row r="15" spans="1:114" s="122" customFormat="1" ht="12.75">
      <c r="A15" s="128">
        <v>200021</v>
      </c>
      <c r="B15" s="129" t="s">
        <v>1357</v>
      </c>
      <c r="C15" s="129">
        <v>7050101</v>
      </c>
      <c r="D15" s="123">
        <v>50</v>
      </c>
      <c r="E15" s="129">
        <v>7050102</v>
      </c>
      <c r="F15" s="123">
        <v>50</v>
      </c>
      <c r="G15" s="129">
        <v>7050103</v>
      </c>
      <c r="H15" s="123">
        <v>50</v>
      </c>
      <c r="I15" s="129">
        <v>7050104</v>
      </c>
      <c r="J15" s="123">
        <v>50</v>
      </c>
      <c r="K15" s="129">
        <v>7050105</v>
      </c>
      <c r="L15" s="123">
        <v>50</v>
      </c>
      <c r="M15" s="129">
        <v>7050106</v>
      </c>
      <c r="N15" s="123">
        <v>50</v>
      </c>
      <c r="O15" s="129">
        <v>7050207</v>
      </c>
      <c r="P15" s="123">
        <v>100</v>
      </c>
      <c r="Q15" s="129">
        <v>7050208</v>
      </c>
      <c r="R15" s="123">
        <v>100</v>
      </c>
      <c r="S15" s="129">
        <v>7050309</v>
      </c>
      <c r="T15" s="123">
        <v>100</v>
      </c>
      <c r="U15" s="129">
        <v>7050310</v>
      </c>
      <c r="V15" s="123">
        <v>100</v>
      </c>
      <c r="W15" s="129">
        <v>7050411</v>
      </c>
      <c r="X15" s="123">
        <v>100</v>
      </c>
      <c r="Y15" s="129">
        <v>7050512</v>
      </c>
      <c r="Z15" s="123">
        <v>100</v>
      </c>
      <c r="AA15" s="129">
        <v>7050613</v>
      </c>
      <c r="AB15" s="123">
        <v>100</v>
      </c>
      <c r="AD15" s="129"/>
      <c r="AF15" s="129"/>
      <c r="AH15" s="129"/>
      <c r="AJ15" s="129"/>
      <c r="AL15" s="129"/>
      <c r="AN15" s="129"/>
      <c r="AP15" s="129"/>
      <c r="AR15" s="129"/>
      <c r="AT15" s="129"/>
      <c r="AV15" s="129"/>
      <c r="AX15" s="129"/>
      <c r="AZ15" s="129"/>
      <c r="BB15" s="129"/>
      <c r="BD15" s="129"/>
      <c r="BF15" s="129"/>
      <c r="BH15" s="129"/>
      <c r="BJ15" s="129"/>
      <c r="BL15" s="129"/>
      <c r="BN15" s="129"/>
      <c r="BP15" s="129"/>
      <c r="BR15" s="129"/>
      <c r="BT15" s="129"/>
      <c r="BV15" s="129"/>
      <c r="BX15" s="129"/>
      <c r="BZ15" s="129"/>
      <c r="CB15" s="129"/>
      <c r="CD15" s="129"/>
      <c r="CF15" s="129"/>
      <c r="CH15" s="129"/>
      <c r="CJ15" s="129"/>
      <c r="CL15" s="129"/>
      <c r="CN15" s="129"/>
      <c r="CP15" s="129"/>
      <c r="CR15" s="129"/>
      <c r="CT15" s="129"/>
      <c r="CV15" s="129"/>
      <c r="CX15" s="129"/>
      <c r="CZ15" s="129"/>
      <c r="DB15" s="129"/>
      <c r="DD15" s="129"/>
      <c r="DF15" s="129"/>
      <c r="DH15" s="129"/>
      <c r="DJ15" s="129"/>
    </row>
    <row r="16" spans="1:114" s="122" customFormat="1" ht="12.75">
      <c r="A16" s="130">
        <v>200022</v>
      </c>
      <c r="B16" s="129" t="s">
        <v>1358</v>
      </c>
      <c r="C16" s="129">
        <v>7060101</v>
      </c>
      <c r="D16" s="123">
        <v>50</v>
      </c>
      <c r="E16" s="129">
        <v>7060102</v>
      </c>
      <c r="F16" s="123">
        <v>50</v>
      </c>
      <c r="G16" s="129">
        <v>7060103</v>
      </c>
      <c r="H16" s="123">
        <v>50</v>
      </c>
      <c r="I16" s="129">
        <v>7060104</v>
      </c>
      <c r="J16" s="123">
        <v>50</v>
      </c>
      <c r="K16" s="129">
        <v>7060105</v>
      </c>
      <c r="L16" s="123">
        <v>50</v>
      </c>
      <c r="M16" s="129">
        <v>7060106</v>
      </c>
      <c r="N16" s="123">
        <v>50</v>
      </c>
      <c r="O16" s="129">
        <v>7060207</v>
      </c>
      <c r="P16" s="123">
        <v>100</v>
      </c>
      <c r="Q16" s="129">
        <v>7060208</v>
      </c>
      <c r="R16" s="123">
        <v>100</v>
      </c>
      <c r="S16" s="129">
        <v>7060309</v>
      </c>
      <c r="T16" s="123">
        <v>100</v>
      </c>
      <c r="U16" s="129">
        <v>7060310</v>
      </c>
      <c r="V16" s="123">
        <v>100</v>
      </c>
      <c r="W16" s="129">
        <v>7060411</v>
      </c>
      <c r="X16" s="123">
        <v>100</v>
      </c>
      <c r="Y16" s="129">
        <v>7060512</v>
      </c>
      <c r="Z16" s="123">
        <v>100</v>
      </c>
      <c r="AA16" s="129">
        <v>7060613</v>
      </c>
      <c r="AB16" s="123">
        <v>100</v>
      </c>
      <c r="AD16" s="129"/>
      <c r="AF16" s="129"/>
      <c r="AH16" s="129"/>
      <c r="AJ16" s="129"/>
      <c r="AL16" s="129"/>
      <c r="AN16" s="129"/>
      <c r="AP16" s="129"/>
      <c r="AR16" s="129"/>
      <c r="AT16" s="129"/>
      <c r="AV16" s="129"/>
      <c r="AX16" s="129"/>
      <c r="AZ16" s="129"/>
      <c r="BB16" s="129"/>
      <c r="BD16" s="129"/>
      <c r="BF16" s="129"/>
      <c r="BH16" s="129"/>
      <c r="BJ16" s="129"/>
      <c r="BL16" s="129"/>
      <c r="BN16" s="129"/>
      <c r="BP16" s="129"/>
      <c r="BR16" s="129"/>
      <c r="BT16" s="129"/>
      <c r="BV16" s="129"/>
      <c r="BX16" s="129"/>
      <c r="BZ16" s="129"/>
      <c r="CB16" s="129"/>
      <c r="CD16" s="129"/>
      <c r="CF16" s="129"/>
      <c r="CH16" s="129"/>
      <c r="CJ16" s="129"/>
      <c r="CL16" s="129"/>
      <c r="CN16" s="129"/>
      <c r="CP16" s="129"/>
      <c r="CR16" s="129"/>
      <c r="CT16" s="129"/>
      <c r="CV16" s="129"/>
      <c r="CX16" s="129"/>
      <c r="CZ16" s="129"/>
      <c r="DB16" s="129"/>
      <c r="DD16" s="129"/>
      <c r="DF16" s="129"/>
      <c r="DH16" s="129"/>
      <c r="DJ16" s="129"/>
    </row>
    <row r="17" spans="1:80" s="122" customFormat="1">
      <c r="A17" s="128">
        <v>200023</v>
      </c>
      <c r="B17" s="131" t="s">
        <v>1359</v>
      </c>
      <c r="C17" s="122">
        <v>320150</v>
      </c>
      <c r="D17" s="123">
        <v>100</v>
      </c>
      <c r="E17" s="122">
        <v>320151</v>
      </c>
      <c r="F17" s="123">
        <v>100</v>
      </c>
      <c r="G17" s="122">
        <v>320152</v>
      </c>
      <c r="H17" s="123">
        <v>100</v>
      </c>
      <c r="I17" s="122">
        <v>320153</v>
      </c>
      <c r="J17" s="123">
        <v>100</v>
      </c>
      <c r="L17" s="123"/>
      <c r="N17" s="123"/>
      <c r="P17" s="123"/>
    </row>
    <row r="18" spans="1:80" s="122" customFormat="1" ht="12.75">
      <c r="A18" s="130">
        <v>200024</v>
      </c>
      <c r="B18" s="131" t="s">
        <v>1360</v>
      </c>
      <c r="C18" s="122">
        <v>320154</v>
      </c>
      <c r="D18" s="123">
        <v>100</v>
      </c>
      <c r="E18" s="122">
        <v>320155</v>
      </c>
      <c r="F18" s="123">
        <v>100</v>
      </c>
      <c r="G18" s="122">
        <v>320156</v>
      </c>
      <c r="H18" s="123">
        <v>100</v>
      </c>
      <c r="I18" s="122">
        <v>320157</v>
      </c>
      <c r="J18" s="123">
        <v>100</v>
      </c>
      <c r="L18" s="123"/>
      <c r="N18" s="123"/>
      <c r="P18" s="123"/>
    </row>
    <row r="19" spans="1:80" s="122" customFormat="1" ht="12.75">
      <c r="A19" s="128">
        <v>200025</v>
      </c>
      <c r="B19" s="132" t="s">
        <v>1361</v>
      </c>
      <c r="C19" s="132">
        <v>6040101</v>
      </c>
      <c r="D19" s="123">
        <v>35</v>
      </c>
      <c r="E19" s="129">
        <v>6040102</v>
      </c>
      <c r="F19" s="123">
        <v>35</v>
      </c>
      <c r="G19" s="129">
        <v>6040103</v>
      </c>
      <c r="H19" s="123">
        <v>35</v>
      </c>
      <c r="I19" s="129">
        <v>6040104</v>
      </c>
      <c r="J19" s="123">
        <v>35</v>
      </c>
      <c r="K19" s="129">
        <v>6040105</v>
      </c>
      <c r="L19" s="123">
        <v>35</v>
      </c>
      <c r="M19" s="129">
        <v>6040106</v>
      </c>
      <c r="N19" s="123">
        <v>35</v>
      </c>
      <c r="O19" s="129">
        <v>6040207</v>
      </c>
      <c r="P19" s="123">
        <v>70</v>
      </c>
      <c r="Q19" s="129">
        <v>6040208</v>
      </c>
      <c r="R19" s="123">
        <v>70</v>
      </c>
      <c r="S19" s="129">
        <v>6040309</v>
      </c>
      <c r="T19" s="123">
        <v>70</v>
      </c>
      <c r="U19" s="129">
        <v>6040310</v>
      </c>
      <c r="V19" s="123">
        <v>70</v>
      </c>
      <c r="W19" s="129">
        <v>6040411</v>
      </c>
      <c r="X19" s="123">
        <v>70</v>
      </c>
      <c r="Y19" s="129">
        <v>6040512</v>
      </c>
      <c r="Z19" s="123">
        <v>70</v>
      </c>
      <c r="AA19" s="129">
        <v>6040613</v>
      </c>
      <c r="AB19" s="123">
        <v>70</v>
      </c>
      <c r="AC19" s="129">
        <v>6050101</v>
      </c>
      <c r="AD19" s="123">
        <v>15</v>
      </c>
      <c r="AE19" s="129">
        <v>6050102</v>
      </c>
      <c r="AF19" s="123">
        <v>15</v>
      </c>
      <c r="AG19" s="129">
        <v>6050103</v>
      </c>
      <c r="AH19" s="123">
        <v>15</v>
      </c>
      <c r="AI19" s="129">
        <v>6050104</v>
      </c>
      <c r="AJ19" s="123">
        <v>15</v>
      </c>
      <c r="AK19" s="129">
        <v>6050105</v>
      </c>
      <c r="AL19" s="123">
        <v>15</v>
      </c>
      <c r="AM19" s="129">
        <v>6050106</v>
      </c>
      <c r="AN19" s="123">
        <v>15</v>
      </c>
      <c r="AO19" s="129">
        <v>6050207</v>
      </c>
      <c r="AP19" s="123">
        <v>30</v>
      </c>
      <c r="AQ19" s="129">
        <v>6050208</v>
      </c>
      <c r="AR19" s="123">
        <v>30</v>
      </c>
      <c r="AS19" s="129">
        <v>6050309</v>
      </c>
      <c r="AT19" s="123">
        <v>30</v>
      </c>
      <c r="AU19" s="129">
        <v>6050310</v>
      </c>
      <c r="AV19" s="123">
        <v>30</v>
      </c>
      <c r="AW19" s="129">
        <v>6050411</v>
      </c>
      <c r="AX19" s="123">
        <v>30</v>
      </c>
      <c r="AY19" s="129">
        <v>6050512</v>
      </c>
      <c r="AZ19" s="123">
        <v>30</v>
      </c>
      <c r="BA19" s="129">
        <v>6050613</v>
      </c>
      <c r="BB19" s="123">
        <v>30</v>
      </c>
    </row>
    <row r="20" spans="1:80" s="122" customFormat="1" ht="12.75">
      <c r="A20" s="130">
        <v>200026</v>
      </c>
      <c r="B20" s="132" t="s">
        <v>1362</v>
      </c>
      <c r="C20" s="129">
        <v>7040101</v>
      </c>
      <c r="D20" s="123">
        <v>50</v>
      </c>
      <c r="E20" s="129">
        <v>7040102</v>
      </c>
      <c r="F20" s="123">
        <v>50</v>
      </c>
      <c r="G20" s="129">
        <v>7040103</v>
      </c>
      <c r="H20" s="123">
        <v>50</v>
      </c>
      <c r="I20" s="129">
        <v>7040104</v>
      </c>
      <c r="J20" s="123">
        <v>50</v>
      </c>
      <c r="K20" s="129">
        <v>7040105</v>
      </c>
      <c r="L20" s="123">
        <v>50</v>
      </c>
      <c r="M20" s="129">
        <v>7040106</v>
      </c>
      <c r="N20" s="123">
        <v>50</v>
      </c>
      <c r="O20" s="129">
        <v>7040207</v>
      </c>
      <c r="P20" s="123">
        <v>100</v>
      </c>
      <c r="Q20" s="129">
        <v>7040208</v>
      </c>
      <c r="R20" s="123">
        <v>100</v>
      </c>
      <c r="S20" s="129">
        <v>7040309</v>
      </c>
      <c r="T20" s="123">
        <v>100</v>
      </c>
      <c r="U20" s="129">
        <v>7040310</v>
      </c>
      <c r="V20" s="123">
        <v>100</v>
      </c>
      <c r="W20" s="129">
        <v>7040411</v>
      </c>
      <c r="X20" s="123">
        <v>100</v>
      </c>
      <c r="Y20" s="129">
        <v>7040512</v>
      </c>
      <c r="Z20" s="123">
        <v>100</v>
      </c>
      <c r="AA20" s="129">
        <v>7040613</v>
      </c>
      <c r="AB20" s="123">
        <v>100</v>
      </c>
      <c r="AC20" s="129">
        <v>7050101</v>
      </c>
      <c r="AD20" s="123">
        <v>10</v>
      </c>
      <c r="AE20" s="129">
        <v>7050102</v>
      </c>
      <c r="AF20" s="123">
        <v>10</v>
      </c>
      <c r="AG20" s="129">
        <v>7050103</v>
      </c>
      <c r="AH20" s="123">
        <v>10</v>
      </c>
      <c r="AI20" s="129">
        <v>7050104</v>
      </c>
      <c r="AJ20" s="123">
        <v>10</v>
      </c>
      <c r="AK20" s="129">
        <v>7050105</v>
      </c>
      <c r="AL20" s="123">
        <v>10</v>
      </c>
      <c r="AM20" s="129">
        <v>7050106</v>
      </c>
      <c r="AN20" s="123">
        <v>10</v>
      </c>
      <c r="AO20" s="129">
        <v>7050207</v>
      </c>
      <c r="AP20" s="123">
        <v>20</v>
      </c>
      <c r="AQ20" s="129">
        <v>7050208</v>
      </c>
      <c r="AR20" s="123">
        <v>20</v>
      </c>
      <c r="AS20" s="129">
        <v>7050309</v>
      </c>
      <c r="AT20" s="123">
        <v>20</v>
      </c>
      <c r="AU20" s="129">
        <v>7050310</v>
      </c>
      <c r="AV20" s="123">
        <v>20</v>
      </c>
      <c r="AW20" s="129">
        <v>7050411</v>
      </c>
      <c r="AX20" s="123">
        <v>20</v>
      </c>
      <c r="AY20" s="129">
        <v>7050512</v>
      </c>
      <c r="AZ20" s="123">
        <v>20</v>
      </c>
      <c r="BA20" s="129">
        <v>7050613</v>
      </c>
      <c r="BB20" s="123">
        <v>20</v>
      </c>
    </row>
    <row r="21" spans="1:80" s="123" customFormat="1" ht="12.75">
      <c r="A21" s="128">
        <v>200027</v>
      </c>
      <c r="B21" s="132" t="s">
        <v>1363</v>
      </c>
      <c r="C21" s="129">
        <v>7040101</v>
      </c>
      <c r="D21" s="123">
        <v>50</v>
      </c>
      <c r="E21" s="129">
        <v>7040102</v>
      </c>
      <c r="F21" s="123">
        <v>50</v>
      </c>
      <c r="G21" s="129">
        <v>7040103</v>
      </c>
      <c r="H21" s="123">
        <v>50</v>
      </c>
      <c r="I21" s="129">
        <v>7040104</v>
      </c>
      <c r="J21" s="123">
        <v>50</v>
      </c>
      <c r="K21" s="129">
        <v>7040105</v>
      </c>
      <c r="L21" s="123">
        <v>50</v>
      </c>
      <c r="M21" s="129">
        <v>7040106</v>
      </c>
      <c r="N21" s="123">
        <v>50</v>
      </c>
      <c r="O21" s="129">
        <v>7040207</v>
      </c>
      <c r="P21" s="123">
        <v>100</v>
      </c>
      <c r="Q21" s="129">
        <v>7040208</v>
      </c>
      <c r="R21" s="123">
        <v>100</v>
      </c>
      <c r="S21" s="129">
        <v>7040309</v>
      </c>
      <c r="T21" s="123">
        <v>100</v>
      </c>
      <c r="U21" s="129">
        <v>7040310</v>
      </c>
      <c r="V21" s="123">
        <v>100</v>
      </c>
      <c r="W21" s="129">
        <v>7040411</v>
      </c>
      <c r="X21" s="123">
        <v>100</v>
      </c>
      <c r="Y21" s="129">
        <v>7040512</v>
      </c>
      <c r="Z21" s="123">
        <v>100</v>
      </c>
      <c r="AA21" s="129">
        <v>7040613</v>
      </c>
      <c r="AB21" s="123">
        <v>100</v>
      </c>
      <c r="AC21" s="129">
        <v>7050101</v>
      </c>
      <c r="AD21" s="123">
        <v>15</v>
      </c>
      <c r="AE21" s="129">
        <v>7050102</v>
      </c>
      <c r="AF21" s="123">
        <v>15</v>
      </c>
      <c r="AG21" s="129">
        <v>7050103</v>
      </c>
      <c r="AH21" s="123">
        <v>15</v>
      </c>
      <c r="AI21" s="129">
        <v>7050104</v>
      </c>
      <c r="AJ21" s="123">
        <v>15</v>
      </c>
      <c r="AK21" s="129">
        <v>7050105</v>
      </c>
      <c r="AL21" s="123">
        <v>15</v>
      </c>
      <c r="AM21" s="129">
        <v>7050106</v>
      </c>
      <c r="AN21" s="123">
        <v>15</v>
      </c>
      <c r="AO21" s="129">
        <v>7050207</v>
      </c>
      <c r="AP21" s="123">
        <v>30</v>
      </c>
      <c r="AQ21" s="129">
        <v>7050208</v>
      </c>
      <c r="AR21" s="123">
        <v>30</v>
      </c>
      <c r="AS21" s="129">
        <v>7050309</v>
      </c>
      <c r="AT21" s="123">
        <v>30</v>
      </c>
      <c r="AU21" s="129">
        <v>7050310</v>
      </c>
      <c r="AV21" s="123">
        <v>30</v>
      </c>
      <c r="AW21" s="129">
        <v>7050411</v>
      </c>
      <c r="AX21" s="123">
        <v>30</v>
      </c>
      <c r="AY21" s="129">
        <v>7050512</v>
      </c>
      <c r="AZ21" s="123">
        <v>30</v>
      </c>
      <c r="BA21" s="129">
        <v>7050613</v>
      </c>
      <c r="BB21" s="123">
        <v>30</v>
      </c>
    </row>
    <row r="22" spans="1:80" s="123" customFormat="1" ht="12.75">
      <c r="A22" s="130">
        <v>200028</v>
      </c>
      <c r="B22" s="132" t="s">
        <v>1364</v>
      </c>
      <c r="C22" s="132">
        <v>6040101</v>
      </c>
      <c r="D22" s="123">
        <v>30</v>
      </c>
      <c r="E22" s="129">
        <v>6040102</v>
      </c>
      <c r="F22" s="123">
        <v>30</v>
      </c>
      <c r="G22" s="129">
        <v>6040103</v>
      </c>
      <c r="H22" s="123">
        <v>30</v>
      </c>
      <c r="I22" s="129">
        <v>6040104</v>
      </c>
      <c r="J22" s="123">
        <v>30</v>
      </c>
      <c r="K22" s="129">
        <v>6040105</v>
      </c>
      <c r="L22" s="123">
        <v>30</v>
      </c>
      <c r="M22" s="129">
        <v>6040106</v>
      </c>
      <c r="N22" s="123">
        <v>30</v>
      </c>
      <c r="O22" s="129">
        <v>6040207</v>
      </c>
      <c r="P22" s="123">
        <v>60</v>
      </c>
      <c r="Q22" s="129">
        <v>6040208</v>
      </c>
      <c r="R22" s="123">
        <v>60</v>
      </c>
      <c r="S22" s="129">
        <v>6040309</v>
      </c>
      <c r="T22" s="123">
        <v>60</v>
      </c>
      <c r="U22" s="129">
        <v>6040310</v>
      </c>
      <c r="V22" s="123">
        <v>60</v>
      </c>
      <c r="W22" s="129">
        <v>6040411</v>
      </c>
      <c r="X22" s="123">
        <v>60</v>
      </c>
      <c r="Y22" s="129">
        <v>6040512</v>
      </c>
      <c r="Z22" s="123">
        <v>60</v>
      </c>
      <c r="AA22" s="129">
        <v>6040613</v>
      </c>
      <c r="AB22" s="123">
        <v>60</v>
      </c>
      <c r="AC22" s="129">
        <v>6050101</v>
      </c>
      <c r="AD22" s="123">
        <v>30</v>
      </c>
      <c r="AE22" s="129">
        <v>6050102</v>
      </c>
      <c r="AF22" s="123">
        <v>30</v>
      </c>
      <c r="AG22" s="129">
        <v>6050103</v>
      </c>
      <c r="AH22" s="123">
        <v>30</v>
      </c>
      <c r="AI22" s="129">
        <v>6050104</v>
      </c>
      <c r="AJ22" s="123">
        <v>30</v>
      </c>
      <c r="AK22" s="129">
        <v>6050105</v>
      </c>
      <c r="AL22" s="123">
        <v>30</v>
      </c>
      <c r="AM22" s="129">
        <v>6050106</v>
      </c>
      <c r="AN22" s="123">
        <v>30</v>
      </c>
      <c r="AO22" s="129">
        <v>6050207</v>
      </c>
      <c r="AP22" s="123">
        <v>60</v>
      </c>
      <c r="AQ22" s="129">
        <v>6050208</v>
      </c>
      <c r="AR22" s="123">
        <v>60</v>
      </c>
      <c r="AS22" s="129">
        <v>6050309</v>
      </c>
      <c r="AT22" s="123">
        <v>60</v>
      </c>
      <c r="AU22" s="129">
        <v>6050310</v>
      </c>
      <c r="AV22" s="123">
        <v>60</v>
      </c>
      <c r="AW22" s="129">
        <v>6050411</v>
      </c>
      <c r="AX22" s="123">
        <v>60</v>
      </c>
      <c r="AY22" s="129">
        <v>6050512</v>
      </c>
      <c r="AZ22" s="123">
        <v>60</v>
      </c>
      <c r="BA22" s="129">
        <v>6050613</v>
      </c>
      <c r="BB22" s="123">
        <v>60</v>
      </c>
      <c r="BC22" s="129">
        <v>6060101</v>
      </c>
      <c r="BD22" s="123">
        <v>5</v>
      </c>
      <c r="BE22" s="129">
        <v>6060102</v>
      </c>
      <c r="BF22" s="123">
        <v>5</v>
      </c>
      <c r="BG22" s="129">
        <v>6060103</v>
      </c>
      <c r="BH22" s="123">
        <v>5</v>
      </c>
      <c r="BI22" s="129">
        <v>6060104</v>
      </c>
      <c r="BJ22" s="123">
        <v>5</v>
      </c>
      <c r="BK22" s="129">
        <v>6060105</v>
      </c>
      <c r="BL22" s="123">
        <v>5</v>
      </c>
      <c r="BM22" s="129">
        <v>6060106</v>
      </c>
      <c r="BN22" s="123">
        <v>5</v>
      </c>
      <c r="BO22" s="129">
        <v>6060207</v>
      </c>
      <c r="BP22" s="123">
        <v>10</v>
      </c>
      <c r="BQ22" s="129">
        <v>6060208</v>
      </c>
      <c r="BR22" s="123">
        <v>10</v>
      </c>
      <c r="BS22" s="129">
        <v>6060309</v>
      </c>
      <c r="BT22" s="123">
        <v>10</v>
      </c>
      <c r="BU22" s="129">
        <v>6060310</v>
      </c>
      <c r="BV22" s="123">
        <v>10</v>
      </c>
      <c r="BW22" s="129">
        <v>6060411</v>
      </c>
      <c r="BX22" s="123">
        <v>10</v>
      </c>
      <c r="BY22" s="129">
        <v>6060512</v>
      </c>
      <c r="BZ22" s="123">
        <v>10</v>
      </c>
      <c r="CA22" s="129">
        <v>6060613</v>
      </c>
      <c r="CB22" s="123">
        <v>10</v>
      </c>
    </row>
    <row r="23" spans="1:80" s="123" customFormat="1" ht="12.75">
      <c r="A23" s="128">
        <v>200029</v>
      </c>
      <c r="B23" s="132" t="s">
        <v>1365</v>
      </c>
      <c r="C23" s="129">
        <v>7040101</v>
      </c>
      <c r="D23" s="123">
        <v>20</v>
      </c>
      <c r="E23" s="129">
        <v>7040102</v>
      </c>
      <c r="F23" s="123">
        <v>20</v>
      </c>
      <c r="G23" s="129">
        <v>7040103</v>
      </c>
      <c r="H23" s="123">
        <v>20</v>
      </c>
      <c r="I23" s="129">
        <v>7040104</v>
      </c>
      <c r="J23" s="123">
        <v>20</v>
      </c>
      <c r="K23" s="129">
        <v>7040105</v>
      </c>
      <c r="L23" s="123">
        <v>20</v>
      </c>
      <c r="M23" s="129">
        <v>7040106</v>
      </c>
      <c r="N23" s="123">
        <v>20</v>
      </c>
      <c r="O23" s="129">
        <v>7040207</v>
      </c>
      <c r="P23" s="123">
        <v>40</v>
      </c>
      <c r="Q23" s="129">
        <v>7040208</v>
      </c>
      <c r="R23" s="123">
        <v>40</v>
      </c>
      <c r="S23" s="129">
        <v>7040309</v>
      </c>
      <c r="T23" s="123">
        <v>40</v>
      </c>
      <c r="U23" s="129">
        <v>7040310</v>
      </c>
      <c r="V23" s="123">
        <v>40</v>
      </c>
      <c r="W23" s="129">
        <v>7040411</v>
      </c>
      <c r="X23" s="123">
        <v>40</v>
      </c>
      <c r="Y23" s="129">
        <v>7040512</v>
      </c>
      <c r="Z23" s="123">
        <v>40</v>
      </c>
      <c r="AA23" s="129">
        <v>7040613</v>
      </c>
      <c r="AB23" s="123">
        <v>40</v>
      </c>
      <c r="AC23" s="129">
        <v>7050101</v>
      </c>
      <c r="AD23" s="123">
        <v>15</v>
      </c>
      <c r="AE23" s="129">
        <v>7050102</v>
      </c>
      <c r="AF23" s="123">
        <v>15</v>
      </c>
      <c r="AG23" s="129">
        <v>7050103</v>
      </c>
      <c r="AH23" s="123">
        <v>15</v>
      </c>
      <c r="AI23" s="129">
        <v>7050104</v>
      </c>
      <c r="AJ23" s="123">
        <v>15</v>
      </c>
      <c r="AK23" s="129">
        <v>7050105</v>
      </c>
      <c r="AL23" s="123">
        <v>15</v>
      </c>
      <c r="AM23" s="129">
        <v>7050106</v>
      </c>
      <c r="AN23" s="123">
        <v>15</v>
      </c>
      <c r="AO23" s="129">
        <v>7050207</v>
      </c>
      <c r="AP23" s="123">
        <v>30</v>
      </c>
      <c r="AQ23" s="129">
        <v>7050208</v>
      </c>
      <c r="AR23" s="123">
        <v>30</v>
      </c>
      <c r="AS23" s="129">
        <v>7050309</v>
      </c>
      <c r="AT23" s="123">
        <v>30</v>
      </c>
      <c r="AU23" s="129">
        <v>7050310</v>
      </c>
      <c r="AV23" s="123">
        <v>30</v>
      </c>
      <c r="AW23" s="129">
        <v>7050411</v>
      </c>
      <c r="AX23" s="123">
        <v>30</v>
      </c>
      <c r="AY23" s="129">
        <v>7050512</v>
      </c>
      <c r="AZ23" s="123">
        <v>30</v>
      </c>
      <c r="BA23" s="129">
        <v>7050613</v>
      </c>
      <c r="BB23" s="123">
        <v>30</v>
      </c>
      <c r="BC23" s="129">
        <v>7060101</v>
      </c>
      <c r="BD23" s="123">
        <v>2</v>
      </c>
      <c r="BE23" s="129">
        <v>7060102</v>
      </c>
      <c r="BF23" s="123">
        <v>2</v>
      </c>
      <c r="BG23" s="129">
        <v>7060103</v>
      </c>
      <c r="BH23" s="123">
        <v>2</v>
      </c>
      <c r="BI23" s="129">
        <v>7060104</v>
      </c>
      <c r="BJ23" s="123">
        <v>2</v>
      </c>
      <c r="BK23" s="129">
        <v>7060105</v>
      </c>
      <c r="BL23" s="123">
        <v>2</v>
      </c>
      <c r="BM23" s="129">
        <v>7060106</v>
      </c>
      <c r="BN23" s="123">
        <v>2</v>
      </c>
      <c r="BO23" s="129">
        <v>7060207</v>
      </c>
      <c r="BP23" s="123">
        <v>4</v>
      </c>
      <c r="BQ23" s="129">
        <v>7060208</v>
      </c>
      <c r="BR23" s="123">
        <v>4</v>
      </c>
      <c r="BS23" s="129">
        <v>7060309</v>
      </c>
      <c r="BT23" s="123">
        <v>4</v>
      </c>
      <c r="BU23" s="129">
        <v>7060310</v>
      </c>
      <c r="BV23" s="123">
        <v>4</v>
      </c>
      <c r="BW23" s="129">
        <v>7060411</v>
      </c>
      <c r="BX23" s="123">
        <v>4</v>
      </c>
      <c r="BY23" s="129">
        <v>7060512</v>
      </c>
      <c r="BZ23" s="123">
        <v>4</v>
      </c>
      <c r="CA23" s="129">
        <v>7060613</v>
      </c>
      <c r="CB23" s="123">
        <v>4</v>
      </c>
    </row>
    <row r="24" spans="1:80" s="123" customFormat="1" ht="12.75">
      <c r="A24" s="130">
        <v>200030</v>
      </c>
      <c r="B24" s="132" t="s">
        <v>1366</v>
      </c>
      <c r="C24" s="129">
        <v>6050101</v>
      </c>
      <c r="D24" s="123">
        <v>30</v>
      </c>
      <c r="E24" s="129">
        <v>6050102</v>
      </c>
      <c r="F24" s="123">
        <v>30</v>
      </c>
      <c r="G24" s="129">
        <v>6050103</v>
      </c>
      <c r="H24" s="123">
        <v>30</v>
      </c>
      <c r="I24" s="129">
        <v>6050104</v>
      </c>
      <c r="J24" s="123">
        <v>30</v>
      </c>
      <c r="K24" s="129">
        <v>6050105</v>
      </c>
      <c r="L24" s="123">
        <v>30</v>
      </c>
      <c r="M24" s="129">
        <v>6050106</v>
      </c>
      <c r="N24" s="123">
        <v>30</v>
      </c>
      <c r="O24" s="129">
        <v>6050207</v>
      </c>
      <c r="P24" s="123">
        <v>60</v>
      </c>
      <c r="Q24" s="129">
        <v>6050208</v>
      </c>
      <c r="R24" s="123">
        <v>60</v>
      </c>
      <c r="S24" s="129">
        <v>6050309</v>
      </c>
      <c r="T24" s="123">
        <v>60</v>
      </c>
      <c r="U24" s="129">
        <v>6050310</v>
      </c>
      <c r="V24" s="123">
        <v>60</v>
      </c>
      <c r="W24" s="129">
        <v>6050411</v>
      </c>
      <c r="X24" s="123">
        <v>60</v>
      </c>
      <c r="Y24" s="129">
        <v>6050512</v>
      </c>
      <c r="Z24" s="123">
        <v>60</v>
      </c>
      <c r="AA24" s="129">
        <v>6050613</v>
      </c>
      <c r="AB24" s="123">
        <v>60</v>
      </c>
      <c r="AC24" s="129">
        <v>6060101</v>
      </c>
      <c r="AD24" s="123">
        <v>10</v>
      </c>
      <c r="AE24" s="129">
        <v>6060102</v>
      </c>
      <c r="AF24" s="123">
        <v>10</v>
      </c>
      <c r="AG24" s="129">
        <v>6060103</v>
      </c>
      <c r="AH24" s="123">
        <v>10</v>
      </c>
      <c r="AI24" s="129">
        <v>6060104</v>
      </c>
      <c r="AJ24" s="123">
        <v>10</v>
      </c>
      <c r="AK24" s="129">
        <v>6060105</v>
      </c>
      <c r="AL24" s="123">
        <v>10</v>
      </c>
      <c r="AM24" s="129">
        <v>6060106</v>
      </c>
      <c r="AN24" s="123">
        <v>10</v>
      </c>
      <c r="AO24" s="129">
        <v>6060207</v>
      </c>
      <c r="AP24" s="123">
        <v>20</v>
      </c>
      <c r="AQ24" s="129">
        <v>6060208</v>
      </c>
      <c r="AR24" s="123">
        <v>20</v>
      </c>
      <c r="AS24" s="129">
        <v>6060309</v>
      </c>
      <c r="AT24" s="123">
        <v>20</v>
      </c>
      <c r="AU24" s="129">
        <v>6060310</v>
      </c>
      <c r="AV24" s="123">
        <v>20</v>
      </c>
      <c r="AW24" s="129">
        <v>6060411</v>
      </c>
      <c r="AX24" s="123">
        <v>20</v>
      </c>
      <c r="AY24" s="129">
        <v>6060512</v>
      </c>
      <c r="AZ24" s="123">
        <v>20</v>
      </c>
      <c r="BA24" s="129">
        <v>6060613</v>
      </c>
      <c r="BB24" s="123">
        <v>20</v>
      </c>
    </row>
    <row r="25" spans="1:80" s="123" customFormat="1" ht="12.75">
      <c r="A25" s="128">
        <v>200031</v>
      </c>
      <c r="B25" s="132" t="s">
        <v>1367</v>
      </c>
      <c r="C25" s="129">
        <v>7050101</v>
      </c>
      <c r="D25" s="123">
        <v>15</v>
      </c>
      <c r="E25" s="129">
        <v>7050102</v>
      </c>
      <c r="F25" s="123">
        <v>15</v>
      </c>
      <c r="G25" s="129">
        <v>7050103</v>
      </c>
      <c r="H25" s="123">
        <v>15</v>
      </c>
      <c r="I25" s="129">
        <v>7050104</v>
      </c>
      <c r="J25" s="123">
        <v>15</v>
      </c>
      <c r="K25" s="129">
        <v>7050105</v>
      </c>
      <c r="L25" s="123">
        <v>15</v>
      </c>
      <c r="M25" s="129">
        <v>7050106</v>
      </c>
      <c r="N25" s="123">
        <v>15</v>
      </c>
      <c r="O25" s="129">
        <v>7050207</v>
      </c>
      <c r="P25" s="123">
        <v>30</v>
      </c>
      <c r="Q25" s="129">
        <v>7050208</v>
      </c>
      <c r="R25" s="123">
        <v>30</v>
      </c>
      <c r="S25" s="129">
        <v>7050309</v>
      </c>
      <c r="T25" s="123">
        <v>30</v>
      </c>
      <c r="U25" s="129">
        <v>7050310</v>
      </c>
      <c r="V25" s="123">
        <v>30</v>
      </c>
      <c r="W25" s="129">
        <v>7050411</v>
      </c>
      <c r="X25" s="123">
        <v>30</v>
      </c>
      <c r="Y25" s="129">
        <v>7050512</v>
      </c>
      <c r="Z25" s="123">
        <v>30</v>
      </c>
      <c r="AA25" s="129">
        <v>7050613</v>
      </c>
      <c r="AB25" s="123">
        <v>30</v>
      </c>
      <c r="AC25" s="129">
        <v>7060101</v>
      </c>
      <c r="AD25" s="123">
        <v>5</v>
      </c>
      <c r="AE25" s="129">
        <v>7060102</v>
      </c>
      <c r="AF25" s="123">
        <v>5</v>
      </c>
      <c r="AG25" s="129">
        <v>7060103</v>
      </c>
      <c r="AH25" s="123">
        <v>5</v>
      </c>
      <c r="AI25" s="129">
        <v>7060104</v>
      </c>
      <c r="AJ25" s="123">
        <v>5</v>
      </c>
      <c r="AK25" s="129">
        <v>7060105</v>
      </c>
      <c r="AL25" s="123">
        <v>5</v>
      </c>
      <c r="AM25" s="129">
        <v>7060106</v>
      </c>
      <c r="AN25" s="123">
        <v>5</v>
      </c>
      <c r="AO25" s="129">
        <v>7060207</v>
      </c>
      <c r="AP25" s="123">
        <v>10</v>
      </c>
      <c r="AQ25" s="129">
        <v>7060208</v>
      </c>
      <c r="AR25" s="123">
        <v>10</v>
      </c>
      <c r="AS25" s="129">
        <v>7060309</v>
      </c>
      <c r="AT25" s="123">
        <v>10</v>
      </c>
      <c r="AU25" s="129">
        <v>7060310</v>
      </c>
      <c r="AV25" s="123">
        <v>10</v>
      </c>
      <c r="AW25" s="129">
        <v>7060411</v>
      </c>
      <c r="AX25" s="123">
        <v>10</v>
      </c>
      <c r="AY25" s="129">
        <v>7060512</v>
      </c>
      <c r="AZ25" s="123">
        <v>10</v>
      </c>
      <c r="BA25" s="129">
        <v>7060613</v>
      </c>
      <c r="BB25" s="123">
        <v>10</v>
      </c>
    </row>
    <row r="26" spans="1:80" s="123" customFormat="1" ht="12.75">
      <c r="A26" s="130">
        <v>200032</v>
      </c>
      <c r="B26" s="132" t="s">
        <v>1368</v>
      </c>
      <c r="C26" s="128">
        <v>341104</v>
      </c>
      <c r="D26" s="123">
        <v>50</v>
      </c>
      <c r="E26" s="128">
        <v>341105</v>
      </c>
      <c r="F26" s="123">
        <v>50</v>
      </c>
      <c r="I26" s="129"/>
      <c r="J26" s="129"/>
    </row>
    <row r="27" spans="1:80" s="123" customFormat="1" ht="12.75">
      <c r="A27" s="128">
        <v>200033</v>
      </c>
      <c r="B27" s="132" t="s">
        <v>1369</v>
      </c>
      <c r="C27" s="128">
        <v>341105</v>
      </c>
      <c r="D27" s="123">
        <v>50</v>
      </c>
      <c r="E27" s="128">
        <v>341106</v>
      </c>
      <c r="F27" s="123">
        <v>50</v>
      </c>
      <c r="G27" s="128">
        <v>341107</v>
      </c>
      <c r="H27" s="123">
        <v>10</v>
      </c>
      <c r="I27" s="129"/>
      <c r="J27" s="129"/>
    </row>
    <row r="28" spans="1:80" s="123" customFormat="1" ht="12.75">
      <c r="A28" s="130">
        <v>200034</v>
      </c>
      <c r="B28" s="132" t="s">
        <v>1370</v>
      </c>
      <c r="C28" s="129">
        <f>C11-2000000</f>
        <v>4040101</v>
      </c>
      <c r="D28" s="129">
        <v>80</v>
      </c>
      <c r="E28" s="129">
        <f t="shared" ref="E28" si="11">E11-2000000</f>
        <v>4040102</v>
      </c>
      <c r="F28" s="129">
        <v>80</v>
      </c>
      <c r="G28" s="129">
        <f t="shared" ref="G28" si="12">G11-2000000</f>
        <v>4040103</v>
      </c>
      <c r="H28" s="129">
        <v>80</v>
      </c>
      <c r="I28" s="129">
        <f t="shared" ref="I28" si="13">I11-2000000</f>
        <v>4040104</v>
      </c>
      <c r="J28" s="129">
        <v>80</v>
      </c>
      <c r="K28" s="129">
        <f t="shared" ref="K28" si="14">K11-2000000</f>
        <v>4040105</v>
      </c>
      <c r="L28" s="129">
        <v>80</v>
      </c>
      <c r="M28" s="129">
        <f t="shared" ref="M28" si="15">M11-2000000</f>
        <v>4040106</v>
      </c>
      <c r="N28" s="129">
        <v>80</v>
      </c>
      <c r="O28" s="129">
        <f t="shared" ref="O28" si="16">O11-2000000</f>
        <v>4040207</v>
      </c>
      <c r="P28" s="129">
        <v>80</v>
      </c>
      <c r="Q28" s="129">
        <f t="shared" ref="Q28" si="17">Q11-2000000</f>
        <v>4040208</v>
      </c>
      <c r="R28" s="129">
        <v>80</v>
      </c>
      <c r="S28" s="129">
        <f t="shared" ref="S28" si="18">S11-2000000</f>
        <v>4040309</v>
      </c>
      <c r="T28" s="129">
        <v>80</v>
      </c>
      <c r="U28" s="129">
        <f t="shared" ref="U28" si="19">U11-2000000</f>
        <v>4040310</v>
      </c>
      <c r="V28" s="129">
        <v>80</v>
      </c>
      <c r="W28" s="129">
        <f t="shared" ref="W28" si="20">W11-2000000</f>
        <v>4040411</v>
      </c>
      <c r="X28" s="129">
        <v>80</v>
      </c>
      <c r="Y28" s="129">
        <f t="shared" ref="Y28" si="21">Y11-2000000</f>
        <v>4040512</v>
      </c>
      <c r="Z28" s="129">
        <v>80</v>
      </c>
      <c r="AA28" s="129">
        <f t="shared" ref="AA28" si="22">AA11-2000000</f>
        <v>4040613</v>
      </c>
      <c r="AB28" s="129">
        <v>80</v>
      </c>
      <c r="AC28" s="123">
        <f>C28+1000000</f>
        <v>5040101</v>
      </c>
      <c r="AD28" s="123">
        <v>20</v>
      </c>
      <c r="AE28" s="123">
        <f t="shared" ref="AE28" si="23">E28+1000000</f>
        <v>5040102</v>
      </c>
      <c r="AF28" s="123">
        <v>20</v>
      </c>
      <c r="AG28" s="123">
        <f t="shared" ref="AG28" si="24">G28+1000000</f>
        <v>5040103</v>
      </c>
      <c r="AH28" s="123">
        <v>20</v>
      </c>
      <c r="AI28" s="123">
        <f t="shared" ref="AI28" si="25">I28+1000000</f>
        <v>5040104</v>
      </c>
      <c r="AJ28" s="123">
        <v>20</v>
      </c>
      <c r="AK28" s="123">
        <f t="shared" ref="AK28" si="26">K28+1000000</f>
        <v>5040105</v>
      </c>
      <c r="AL28" s="123">
        <v>20</v>
      </c>
      <c r="AM28" s="123">
        <f t="shared" ref="AM28" si="27">M28+1000000</f>
        <v>5040106</v>
      </c>
      <c r="AN28" s="123">
        <v>20</v>
      </c>
      <c r="AO28" s="123">
        <f t="shared" ref="AO28" si="28">O28+1000000</f>
        <v>5040207</v>
      </c>
      <c r="AP28" s="123">
        <v>20</v>
      </c>
      <c r="AQ28" s="123">
        <f t="shared" ref="AQ28" si="29">Q28+1000000</f>
        <v>5040208</v>
      </c>
      <c r="AR28" s="123">
        <v>20</v>
      </c>
      <c r="AS28" s="123">
        <f t="shared" ref="AS28" si="30">S28+1000000</f>
        <v>5040309</v>
      </c>
      <c r="AT28" s="123">
        <v>20</v>
      </c>
      <c r="AU28" s="123">
        <f t="shared" ref="AU28" si="31">U28+1000000</f>
        <v>5040310</v>
      </c>
      <c r="AV28" s="123">
        <v>20</v>
      </c>
      <c r="AW28" s="123">
        <f t="shared" ref="AW28" si="32">W28+1000000</f>
        <v>5040411</v>
      </c>
      <c r="AX28" s="123">
        <v>20</v>
      </c>
      <c r="AY28" s="123">
        <f t="shared" ref="AY28" si="33">Y28+1000000</f>
        <v>5040512</v>
      </c>
      <c r="AZ28" s="123">
        <v>20</v>
      </c>
      <c r="BA28" s="123">
        <f t="shared" ref="BA28" si="34">AA28+1000000</f>
        <v>5040613</v>
      </c>
      <c r="BB28" s="123">
        <v>20</v>
      </c>
    </row>
    <row r="29" spans="1:80" s="123" customFormat="1" ht="12.75">
      <c r="A29" s="128">
        <v>200035</v>
      </c>
      <c r="B29" s="132" t="s">
        <v>1371</v>
      </c>
      <c r="C29" s="129">
        <f t="shared" ref="C29" si="35">C12-2000000</f>
        <v>4050101</v>
      </c>
      <c r="D29" s="129">
        <v>80</v>
      </c>
      <c r="E29" s="129">
        <f>E12-2000000</f>
        <v>4050102</v>
      </c>
      <c r="F29" s="129">
        <v>80</v>
      </c>
      <c r="G29" s="129">
        <f t="shared" ref="G29" si="36">G12-2000000</f>
        <v>4050103</v>
      </c>
      <c r="H29" s="129">
        <v>80</v>
      </c>
      <c r="I29" s="129">
        <f>I12-2000000</f>
        <v>4050104</v>
      </c>
      <c r="J29" s="129">
        <v>80</v>
      </c>
      <c r="K29" s="129">
        <f>K12-2000000</f>
        <v>4050105</v>
      </c>
      <c r="L29" s="129">
        <v>80</v>
      </c>
      <c r="M29" s="129">
        <f t="shared" ref="M29" si="37">M12-2000000</f>
        <v>4050106</v>
      </c>
      <c r="N29" s="129">
        <v>80</v>
      </c>
      <c r="O29" s="129">
        <f>O12-2000000</f>
        <v>4050207</v>
      </c>
      <c r="P29" s="129">
        <v>80</v>
      </c>
      <c r="Q29" s="129">
        <f>Q12-2000000</f>
        <v>4050208</v>
      </c>
      <c r="R29" s="129">
        <v>80</v>
      </c>
      <c r="S29" s="129">
        <f t="shared" ref="S29" si="38">S12-2000000</f>
        <v>4050309</v>
      </c>
      <c r="T29" s="129">
        <v>80</v>
      </c>
      <c r="U29" s="129">
        <f>U12-2000000</f>
        <v>4050310</v>
      </c>
      <c r="V29" s="129">
        <v>80</v>
      </c>
      <c r="W29" s="129">
        <f>W12-2000000</f>
        <v>4050411</v>
      </c>
      <c r="X29" s="129">
        <v>80</v>
      </c>
      <c r="Y29" s="129">
        <f>Y12-2000000</f>
        <v>4050512</v>
      </c>
      <c r="Z29" s="129">
        <v>80</v>
      </c>
      <c r="AA29" s="129">
        <f>AA12-2000000</f>
        <v>4050613</v>
      </c>
      <c r="AB29" s="129">
        <v>80</v>
      </c>
      <c r="AC29" s="123">
        <f t="shared" ref="AC29" si="39">C29+1000000</f>
        <v>5050101</v>
      </c>
      <c r="AD29" s="123">
        <v>20</v>
      </c>
      <c r="AE29" s="123">
        <f>E29+1000000</f>
        <v>5050102</v>
      </c>
      <c r="AF29" s="123">
        <v>20</v>
      </c>
      <c r="AG29" s="123">
        <f>G29+1000000</f>
        <v>5050103</v>
      </c>
      <c r="AH29" s="123">
        <v>20</v>
      </c>
      <c r="AI29" s="123">
        <f>I29+1000000</f>
        <v>5050104</v>
      </c>
      <c r="AJ29" s="123">
        <v>20</v>
      </c>
      <c r="AK29" s="123">
        <f>K29+1000000</f>
        <v>5050105</v>
      </c>
      <c r="AL29" s="123">
        <v>20</v>
      </c>
      <c r="AM29" s="123">
        <f>M29+1000000</f>
        <v>5050106</v>
      </c>
      <c r="AN29" s="123">
        <v>20</v>
      </c>
      <c r="AO29" s="123">
        <f>O29+1000000</f>
        <v>5050207</v>
      </c>
      <c r="AP29" s="123">
        <v>20</v>
      </c>
      <c r="AQ29" s="123">
        <f>Q29+1000000</f>
        <v>5050208</v>
      </c>
      <c r="AR29" s="123">
        <v>20</v>
      </c>
      <c r="AS29" s="123">
        <f>S29+1000000</f>
        <v>5050309</v>
      </c>
      <c r="AT29" s="123">
        <v>20</v>
      </c>
      <c r="AU29" s="123">
        <f>U29+1000000</f>
        <v>5050310</v>
      </c>
      <c r="AV29" s="123">
        <v>20</v>
      </c>
      <c r="AW29" s="123">
        <f>W29+1000000</f>
        <v>5050411</v>
      </c>
      <c r="AX29" s="123">
        <v>20</v>
      </c>
      <c r="AY29" s="123">
        <f>Y29+1000000</f>
        <v>5050512</v>
      </c>
      <c r="AZ29" s="123">
        <v>20</v>
      </c>
      <c r="BA29" s="123">
        <f>AA29+1000000</f>
        <v>5050613</v>
      </c>
      <c r="BB29" s="123">
        <v>20</v>
      </c>
    </row>
    <row r="30" spans="1:80" s="123" customFormat="1" ht="12.75">
      <c r="A30" s="130">
        <v>200036</v>
      </c>
      <c r="B30" s="132" t="s">
        <v>1372</v>
      </c>
      <c r="C30" s="129">
        <f>C13-2000000</f>
        <v>4060101</v>
      </c>
      <c r="D30" s="129">
        <v>80</v>
      </c>
      <c r="E30" s="129">
        <f>E13-2000000</f>
        <v>4060102</v>
      </c>
      <c r="F30" s="129">
        <v>80</v>
      </c>
      <c r="G30" s="129">
        <f t="shared" ref="G30" si="40">G13-2000000</f>
        <v>4060103</v>
      </c>
      <c r="H30" s="129">
        <v>80</v>
      </c>
      <c r="I30" s="129">
        <f>I13-2000000</f>
        <v>4060104</v>
      </c>
      <c r="J30" s="129">
        <v>80</v>
      </c>
      <c r="K30" s="129">
        <f>K13-2000000</f>
        <v>4060105</v>
      </c>
      <c r="L30" s="129">
        <v>80</v>
      </c>
      <c r="M30" s="129">
        <f t="shared" ref="M30" si="41">M13-2000000</f>
        <v>4060106</v>
      </c>
      <c r="N30" s="129">
        <v>80</v>
      </c>
      <c r="O30" s="129">
        <f>O13-2000000</f>
        <v>4060207</v>
      </c>
      <c r="P30" s="129">
        <v>80</v>
      </c>
      <c r="Q30" s="129">
        <f>Q13-2000000</f>
        <v>4060208</v>
      </c>
      <c r="R30" s="129">
        <v>80</v>
      </c>
      <c r="S30" s="129">
        <f t="shared" ref="S30" si="42">S13-2000000</f>
        <v>4060309</v>
      </c>
      <c r="T30" s="129">
        <v>80</v>
      </c>
      <c r="U30" s="129">
        <f>U13-2000000</f>
        <v>4060310</v>
      </c>
      <c r="V30" s="129">
        <v>80</v>
      </c>
      <c r="W30" s="129">
        <f>W13-2000000</f>
        <v>4060411</v>
      </c>
      <c r="X30" s="129">
        <v>80</v>
      </c>
      <c r="Y30" s="129">
        <f>Y13-2000000</f>
        <v>4060512</v>
      </c>
      <c r="Z30" s="129">
        <v>80</v>
      </c>
      <c r="AA30" s="129">
        <f>AA13-2000000</f>
        <v>4060613</v>
      </c>
      <c r="AB30" s="129">
        <v>80</v>
      </c>
      <c r="AC30" s="123">
        <f>C30+1000000</f>
        <v>5060101</v>
      </c>
      <c r="AD30" s="123">
        <v>20</v>
      </c>
      <c r="AE30" s="123">
        <f>E30+1000000</f>
        <v>5060102</v>
      </c>
      <c r="AF30" s="123">
        <v>20</v>
      </c>
      <c r="AG30" s="123">
        <f>G30+1000000</f>
        <v>5060103</v>
      </c>
      <c r="AH30" s="123">
        <v>20</v>
      </c>
      <c r="AI30" s="123">
        <f>I30+1000000</f>
        <v>5060104</v>
      </c>
      <c r="AJ30" s="123">
        <v>20</v>
      </c>
      <c r="AK30" s="123">
        <f>K30+1000000</f>
        <v>5060105</v>
      </c>
      <c r="AL30" s="123">
        <v>20</v>
      </c>
      <c r="AM30" s="123">
        <f>M30+1000000</f>
        <v>5060106</v>
      </c>
      <c r="AN30" s="123">
        <v>20</v>
      </c>
      <c r="AO30" s="123">
        <f>O30+1000000</f>
        <v>5060207</v>
      </c>
      <c r="AP30" s="123">
        <v>20</v>
      </c>
      <c r="AQ30" s="123">
        <f>Q30+1000000</f>
        <v>5060208</v>
      </c>
      <c r="AR30" s="123">
        <v>20</v>
      </c>
      <c r="AS30" s="123">
        <f>S30+1000000</f>
        <v>5060309</v>
      </c>
      <c r="AT30" s="123">
        <v>20</v>
      </c>
      <c r="AU30" s="123">
        <f>U30+1000000</f>
        <v>5060310</v>
      </c>
      <c r="AV30" s="123">
        <v>20</v>
      </c>
      <c r="AW30" s="123">
        <f>W30+1000000</f>
        <v>5060411</v>
      </c>
      <c r="AX30" s="123">
        <v>20</v>
      </c>
      <c r="AY30" s="123">
        <f>Y30+1000000</f>
        <v>5060512</v>
      </c>
      <c r="AZ30" s="123">
        <v>20</v>
      </c>
      <c r="BA30" s="123">
        <f>AA30+1000000</f>
        <v>5060613</v>
      </c>
      <c r="BB30" s="123">
        <v>20</v>
      </c>
    </row>
    <row r="31" spans="1:80" s="123" customFormat="1" ht="12.75">
      <c r="A31" s="128">
        <v>200037</v>
      </c>
      <c r="B31" s="132" t="s">
        <v>1373</v>
      </c>
      <c r="C31" s="128">
        <v>341101</v>
      </c>
      <c r="D31" s="123">
        <v>20</v>
      </c>
      <c r="E31" s="128">
        <v>341102</v>
      </c>
      <c r="F31" s="123">
        <v>20</v>
      </c>
      <c r="G31" s="128">
        <v>341103</v>
      </c>
      <c r="H31" s="123">
        <v>20</v>
      </c>
      <c r="I31" s="129"/>
      <c r="J31" s="129"/>
    </row>
    <row r="32" spans="1:80" s="123" customFormat="1" ht="12.75">
      <c r="A32" s="130">
        <v>200038</v>
      </c>
      <c r="B32" s="132" t="s">
        <v>1374</v>
      </c>
      <c r="C32" s="128">
        <v>341103</v>
      </c>
      <c r="D32" s="123">
        <v>50</v>
      </c>
      <c r="E32" s="128">
        <v>341104</v>
      </c>
      <c r="F32" s="123">
        <v>50</v>
      </c>
      <c r="I32" s="129"/>
      <c r="J32" s="129"/>
    </row>
    <row r="33" spans="1:106" s="123" customFormat="1" ht="12.75">
      <c r="A33" s="128">
        <v>200039</v>
      </c>
      <c r="B33" s="132" t="s">
        <v>1375</v>
      </c>
      <c r="C33" s="128">
        <v>341103</v>
      </c>
      <c r="D33" s="123">
        <v>50</v>
      </c>
      <c r="E33" s="128">
        <v>341104</v>
      </c>
      <c r="F33" s="123">
        <v>50</v>
      </c>
      <c r="G33" s="128">
        <v>341105</v>
      </c>
      <c r="H33" s="123">
        <v>50</v>
      </c>
      <c r="I33" s="129"/>
      <c r="J33" s="129"/>
    </row>
    <row r="34" spans="1:106" s="123" customFormat="1" ht="12.75">
      <c r="A34" s="130">
        <v>200040</v>
      </c>
      <c r="B34" s="132" t="s">
        <v>1376</v>
      </c>
      <c r="C34" s="128">
        <v>341104</v>
      </c>
      <c r="D34" s="123">
        <v>50</v>
      </c>
      <c r="E34" s="128">
        <v>341105</v>
      </c>
      <c r="F34" s="123">
        <v>50</v>
      </c>
      <c r="G34" s="128">
        <v>341106</v>
      </c>
      <c r="H34" s="123">
        <v>50</v>
      </c>
      <c r="I34" s="129"/>
      <c r="J34" s="129"/>
    </row>
    <row r="35" spans="1:106" s="123" customFormat="1" ht="12.75">
      <c r="A35" s="128">
        <v>200041</v>
      </c>
      <c r="B35" s="132" t="s">
        <v>1377</v>
      </c>
      <c r="C35" s="128">
        <v>341105</v>
      </c>
      <c r="D35" s="123">
        <v>50</v>
      </c>
      <c r="E35" s="128">
        <v>341106</v>
      </c>
      <c r="F35" s="123">
        <v>50</v>
      </c>
      <c r="I35" s="129"/>
      <c r="J35" s="129"/>
    </row>
    <row r="36" spans="1:106" s="123" customFormat="1" ht="12.75">
      <c r="A36" s="130">
        <v>200042</v>
      </c>
      <c r="B36" s="132" t="s">
        <v>1378</v>
      </c>
      <c r="C36" s="123">
        <v>350100</v>
      </c>
      <c r="D36" s="123">
        <v>50</v>
      </c>
      <c r="E36" s="123">
        <v>350101</v>
      </c>
      <c r="F36" s="123">
        <v>50</v>
      </c>
      <c r="G36" s="123">
        <v>350102</v>
      </c>
      <c r="H36" s="123">
        <v>50</v>
      </c>
      <c r="I36" s="123">
        <v>350103</v>
      </c>
      <c r="J36" s="123">
        <v>50</v>
      </c>
      <c r="K36" s="123">
        <v>350104</v>
      </c>
      <c r="L36" s="123">
        <v>50</v>
      </c>
      <c r="M36" s="123">
        <v>350105</v>
      </c>
      <c r="N36" s="123">
        <v>50</v>
      </c>
      <c r="O36" s="123">
        <v>350106</v>
      </c>
      <c r="P36" s="123">
        <v>50</v>
      </c>
      <c r="Q36" s="123">
        <v>350107</v>
      </c>
      <c r="R36" s="123">
        <v>50</v>
      </c>
      <c r="S36" s="123">
        <v>350108</v>
      </c>
      <c r="T36" s="123">
        <v>50</v>
      </c>
      <c r="U36" s="123">
        <v>350109</v>
      </c>
      <c r="V36" s="123">
        <v>50</v>
      </c>
      <c r="W36" s="123">
        <v>350110</v>
      </c>
      <c r="X36" s="123">
        <v>50</v>
      </c>
      <c r="Y36" s="123">
        <v>350111</v>
      </c>
      <c r="Z36" s="123">
        <v>50</v>
      </c>
      <c r="AA36" s="123">
        <v>350112</v>
      </c>
      <c r="AB36" s="123">
        <v>50</v>
      </c>
      <c r="AC36" s="123">
        <v>350200</v>
      </c>
      <c r="AD36" s="123">
        <v>50</v>
      </c>
      <c r="AE36" s="123">
        <v>350201</v>
      </c>
      <c r="AF36" s="123">
        <v>50</v>
      </c>
      <c r="AG36" s="123">
        <v>350202</v>
      </c>
      <c r="AH36" s="123">
        <v>50</v>
      </c>
      <c r="AI36" s="123">
        <v>350203</v>
      </c>
      <c r="AJ36" s="123">
        <v>50</v>
      </c>
      <c r="AK36" s="123">
        <v>350204</v>
      </c>
      <c r="AL36" s="123">
        <v>50</v>
      </c>
      <c r="AM36" s="123">
        <v>350205</v>
      </c>
      <c r="AN36" s="123">
        <v>50</v>
      </c>
      <c r="AO36" s="123">
        <v>350206</v>
      </c>
      <c r="AP36" s="123">
        <v>50</v>
      </c>
      <c r="AQ36" s="123">
        <v>350207</v>
      </c>
      <c r="AR36" s="123">
        <v>50</v>
      </c>
      <c r="AS36" s="123">
        <v>350208</v>
      </c>
      <c r="AT36" s="123">
        <v>50</v>
      </c>
      <c r="AU36" s="123">
        <v>350209</v>
      </c>
      <c r="AV36" s="123">
        <v>50</v>
      </c>
      <c r="AW36" s="123">
        <v>350210</v>
      </c>
      <c r="AX36" s="123">
        <v>50</v>
      </c>
      <c r="AY36" s="123">
        <v>350211</v>
      </c>
      <c r="AZ36" s="123">
        <v>50</v>
      </c>
      <c r="BA36" s="123">
        <v>350212</v>
      </c>
      <c r="BB36" s="123">
        <v>50</v>
      </c>
      <c r="BC36" s="123">
        <v>350300</v>
      </c>
      <c r="BD36" s="123">
        <v>50</v>
      </c>
      <c r="BE36" s="123">
        <v>350301</v>
      </c>
      <c r="BF36" s="123">
        <v>50</v>
      </c>
      <c r="BG36" s="123">
        <v>350302</v>
      </c>
      <c r="BH36" s="123">
        <v>50</v>
      </c>
      <c r="BI36" s="123">
        <v>350303</v>
      </c>
      <c r="BJ36" s="123">
        <v>50</v>
      </c>
      <c r="BK36" s="123">
        <v>350304</v>
      </c>
      <c r="BL36" s="123">
        <v>50</v>
      </c>
      <c r="BM36" s="123">
        <v>350305</v>
      </c>
      <c r="BN36" s="123">
        <v>50</v>
      </c>
      <c r="BO36" s="123">
        <v>350306</v>
      </c>
      <c r="BP36" s="123">
        <v>50</v>
      </c>
      <c r="BQ36" s="123">
        <v>350307</v>
      </c>
      <c r="BR36" s="123">
        <v>50</v>
      </c>
      <c r="BS36" s="123">
        <v>350308</v>
      </c>
      <c r="BT36" s="123">
        <v>50</v>
      </c>
      <c r="BU36" s="123">
        <v>350309</v>
      </c>
      <c r="BV36" s="123">
        <v>50</v>
      </c>
      <c r="BW36" s="123">
        <v>350310</v>
      </c>
      <c r="BX36" s="123">
        <v>50</v>
      </c>
      <c r="BY36" s="123">
        <v>350311</v>
      </c>
      <c r="BZ36" s="123">
        <v>50</v>
      </c>
      <c r="CA36" s="123">
        <v>350312</v>
      </c>
      <c r="CB36" s="123">
        <v>50</v>
      </c>
    </row>
    <row r="37" spans="1:106" s="123" customFormat="1" ht="12.75">
      <c r="A37" s="128">
        <v>200043</v>
      </c>
      <c r="B37" s="132" t="s">
        <v>1379</v>
      </c>
      <c r="C37" s="123">
        <v>350300</v>
      </c>
      <c r="D37" s="123">
        <v>50</v>
      </c>
      <c r="E37" s="123">
        <v>350301</v>
      </c>
      <c r="F37" s="123">
        <v>50</v>
      </c>
      <c r="G37" s="123">
        <v>350302</v>
      </c>
      <c r="H37" s="123">
        <v>50</v>
      </c>
      <c r="I37" s="123">
        <v>350303</v>
      </c>
      <c r="J37" s="123">
        <v>50</v>
      </c>
      <c r="K37" s="123">
        <v>350304</v>
      </c>
      <c r="L37" s="123">
        <v>50</v>
      </c>
      <c r="M37" s="123">
        <v>350305</v>
      </c>
      <c r="N37" s="123">
        <v>50</v>
      </c>
      <c r="O37" s="123">
        <v>350306</v>
      </c>
      <c r="P37" s="123">
        <v>50</v>
      </c>
      <c r="Q37" s="123">
        <v>350307</v>
      </c>
      <c r="R37" s="123">
        <v>50</v>
      </c>
      <c r="S37" s="123">
        <v>350308</v>
      </c>
      <c r="T37" s="123">
        <v>50</v>
      </c>
      <c r="U37" s="123">
        <v>350309</v>
      </c>
      <c r="V37" s="123">
        <v>50</v>
      </c>
      <c r="W37" s="123">
        <v>350310</v>
      </c>
      <c r="X37" s="123">
        <v>50</v>
      </c>
      <c r="Y37" s="123">
        <v>350311</v>
      </c>
      <c r="Z37" s="123">
        <v>50</v>
      </c>
      <c r="AA37" s="123">
        <v>350312</v>
      </c>
      <c r="AB37" s="123">
        <v>50</v>
      </c>
      <c r="AC37" s="123">
        <v>350400</v>
      </c>
      <c r="AD37" s="123">
        <v>50</v>
      </c>
      <c r="AE37" s="123">
        <v>350401</v>
      </c>
      <c r="AF37" s="123">
        <v>50</v>
      </c>
      <c r="AG37" s="123">
        <v>350402</v>
      </c>
      <c r="AH37" s="123">
        <v>50</v>
      </c>
      <c r="AI37" s="123">
        <v>350403</v>
      </c>
      <c r="AJ37" s="123">
        <v>50</v>
      </c>
      <c r="AK37" s="123">
        <v>350404</v>
      </c>
      <c r="AL37" s="123">
        <v>50</v>
      </c>
      <c r="AM37" s="123">
        <v>350405</v>
      </c>
      <c r="AN37" s="123">
        <v>50</v>
      </c>
      <c r="AO37" s="123">
        <v>350406</v>
      </c>
      <c r="AP37" s="123">
        <v>50</v>
      </c>
      <c r="AQ37" s="123">
        <v>350407</v>
      </c>
      <c r="AR37" s="123">
        <v>50</v>
      </c>
      <c r="AS37" s="123">
        <v>350408</v>
      </c>
      <c r="AT37" s="123">
        <v>50</v>
      </c>
      <c r="AU37" s="123">
        <v>350409</v>
      </c>
      <c r="AV37" s="123">
        <v>50</v>
      </c>
      <c r="AW37" s="123">
        <v>350410</v>
      </c>
      <c r="AX37" s="123">
        <v>50</v>
      </c>
      <c r="AY37" s="123">
        <v>350411</v>
      </c>
      <c r="AZ37" s="123">
        <v>50</v>
      </c>
      <c r="BA37" s="123">
        <v>350412</v>
      </c>
      <c r="BB37" s="123">
        <v>50</v>
      </c>
    </row>
    <row r="38" spans="1:106" s="123" customFormat="1" ht="12.75">
      <c r="A38" s="130">
        <v>200044</v>
      </c>
      <c r="B38" s="132" t="s">
        <v>1380</v>
      </c>
      <c r="C38" s="123">
        <v>350300</v>
      </c>
      <c r="D38" s="123">
        <v>50</v>
      </c>
      <c r="E38" s="123">
        <v>350301</v>
      </c>
      <c r="F38" s="123">
        <v>50</v>
      </c>
      <c r="G38" s="123">
        <v>350302</v>
      </c>
      <c r="H38" s="123">
        <v>50</v>
      </c>
      <c r="I38" s="123">
        <v>350303</v>
      </c>
      <c r="J38" s="123">
        <v>50</v>
      </c>
      <c r="K38" s="123">
        <v>350304</v>
      </c>
      <c r="L38" s="123">
        <v>50</v>
      </c>
      <c r="M38" s="123">
        <v>350305</v>
      </c>
      <c r="N38" s="123">
        <v>50</v>
      </c>
      <c r="O38" s="123">
        <v>350306</v>
      </c>
      <c r="P38" s="123">
        <v>50</v>
      </c>
      <c r="Q38" s="123">
        <v>350307</v>
      </c>
      <c r="R38" s="123">
        <v>50</v>
      </c>
      <c r="S38" s="123">
        <v>350308</v>
      </c>
      <c r="T38" s="123">
        <v>50</v>
      </c>
      <c r="U38" s="123">
        <v>350309</v>
      </c>
      <c r="V38" s="123">
        <v>50</v>
      </c>
      <c r="W38" s="123">
        <v>350310</v>
      </c>
      <c r="X38" s="123">
        <v>50</v>
      </c>
      <c r="Y38" s="123">
        <v>350311</v>
      </c>
      <c r="Z38" s="123">
        <v>50</v>
      </c>
      <c r="AA38" s="123">
        <v>350312</v>
      </c>
      <c r="AB38" s="123">
        <v>50</v>
      </c>
      <c r="AC38" s="123">
        <v>350400</v>
      </c>
      <c r="AD38" s="123">
        <v>50</v>
      </c>
      <c r="AE38" s="123">
        <v>350401</v>
      </c>
      <c r="AF38" s="123">
        <v>50</v>
      </c>
      <c r="AG38" s="123">
        <v>350402</v>
      </c>
      <c r="AH38" s="123">
        <v>50</v>
      </c>
      <c r="AI38" s="123">
        <v>350403</v>
      </c>
      <c r="AJ38" s="123">
        <v>50</v>
      </c>
      <c r="AK38" s="123">
        <v>350404</v>
      </c>
      <c r="AL38" s="123">
        <v>50</v>
      </c>
      <c r="AM38" s="123">
        <v>350405</v>
      </c>
      <c r="AN38" s="123">
        <v>50</v>
      </c>
      <c r="AO38" s="123">
        <v>350406</v>
      </c>
      <c r="AP38" s="123">
        <v>50</v>
      </c>
      <c r="AQ38" s="123">
        <v>350407</v>
      </c>
      <c r="AR38" s="123">
        <v>50</v>
      </c>
      <c r="AS38" s="123">
        <v>350408</v>
      </c>
      <c r="AT38" s="123">
        <v>50</v>
      </c>
      <c r="AU38" s="123">
        <v>350409</v>
      </c>
      <c r="AV38" s="123">
        <v>50</v>
      </c>
      <c r="AW38" s="123">
        <v>350410</v>
      </c>
      <c r="AX38" s="123">
        <v>50</v>
      </c>
      <c r="AY38" s="123">
        <v>350411</v>
      </c>
      <c r="AZ38" s="123">
        <v>50</v>
      </c>
      <c r="BA38" s="123">
        <v>350412</v>
      </c>
      <c r="BB38" s="123">
        <v>50</v>
      </c>
      <c r="BC38" s="123">
        <v>350500</v>
      </c>
      <c r="BD38" s="123">
        <v>50</v>
      </c>
      <c r="BE38" s="123">
        <v>350501</v>
      </c>
      <c r="BF38" s="123">
        <v>50</v>
      </c>
      <c r="BG38" s="123">
        <v>350502</v>
      </c>
      <c r="BH38" s="123">
        <v>50</v>
      </c>
      <c r="BI38" s="123">
        <v>350503</v>
      </c>
      <c r="BJ38" s="123">
        <v>50</v>
      </c>
      <c r="BK38" s="123">
        <v>350504</v>
      </c>
      <c r="BL38" s="123">
        <v>50</v>
      </c>
      <c r="BM38" s="123">
        <v>350505</v>
      </c>
      <c r="BN38" s="123">
        <v>50</v>
      </c>
      <c r="BO38" s="123">
        <v>350506</v>
      </c>
      <c r="BP38" s="123">
        <v>50</v>
      </c>
      <c r="BQ38" s="123">
        <v>350507</v>
      </c>
      <c r="BR38" s="123">
        <v>50</v>
      </c>
      <c r="BS38" s="123">
        <v>350508</v>
      </c>
      <c r="BT38" s="123">
        <v>50</v>
      </c>
      <c r="BU38" s="123">
        <v>350509</v>
      </c>
      <c r="BV38" s="123">
        <v>50</v>
      </c>
      <c r="BW38" s="123">
        <v>350510</v>
      </c>
      <c r="BX38" s="123">
        <v>50</v>
      </c>
      <c r="BY38" s="123">
        <v>350511</v>
      </c>
      <c r="BZ38" s="123">
        <v>50</v>
      </c>
      <c r="CA38" s="123">
        <v>350512</v>
      </c>
      <c r="CB38" s="123">
        <v>50</v>
      </c>
    </row>
    <row r="39" spans="1:106" s="123" customFormat="1" ht="12.75">
      <c r="A39" s="128">
        <v>200045</v>
      </c>
      <c r="B39" s="132" t="s">
        <v>1381</v>
      </c>
      <c r="C39" s="123">
        <v>350400</v>
      </c>
      <c r="D39" s="123">
        <v>50</v>
      </c>
      <c r="E39" s="123">
        <v>350401</v>
      </c>
      <c r="F39" s="123">
        <v>50</v>
      </c>
      <c r="G39" s="123">
        <v>350402</v>
      </c>
      <c r="H39" s="123">
        <v>50</v>
      </c>
      <c r="I39" s="123">
        <v>350403</v>
      </c>
      <c r="J39" s="123">
        <v>50</v>
      </c>
      <c r="K39" s="123">
        <v>350404</v>
      </c>
      <c r="L39" s="123">
        <v>50</v>
      </c>
      <c r="M39" s="123">
        <v>350405</v>
      </c>
      <c r="N39" s="123">
        <v>50</v>
      </c>
      <c r="O39" s="123">
        <v>350406</v>
      </c>
      <c r="P39" s="123">
        <v>50</v>
      </c>
      <c r="Q39" s="123">
        <v>350407</v>
      </c>
      <c r="R39" s="123">
        <v>50</v>
      </c>
      <c r="S39" s="123">
        <v>350408</v>
      </c>
      <c r="T39" s="123">
        <v>50</v>
      </c>
      <c r="U39" s="123">
        <v>350409</v>
      </c>
      <c r="V39" s="123">
        <v>50</v>
      </c>
      <c r="W39" s="123">
        <v>350410</v>
      </c>
      <c r="X39" s="123">
        <v>50</v>
      </c>
      <c r="Y39" s="123">
        <v>350411</v>
      </c>
      <c r="Z39" s="123">
        <v>50</v>
      </c>
      <c r="AA39" s="123">
        <v>350412</v>
      </c>
      <c r="AB39" s="123">
        <v>50</v>
      </c>
      <c r="AC39" s="123">
        <v>350500</v>
      </c>
      <c r="AD39" s="123">
        <v>50</v>
      </c>
      <c r="AE39" s="123">
        <v>350501</v>
      </c>
      <c r="AF39" s="123">
        <v>50</v>
      </c>
      <c r="AG39" s="123">
        <v>350502</v>
      </c>
      <c r="AH39" s="123">
        <v>50</v>
      </c>
      <c r="AI39" s="123">
        <v>350503</v>
      </c>
      <c r="AJ39" s="123">
        <v>50</v>
      </c>
      <c r="AK39" s="123">
        <v>350504</v>
      </c>
      <c r="AL39" s="123">
        <v>50</v>
      </c>
      <c r="AM39" s="123">
        <v>350505</v>
      </c>
      <c r="AN39" s="123">
        <v>50</v>
      </c>
      <c r="AO39" s="123">
        <v>350506</v>
      </c>
      <c r="AP39" s="123">
        <v>50</v>
      </c>
      <c r="AQ39" s="123">
        <v>350507</v>
      </c>
      <c r="AR39" s="123">
        <v>50</v>
      </c>
      <c r="AS39" s="123">
        <v>350508</v>
      </c>
      <c r="AT39" s="123">
        <v>50</v>
      </c>
      <c r="AU39" s="123">
        <v>350509</v>
      </c>
      <c r="AV39" s="123">
        <v>50</v>
      </c>
      <c r="AW39" s="123">
        <v>350510</v>
      </c>
      <c r="AX39" s="123">
        <v>50</v>
      </c>
      <c r="AY39" s="123">
        <v>350511</v>
      </c>
      <c r="AZ39" s="123">
        <v>50</v>
      </c>
      <c r="BA39" s="123">
        <v>350512</v>
      </c>
      <c r="BB39" s="123">
        <v>50</v>
      </c>
      <c r="BC39" s="123">
        <v>350600</v>
      </c>
      <c r="BD39" s="123">
        <v>50</v>
      </c>
      <c r="BE39" s="123">
        <v>350601</v>
      </c>
      <c r="BF39" s="123">
        <v>50</v>
      </c>
      <c r="BG39" s="123">
        <v>350602</v>
      </c>
      <c r="BH39" s="123">
        <v>50</v>
      </c>
      <c r="BI39" s="123">
        <v>350603</v>
      </c>
      <c r="BJ39" s="123">
        <v>50</v>
      </c>
      <c r="BK39" s="123">
        <v>350604</v>
      </c>
      <c r="BL39" s="123">
        <v>50</v>
      </c>
      <c r="BM39" s="123">
        <v>350605</v>
      </c>
      <c r="BN39" s="123">
        <v>50</v>
      </c>
      <c r="BO39" s="123">
        <v>350606</v>
      </c>
      <c r="BP39" s="123">
        <v>50</v>
      </c>
      <c r="BQ39" s="123">
        <v>350607</v>
      </c>
      <c r="BR39" s="123">
        <v>50</v>
      </c>
      <c r="BS39" s="123">
        <v>350608</v>
      </c>
      <c r="BT39" s="123">
        <v>50</v>
      </c>
      <c r="BU39" s="123">
        <v>350609</v>
      </c>
      <c r="BV39" s="123">
        <v>50</v>
      </c>
      <c r="BW39" s="123">
        <v>350610</v>
      </c>
      <c r="BX39" s="123">
        <v>50</v>
      </c>
      <c r="BY39" s="123">
        <v>350611</v>
      </c>
      <c r="BZ39" s="123">
        <v>50</v>
      </c>
      <c r="CA39" s="123">
        <v>350612</v>
      </c>
      <c r="CB39" s="123">
        <v>50</v>
      </c>
    </row>
    <row r="40" spans="1:106" s="123" customFormat="1" ht="12.75">
      <c r="A40" s="130">
        <v>200046</v>
      </c>
      <c r="B40" s="129" t="s">
        <v>1382</v>
      </c>
      <c r="C40" s="123">
        <v>350500</v>
      </c>
      <c r="D40" s="123">
        <v>50</v>
      </c>
      <c r="E40" s="123">
        <v>350501</v>
      </c>
      <c r="F40" s="123">
        <v>50</v>
      </c>
      <c r="G40" s="123">
        <v>350502</v>
      </c>
      <c r="H40" s="123">
        <v>50</v>
      </c>
      <c r="I40" s="129">
        <v>350503</v>
      </c>
      <c r="J40" s="123">
        <v>50</v>
      </c>
      <c r="K40" s="123">
        <v>350504</v>
      </c>
      <c r="L40" s="123">
        <v>50</v>
      </c>
      <c r="M40" s="123">
        <v>350505</v>
      </c>
      <c r="N40" s="123">
        <v>50</v>
      </c>
      <c r="O40" s="123">
        <v>350506</v>
      </c>
      <c r="P40" s="123">
        <v>50</v>
      </c>
      <c r="Q40" s="123">
        <v>350507</v>
      </c>
      <c r="R40" s="123">
        <v>50</v>
      </c>
      <c r="S40" s="123">
        <v>350508</v>
      </c>
      <c r="T40" s="123">
        <v>50</v>
      </c>
      <c r="U40" s="123">
        <v>350509</v>
      </c>
      <c r="V40" s="123">
        <v>50</v>
      </c>
      <c r="W40" s="123">
        <v>350510</v>
      </c>
      <c r="X40" s="123">
        <v>50</v>
      </c>
      <c r="Y40" s="123">
        <v>350511</v>
      </c>
      <c r="Z40" s="123">
        <v>50</v>
      </c>
      <c r="AA40" s="123">
        <v>350512</v>
      </c>
      <c r="AB40" s="123">
        <v>50</v>
      </c>
      <c r="AC40" s="123">
        <v>350600</v>
      </c>
      <c r="AD40" s="123">
        <v>50</v>
      </c>
      <c r="AE40" s="123">
        <v>350601</v>
      </c>
      <c r="AF40" s="123">
        <v>50</v>
      </c>
      <c r="AG40" s="123">
        <v>350602</v>
      </c>
      <c r="AH40" s="123">
        <v>50</v>
      </c>
      <c r="AI40" s="123">
        <v>350603</v>
      </c>
      <c r="AJ40" s="123">
        <v>50</v>
      </c>
      <c r="AK40" s="123">
        <v>350604</v>
      </c>
      <c r="AL40" s="123">
        <v>50</v>
      </c>
      <c r="AM40" s="123">
        <v>350605</v>
      </c>
      <c r="AN40" s="123">
        <v>50</v>
      </c>
      <c r="AO40" s="123">
        <v>350606</v>
      </c>
      <c r="AP40" s="123">
        <v>50</v>
      </c>
      <c r="AQ40" s="123">
        <v>350607</v>
      </c>
      <c r="AR40" s="123">
        <v>50</v>
      </c>
      <c r="AS40" s="123">
        <v>350608</v>
      </c>
      <c r="AT40" s="123">
        <v>50</v>
      </c>
      <c r="AU40" s="123">
        <v>350609</v>
      </c>
      <c r="AV40" s="123">
        <v>50</v>
      </c>
      <c r="AW40" s="123">
        <v>350610</v>
      </c>
      <c r="AX40" s="123">
        <v>50</v>
      </c>
      <c r="AY40" s="123">
        <v>350611</v>
      </c>
      <c r="AZ40" s="123">
        <v>50</v>
      </c>
      <c r="BA40" s="123">
        <v>350612</v>
      </c>
      <c r="BB40" s="123">
        <v>50</v>
      </c>
    </row>
    <row r="41" spans="1:106" s="123" customFormat="1" ht="12.75">
      <c r="A41" s="128">
        <v>200047</v>
      </c>
      <c r="B41" s="132" t="s">
        <v>1383</v>
      </c>
      <c r="C41" s="129">
        <v>4040101</v>
      </c>
      <c r="D41" s="129">
        <v>80</v>
      </c>
      <c r="E41" s="129">
        <v>4040102</v>
      </c>
      <c r="F41" s="129">
        <v>80</v>
      </c>
      <c r="G41" s="129">
        <v>4040103</v>
      </c>
      <c r="H41" s="129">
        <v>80</v>
      </c>
      <c r="I41" s="129">
        <v>4040104</v>
      </c>
      <c r="J41" s="129">
        <v>80</v>
      </c>
      <c r="K41" s="129">
        <v>4040105</v>
      </c>
      <c r="L41" s="129">
        <v>80</v>
      </c>
      <c r="M41" s="129">
        <v>4040106</v>
      </c>
      <c r="N41" s="129">
        <v>80</v>
      </c>
      <c r="O41" s="129">
        <v>4040207</v>
      </c>
      <c r="P41" s="129">
        <v>80</v>
      </c>
      <c r="Q41" s="129">
        <v>4040208</v>
      </c>
      <c r="R41" s="129">
        <v>80</v>
      </c>
      <c r="S41" s="129">
        <v>4040309</v>
      </c>
      <c r="T41" s="129">
        <v>80</v>
      </c>
      <c r="U41" s="129">
        <v>4040310</v>
      </c>
      <c r="V41" s="129">
        <v>80</v>
      </c>
      <c r="W41" s="129">
        <v>4040411</v>
      </c>
      <c r="X41" s="129">
        <v>80</v>
      </c>
      <c r="Y41" s="129">
        <v>4040512</v>
      </c>
      <c r="Z41" s="129">
        <v>80</v>
      </c>
      <c r="AA41" s="129">
        <v>4040613</v>
      </c>
      <c r="AB41" s="129">
        <v>80</v>
      </c>
      <c r="AC41" s="123">
        <v>5040101</v>
      </c>
      <c r="AD41" s="123">
        <v>20</v>
      </c>
      <c r="AE41" s="123">
        <v>5040102</v>
      </c>
      <c r="AF41" s="123">
        <v>20</v>
      </c>
      <c r="AG41" s="123">
        <v>5040103</v>
      </c>
      <c r="AH41" s="123">
        <v>20</v>
      </c>
      <c r="AI41" s="123">
        <v>5040104</v>
      </c>
      <c r="AJ41" s="123">
        <v>20</v>
      </c>
      <c r="AK41" s="123">
        <v>5040105</v>
      </c>
      <c r="AL41" s="123">
        <v>20</v>
      </c>
      <c r="AM41" s="123">
        <v>5040106</v>
      </c>
      <c r="AN41" s="123">
        <v>20</v>
      </c>
      <c r="AO41" s="123">
        <v>5040207</v>
      </c>
      <c r="AP41" s="123">
        <v>20</v>
      </c>
      <c r="AQ41" s="123">
        <v>5040208</v>
      </c>
      <c r="AR41" s="123">
        <v>20</v>
      </c>
      <c r="AS41" s="123">
        <v>5040309</v>
      </c>
      <c r="AT41" s="123">
        <v>20</v>
      </c>
      <c r="AU41" s="123">
        <v>5040310</v>
      </c>
      <c r="AV41" s="123">
        <v>20</v>
      </c>
      <c r="AW41" s="123">
        <v>5040411</v>
      </c>
      <c r="AX41" s="123">
        <v>20</v>
      </c>
      <c r="AY41" s="123">
        <v>5040512</v>
      </c>
      <c r="AZ41" s="123">
        <v>20</v>
      </c>
      <c r="BA41" s="123">
        <v>5040613</v>
      </c>
      <c r="BB41" s="123">
        <v>20</v>
      </c>
      <c r="BC41" s="123">
        <v>4050101</v>
      </c>
      <c r="BD41" s="123">
        <v>80</v>
      </c>
      <c r="BE41" s="123">
        <v>4050102</v>
      </c>
      <c r="BF41" s="123">
        <v>80</v>
      </c>
      <c r="BG41" s="123">
        <v>4050103</v>
      </c>
      <c r="BH41" s="123">
        <v>80</v>
      </c>
      <c r="BI41" s="123">
        <v>4050104</v>
      </c>
      <c r="BJ41" s="123">
        <v>80</v>
      </c>
      <c r="BK41" s="123">
        <v>4050105</v>
      </c>
      <c r="BL41" s="123">
        <v>80</v>
      </c>
      <c r="BM41" s="123">
        <v>4050106</v>
      </c>
      <c r="BN41" s="123">
        <v>80</v>
      </c>
      <c r="BO41" s="123">
        <v>4050207</v>
      </c>
      <c r="BP41" s="123">
        <v>80</v>
      </c>
      <c r="BQ41" s="123">
        <v>4050208</v>
      </c>
      <c r="BR41" s="123">
        <v>80</v>
      </c>
      <c r="BS41" s="123">
        <v>4050309</v>
      </c>
      <c r="BT41" s="123">
        <v>80</v>
      </c>
      <c r="BU41" s="123">
        <v>4050310</v>
      </c>
      <c r="BV41" s="123">
        <v>80</v>
      </c>
      <c r="BW41" s="123">
        <v>4050411</v>
      </c>
      <c r="BX41" s="123">
        <v>80</v>
      </c>
      <c r="BY41" s="123">
        <v>4050512</v>
      </c>
      <c r="BZ41" s="123">
        <v>80</v>
      </c>
      <c r="CA41" s="123">
        <v>4050613</v>
      </c>
      <c r="CB41" s="123">
        <v>80</v>
      </c>
      <c r="CC41" s="123">
        <v>5050101</v>
      </c>
      <c r="CD41" s="123">
        <v>20</v>
      </c>
      <c r="CE41" s="123">
        <v>5050102</v>
      </c>
      <c r="CF41" s="123">
        <v>20</v>
      </c>
      <c r="CG41" s="123">
        <v>5050103</v>
      </c>
      <c r="CH41" s="123">
        <v>20</v>
      </c>
      <c r="CI41" s="123">
        <v>5050104</v>
      </c>
      <c r="CJ41" s="123">
        <v>20</v>
      </c>
      <c r="CK41" s="123">
        <v>5050105</v>
      </c>
      <c r="CL41" s="123">
        <v>20</v>
      </c>
      <c r="CM41" s="123">
        <v>5050106</v>
      </c>
      <c r="CN41" s="123">
        <v>20</v>
      </c>
      <c r="CO41" s="123">
        <v>5050207</v>
      </c>
      <c r="CP41" s="123">
        <v>20</v>
      </c>
      <c r="CQ41" s="123">
        <v>5050208</v>
      </c>
      <c r="CR41" s="123">
        <v>20</v>
      </c>
      <c r="CS41" s="123">
        <v>5050309</v>
      </c>
      <c r="CT41" s="123">
        <v>20</v>
      </c>
      <c r="CU41" s="123">
        <v>5050310</v>
      </c>
      <c r="CV41" s="123">
        <v>20</v>
      </c>
      <c r="CW41" s="123">
        <v>5050411</v>
      </c>
      <c r="CX41" s="123">
        <v>20</v>
      </c>
      <c r="CY41" s="123">
        <v>5050512</v>
      </c>
      <c r="CZ41" s="123">
        <v>20</v>
      </c>
      <c r="DA41" s="123">
        <v>5050613</v>
      </c>
      <c r="DB41" s="123">
        <v>20</v>
      </c>
    </row>
    <row r="42" spans="1:106" s="123" customFormat="1" ht="12.75">
      <c r="A42" s="130">
        <v>200048</v>
      </c>
      <c r="B42" s="132" t="s">
        <v>1384</v>
      </c>
      <c r="C42" s="123">
        <v>4050101</v>
      </c>
      <c r="D42" s="123">
        <v>80</v>
      </c>
      <c r="E42" s="123">
        <v>4050102</v>
      </c>
      <c r="F42" s="123">
        <v>80</v>
      </c>
      <c r="G42" s="123">
        <v>4050103</v>
      </c>
      <c r="H42" s="123">
        <v>80</v>
      </c>
      <c r="I42" s="129">
        <v>4050104</v>
      </c>
      <c r="J42" s="129">
        <v>80</v>
      </c>
      <c r="K42" s="123">
        <v>4050105</v>
      </c>
      <c r="L42" s="123">
        <v>80</v>
      </c>
      <c r="M42" s="123">
        <v>4050106</v>
      </c>
      <c r="N42" s="123">
        <v>80</v>
      </c>
      <c r="O42" s="123">
        <v>4050207</v>
      </c>
      <c r="P42" s="123">
        <v>80</v>
      </c>
      <c r="Q42" s="123">
        <v>4050208</v>
      </c>
      <c r="R42" s="123">
        <v>80</v>
      </c>
      <c r="S42" s="123">
        <v>4050309</v>
      </c>
      <c r="T42" s="123">
        <v>80</v>
      </c>
      <c r="U42" s="123">
        <v>4050310</v>
      </c>
      <c r="V42" s="123">
        <v>80</v>
      </c>
      <c r="W42" s="123">
        <v>4050411</v>
      </c>
      <c r="X42" s="123">
        <v>80</v>
      </c>
      <c r="Y42" s="123">
        <v>4050512</v>
      </c>
      <c r="Z42" s="123">
        <v>80</v>
      </c>
      <c r="AA42" s="123">
        <v>4050613</v>
      </c>
      <c r="AB42" s="123">
        <v>80</v>
      </c>
      <c r="AC42" s="123">
        <v>5050101</v>
      </c>
      <c r="AD42" s="123">
        <v>20</v>
      </c>
      <c r="AE42" s="123">
        <v>5050102</v>
      </c>
      <c r="AF42" s="123">
        <v>20</v>
      </c>
      <c r="AG42" s="123">
        <v>5050103</v>
      </c>
      <c r="AH42" s="123">
        <v>20</v>
      </c>
      <c r="AI42" s="123">
        <v>5050104</v>
      </c>
      <c r="AJ42" s="123">
        <v>20</v>
      </c>
      <c r="AK42" s="123">
        <v>5050105</v>
      </c>
      <c r="AL42" s="123">
        <v>20</v>
      </c>
      <c r="AM42" s="123">
        <v>5050106</v>
      </c>
      <c r="AN42" s="123">
        <v>20</v>
      </c>
      <c r="AO42" s="123">
        <v>5050207</v>
      </c>
      <c r="AP42" s="123">
        <v>20</v>
      </c>
      <c r="AQ42" s="123">
        <v>5050208</v>
      </c>
      <c r="AR42" s="123">
        <v>20</v>
      </c>
      <c r="AS42" s="123">
        <v>5050309</v>
      </c>
      <c r="AT42" s="123">
        <v>20</v>
      </c>
      <c r="AU42" s="123">
        <v>5050310</v>
      </c>
      <c r="AV42" s="123">
        <v>20</v>
      </c>
      <c r="AW42" s="123">
        <v>5050411</v>
      </c>
      <c r="AX42" s="123">
        <v>20</v>
      </c>
      <c r="AY42" s="123">
        <v>5050512</v>
      </c>
      <c r="AZ42" s="123">
        <v>20</v>
      </c>
      <c r="BA42" s="123">
        <v>5050613</v>
      </c>
      <c r="BB42" s="123">
        <v>20</v>
      </c>
      <c r="BC42" s="123">
        <v>4060101</v>
      </c>
      <c r="BD42" s="123">
        <v>80</v>
      </c>
      <c r="BE42" s="123">
        <v>4060102</v>
      </c>
      <c r="BF42" s="123">
        <v>80</v>
      </c>
      <c r="BG42" s="123">
        <v>4060103</v>
      </c>
      <c r="BH42" s="123">
        <v>80</v>
      </c>
      <c r="BI42" s="123">
        <v>4060104</v>
      </c>
      <c r="BJ42" s="123">
        <v>80</v>
      </c>
      <c r="BK42" s="123">
        <v>4060105</v>
      </c>
      <c r="BL42" s="123">
        <v>80</v>
      </c>
      <c r="BM42" s="123">
        <v>4060106</v>
      </c>
      <c r="BN42" s="123">
        <v>80</v>
      </c>
      <c r="BO42" s="123">
        <v>4060207</v>
      </c>
      <c r="BP42" s="123">
        <v>80</v>
      </c>
      <c r="BQ42" s="123">
        <v>4060208</v>
      </c>
      <c r="BR42" s="123">
        <v>80</v>
      </c>
      <c r="BS42" s="123">
        <v>4060309</v>
      </c>
      <c r="BT42" s="123">
        <v>80</v>
      </c>
      <c r="BU42" s="123">
        <v>4060310</v>
      </c>
      <c r="BV42" s="123">
        <v>80</v>
      </c>
      <c r="BW42" s="123">
        <v>4060411</v>
      </c>
      <c r="BX42" s="123">
        <v>80</v>
      </c>
      <c r="BY42" s="123">
        <v>4060512</v>
      </c>
      <c r="BZ42" s="123">
        <v>80</v>
      </c>
      <c r="CA42" s="123">
        <v>4060613</v>
      </c>
      <c r="CB42" s="123">
        <v>80</v>
      </c>
      <c r="CC42" s="123">
        <v>5060101</v>
      </c>
      <c r="CD42" s="123">
        <v>20</v>
      </c>
      <c r="CE42" s="123">
        <v>5060102</v>
      </c>
      <c r="CF42" s="123">
        <v>20</v>
      </c>
      <c r="CG42" s="123">
        <v>5060103</v>
      </c>
      <c r="CH42" s="123">
        <v>20</v>
      </c>
      <c r="CI42" s="123">
        <v>5060104</v>
      </c>
      <c r="CJ42" s="123">
        <v>20</v>
      </c>
      <c r="CK42" s="123">
        <v>5060105</v>
      </c>
      <c r="CL42" s="123">
        <v>20</v>
      </c>
      <c r="CM42" s="123">
        <v>5060106</v>
      </c>
      <c r="CN42" s="123">
        <v>20</v>
      </c>
      <c r="CO42" s="123">
        <v>5060207</v>
      </c>
      <c r="CP42" s="123">
        <v>20</v>
      </c>
      <c r="CQ42" s="123">
        <v>5060208</v>
      </c>
      <c r="CR42" s="123">
        <v>20</v>
      </c>
      <c r="CS42" s="123">
        <v>5060309</v>
      </c>
      <c r="CT42" s="123">
        <v>20</v>
      </c>
      <c r="CU42" s="123">
        <v>5060310</v>
      </c>
      <c r="CV42" s="123">
        <v>20</v>
      </c>
      <c r="CW42" s="123">
        <v>5060411</v>
      </c>
      <c r="CX42" s="123">
        <v>20</v>
      </c>
      <c r="CY42" s="123">
        <v>5060512</v>
      </c>
      <c r="CZ42" s="123">
        <v>20</v>
      </c>
      <c r="DA42" s="123">
        <v>5060613</v>
      </c>
      <c r="DB42" s="123">
        <v>20</v>
      </c>
    </row>
    <row r="43" spans="1:106" s="123" customFormat="1">
      <c r="A43" s="128">
        <v>200049</v>
      </c>
      <c r="B43" s="131" t="s">
        <v>1385</v>
      </c>
      <c r="C43" s="123" t="s">
        <v>1098</v>
      </c>
      <c r="D43" s="123">
        <v>50</v>
      </c>
      <c r="E43" s="123" t="s">
        <v>1386</v>
      </c>
      <c r="F43" s="123">
        <v>50</v>
      </c>
      <c r="G43" s="123" t="s">
        <v>1387</v>
      </c>
      <c r="H43" s="123">
        <v>50</v>
      </c>
      <c r="I43" s="123" t="s">
        <v>1388</v>
      </c>
      <c r="J43" s="123">
        <v>50</v>
      </c>
      <c r="K43" s="123" t="s">
        <v>1389</v>
      </c>
      <c r="L43" s="123">
        <v>50</v>
      </c>
      <c r="M43" s="123" t="s">
        <v>1390</v>
      </c>
      <c r="N43" s="123">
        <v>50</v>
      </c>
      <c r="O43" s="129" t="s">
        <v>1391</v>
      </c>
      <c r="P43" s="123">
        <v>50</v>
      </c>
      <c r="Q43" s="129" t="s">
        <v>1392</v>
      </c>
      <c r="R43" s="123">
        <v>50</v>
      </c>
      <c r="S43" s="123" t="s">
        <v>1393</v>
      </c>
      <c r="T43" s="123">
        <v>50</v>
      </c>
      <c r="U43" s="123" t="s">
        <v>1394</v>
      </c>
      <c r="V43" s="123">
        <v>50</v>
      </c>
    </row>
    <row r="44" spans="1:106" s="123" customFormat="1" ht="12.75">
      <c r="A44" s="130">
        <v>200050</v>
      </c>
      <c r="B44" s="131" t="s">
        <v>1395</v>
      </c>
      <c r="C44" s="133" t="s">
        <v>181</v>
      </c>
      <c r="D44" s="123">
        <v>50</v>
      </c>
      <c r="E44" s="133" t="s">
        <v>192</v>
      </c>
      <c r="F44" s="123">
        <v>50</v>
      </c>
      <c r="I44" s="129"/>
      <c r="J44" s="129"/>
    </row>
    <row r="45" spans="1:106" s="123" customFormat="1">
      <c r="A45" s="128">
        <v>200051</v>
      </c>
      <c r="B45" s="131" t="s">
        <v>1396</v>
      </c>
      <c r="C45" s="123" t="s">
        <v>487</v>
      </c>
      <c r="D45" s="123">
        <v>50</v>
      </c>
      <c r="E45" s="123" t="s">
        <v>493</v>
      </c>
      <c r="F45" s="123">
        <v>50</v>
      </c>
      <c r="G45" s="123" t="s">
        <v>497</v>
      </c>
      <c r="H45" s="123">
        <v>50</v>
      </c>
      <c r="I45" s="123" t="s">
        <v>501</v>
      </c>
      <c r="J45" s="123">
        <v>50</v>
      </c>
    </row>
    <row r="48" spans="1:106" s="124" customFormat="1" ht="12.75">
      <c r="A48" s="134">
        <v>200061</v>
      </c>
      <c r="B48" s="44" t="s">
        <v>1397</v>
      </c>
      <c r="C48" s="135">
        <v>32037</v>
      </c>
      <c r="D48" s="136">
        <v>100</v>
      </c>
      <c r="E48" s="135">
        <v>32038</v>
      </c>
      <c r="F48" s="136">
        <v>100</v>
      </c>
    </row>
    <row r="49" spans="1:84" s="124" customFormat="1">
      <c r="A49" s="134">
        <v>200062</v>
      </c>
      <c r="B49" s="44" t="s">
        <v>1398</v>
      </c>
      <c r="C49" s="124">
        <v>32014</v>
      </c>
      <c r="D49" s="137">
        <v>100</v>
      </c>
      <c r="E49" s="137">
        <v>32015</v>
      </c>
      <c r="F49" s="137">
        <v>100</v>
      </c>
    </row>
    <row r="50" spans="1:84" s="124" customFormat="1">
      <c r="A50" s="134">
        <v>200063</v>
      </c>
      <c r="B50" s="44" t="s">
        <v>1399</v>
      </c>
      <c r="C50" s="124">
        <v>320150</v>
      </c>
      <c r="D50" s="124">
        <v>100</v>
      </c>
      <c r="E50" s="124">
        <v>320151</v>
      </c>
      <c r="F50" s="124">
        <v>100</v>
      </c>
      <c r="G50" s="124">
        <v>320152</v>
      </c>
      <c r="H50" s="124">
        <v>100</v>
      </c>
      <c r="I50" s="124">
        <v>320153</v>
      </c>
      <c r="J50" s="124">
        <v>100</v>
      </c>
    </row>
    <row r="51" spans="1:84" s="124" customFormat="1">
      <c r="A51" s="134">
        <v>200064</v>
      </c>
      <c r="B51" s="44" t="s">
        <v>1359</v>
      </c>
      <c r="C51" s="124">
        <v>320154</v>
      </c>
      <c r="D51" s="124">
        <v>100</v>
      </c>
      <c r="E51" s="124">
        <v>320155</v>
      </c>
      <c r="F51" s="124">
        <v>100</v>
      </c>
      <c r="G51" s="124">
        <v>320156</v>
      </c>
      <c r="H51" s="124">
        <v>100</v>
      </c>
      <c r="I51" s="124">
        <v>320157</v>
      </c>
      <c r="J51" s="124">
        <v>100</v>
      </c>
    </row>
    <row r="52" spans="1:84" s="124" customFormat="1">
      <c r="A52" s="134">
        <v>200065</v>
      </c>
      <c r="B52" s="44" t="s">
        <v>1400</v>
      </c>
      <c r="C52" s="124">
        <v>331000</v>
      </c>
      <c r="D52" s="124">
        <v>100</v>
      </c>
      <c r="E52" s="138" t="s">
        <v>155</v>
      </c>
      <c r="F52" s="124">
        <v>100</v>
      </c>
      <c r="G52" s="138" t="s">
        <v>160</v>
      </c>
      <c r="H52" s="124">
        <v>100</v>
      </c>
      <c r="I52" s="138" t="s">
        <v>165</v>
      </c>
      <c r="J52" s="124">
        <v>100</v>
      </c>
      <c r="K52" s="138" t="s">
        <v>170</v>
      </c>
      <c r="L52" s="124">
        <v>100</v>
      </c>
    </row>
    <row r="53" spans="1:84" s="124" customFormat="1">
      <c r="A53" s="134">
        <v>200066</v>
      </c>
      <c r="B53" s="44" t="s">
        <v>1401</v>
      </c>
      <c r="C53" s="124">
        <v>334100</v>
      </c>
      <c r="D53" s="124">
        <v>100</v>
      </c>
      <c r="E53" s="124">
        <v>334101</v>
      </c>
      <c r="F53" s="124">
        <v>100</v>
      </c>
    </row>
    <row r="54" spans="1:84" s="124" customFormat="1">
      <c r="A54" s="134">
        <v>200067</v>
      </c>
      <c r="B54" s="44" t="s">
        <v>1402</v>
      </c>
      <c r="C54" s="124">
        <v>40008</v>
      </c>
      <c r="D54" s="124">
        <v>100</v>
      </c>
      <c r="E54" s="124">
        <v>40009</v>
      </c>
      <c r="F54" s="124">
        <v>100</v>
      </c>
      <c r="G54" s="124">
        <v>40010</v>
      </c>
      <c r="H54" s="124">
        <v>100</v>
      </c>
      <c r="I54" s="124">
        <v>40011</v>
      </c>
      <c r="J54" s="124">
        <v>100</v>
      </c>
    </row>
    <row r="55" spans="1:84" s="124" customFormat="1">
      <c r="A55" s="134">
        <v>200068</v>
      </c>
      <c r="B55" s="44" t="s">
        <v>1403</v>
      </c>
      <c r="C55" s="124">
        <v>35001</v>
      </c>
      <c r="D55" s="124">
        <v>100</v>
      </c>
      <c r="E55" s="124">
        <v>35002</v>
      </c>
      <c r="F55" s="124">
        <v>100</v>
      </c>
      <c r="G55" s="124">
        <v>35003</v>
      </c>
      <c r="H55" s="124">
        <v>100</v>
      </c>
      <c r="I55" s="124">
        <v>35004</v>
      </c>
      <c r="J55" s="124">
        <v>100</v>
      </c>
      <c r="K55" s="124">
        <v>35005</v>
      </c>
      <c r="L55" s="124">
        <v>100</v>
      </c>
      <c r="M55" s="124">
        <v>35006</v>
      </c>
      <c r="N55" s="124">
        <v>100</v>
      </c>
      <c r="O55" s="124">
        <v>35007</v>
      </c>
      <c r="P55" s="124">
        <v>100</v>
      </c>
      <c r="Q55" s="124">
        <v>35008</v>
      </c>
      <c r="R55" s="124">
        <v>100</v>
      </c>
      <c r="S55" s="124">
        <v>35009</v>
      </c>
      <c r="T55" s="124">
        <v>100</v>
      </c>
    </row>
    <row r="56" spans="1:84" s="124" customFormat="1">
      <c r="A56" s="134">
        <v>200069</v>
      </c>
      <c r="B56" s="44" t="s">
        <v>1404</v>
      </c>
      <c r="C56" s="124">
        <f t="shared" ref="C56" si="43">C55+9</f>
        <v>35010</v>
      </c>
      <c r="D56" s="124">
        <f t="shared" ref="D56" si="44">D55</f>
        <v>100</v>
      </c>
      <c r="E56" s="124">
        <f>E55+9</f>
        <v>35011</v>
      </c>
      <c r="F56" s="124">
        <f>F55</f>
        <v>100</v>
      </c>
      <c r="G56" s="124">
        <f>G55+9</f>
        <v>35012</v>
      </c>
      <c r="H56" s="124">
        <f>H55</f>
        <v>100</v>
      </c>
      <c r="I56" s="124">
        <f t="shared" ref="I56" si="45">I55+9</f>
        <v>35013</v>
      </c>
      <c r="J56" s="124">
        <f t="shared" ref="J56" si="46">J55</f>
        <v>100</v>
      </c>
      <c r="K56" s="124">
        <f>K55+9</f>
        <v>35014</v>
      </c>
      <c r="L56" s="124">
        <f>L55</f>
        <v>100</v>
      </c>
      <c r="M56" s="124">
        <f>M55+9</f>
        <v>35015</v>
      </c>
      <c r="N56" s="124">
        <f>N55</f>
        <v>100</v>
      </c>
      <c r="O56" s="124">
        <f t="shared" ref="O56" si="47">O55+9</f>
        <v>35016</v>
      </c>
      <c r="P56" s="124">
        <f t="shared" ref="P56" si="48">P55</f>
        <v>100</v>
      </c>
      <c r="Q56" s="124">
        <f>Q55+9</f>
        <v>35017</v>
      </c>
      <c r="R56" s="124">
        <f>R55</f>
        <v>100</v>
      </c>
      <c r="S56" s="124">
        <f>S55+9</f>
        <v>35018</v>
      </c>
      <c r="T56" s="124">
        <f>T55</f>
        <v>100</v>
      </c>
    </row>
    <row r="57" spans="1:84" s="124" customFormat="1">
      <c r="A57" s="134">
        <v>200070</v>
      </c>
      <c r="B57" s="44" t="s">
        <v>1405</v>
      </c>
      <c r="C57" s="124">
        <f t="shared" ref="C57" si="49">C56+9</f>
        <v>35019</v>
      </c>
      <c r="D57" s="124">
        <f t="shared" ref="D57" si="50">D56</f>
        <v>100</v>
      </c>
      <c r="E57" s="124">
        <f t="shared" ref="E57" si="51">E56+9</f>
        <v>35020</v>
      </c>
      <c r="F57" s="124">
        <f t="shared" ref="F57" si="52">F56</f>
        <v>100</v>
      </c>
      <c r="G57" s="124">
        <f t="shared" ref="G57" si="53">G56+9</f>
        <v>35021</v>
      </c>
      <c r="H57" s="124">
        <f t="shared" ref="H57" si="54">H56</f>
        <v>100</v>
      </c>
      <c r="I57" s="124">
        <f t="shared" ref="I57" si="55">I56+9</f>
        <v>35022</v>
      </c>
      <c r="J57" s="124">
        <f t="shared" ref="J57" si="56">J56</f>
        <v>100</v>
      </c>
      <c r="K57" s="124">
        <f t="shared" ref="K57" si="57">K56+9</f>
        <v>35023</v>
      </c>
      <c r="L57" s="124">
        <f t="shared" ref="L57" si="58">L56</f>
        <v>100</v>
      </c>
      <c r="M57" s="124">
        <f t="shared" ref="M57" si="59">M56+9</f>
        <v>35024</v>
      </c>
      <c r="N57" s="124">
        <f t="shared" ref="N57" si="60">N56</f>
        <v>100</v>
      </c>
      <c r="O57" s="124">
        <f t="shared" ref="O57" si="61">O56+9</f>
        <v>35025</v>
      </c>
      <c r="P57" s="124">
        <f t="shared" ref="P57" si="62">P56</f>
        <v>100</v>
      </c>
      <c r="Q57" s="124">
        <f t="shared" ref="Q57" si="63">Q56+9</f>
        <v>35026</v>
      </c>
      <c r="R57" s="124">
        <f t="shared" ref="R57" si="64">R56</f>
        <v>100</v>
      </c>
      <c r="S57" s="124">
        <f t="shared" ref="S57" si="65">S56+9</f>
        <v>35027</v>
      </c>
      <c r="T57" s="124">
        <f t="shared" ref="T57" si="66">T56</f>
        <v>100</v>
      </c>
    </row>
    <row r="58" spans="1:84" s="124" customFormat="1">
      <c r="A58" s="134">
        <v>200071</v>
      </c>
      <c r="B58" s="44" t="s">
        <v>1406</v>
      </c>
      <c r="C58" s="124">
        <v>311001</v>
      </c>
      <c r="D58" s="124">
        <v>100</v>
      </c>
      <c r="E58" s="124">
        <v>311002</v>
      </c>
      <c r="F58" s="124">
        <v>100</v>
      </c>
      <c r="G58" s="124">
        <v>311003</v>
      </c>
      <c r="H58" s="124">
        <v>100</v>
      </c>
      <c r="I58" s="124">
        <v>311004</v>
      </c>
      <c r="J58" s="124">
        <v>100</v>
      </c>
      <c r="K58" s="124">
        <v>311005</v>
      </c>
      <c r="L58" s="124">
        <v>100</v>
      </c>
      <c r="M58" s="124">
        <v>311006</v>
      </c>
      <c r="N58" s="124">
        <v>100</v>
      </c>
      <c r="O58" s="124">
        <v>311007</v>
      </c>
      <c r="P58" s="124">
        <v>100</v>
      </c>
      <c r="Q58" s="124">
        <v>311008</v>
      </c>
      <c r="R58" s="124">
        <v>100</v>
      </c>
      <c r="S58" s="124">
        <v>311009</v>
      </c>
      <c r="T58" s="124">
        <v>100</v>
      </c>
      <c r="U58" s="124">
        <v>311010</v>
      </c>
      <c r="V58" s="124">
        <v>100</v>
      </c>
      <c r="W58" s="124">
        <v>311011</v>
      </c>
      <c r="X58" s="124">
        <v>100</v>
      </c>
      <c r="Y58" s="124">
        <v>311012</v>
      </c>
      <c r="Z58" s="124">
        <v>100</v>
      </c>
      <c r="AA58" s="124">
        <v>311013</v>
      </c>
      <c r="AB58" s="124">
        <v>100</v>
      </c>
      <c r="AC58" s="124">
        <v>311014</v>
      </c>
      <c r="AD58" s="124">
        <v>100</v>
      </c>
      <c r="AE58" s="124">
        <v>311015</v>
      </c>
      <c r="AF58" s="124">
        <v>100</v>
      </c>
      <c r="AG58" s="124">
        <v>311016</v>
      </c>
      <c r="AH58" s="124">
        <v>100</v>
      </c>
      <c r="AI58" s="124">
        <v>311017</v>
      </c>
      <c r="AJ58" s="124">
        <v>100</v>
      </c>
      <c r="AK58" s="124">
        <v>311018</v>
      </c>
      <c r="AL58" s="124">
        <v>100</v>
      </c>
      <c r="AM58" s="124">
        <v>311019</v>
      </c>
      <c r="AN58" s="124">
        <v>100</v>
      </c>
      <c r="AO58" s="124">
        <v>311020</v>
      </c>
      <c r="AP58" s="124">
        <v>100</v>
      </c>
      <c r="AQ58" s="124">
        <v>311021</v>
      </c>
      <c r="AR58" s="124">
        <v>100</v>
      </c>
      <c r="AS58" s="124">
        <v>311022</v>
      </c>
      <c r="AT58" s="124">
        <v>100</v>
      </c>
      <c r="AU58" s="124">
        <v>311023</v>
      </c>
      <c r="AV58" s="124">
        <v>100</v>
      </c>
      <c r="AW58" s="124">
        <v>311024</v>
      </c>
      <c r="AX58" s="124">
        <v>100</v>
      </c>
      <c r="AY58" s="124">
        <v>311025</v>
      </c>
      <c r="AZ58" s="124">
        <v>100</v>
      </c>
      <c r="BA58" s="124">
        <v>311026</v>
      </c>
      <c r="BB58" s="124">
        <v>100</v>
      </c>
      <c r="BC58" s="124">
        <v>311027</v>
      </c>
      <c r="BD58" s="124">
        <v>100</v>
      </c>
      <c r="BE58" s="124">
        <v>311028</v>
      </c>
      <c r="BF58" s="124">
        <v>100</v>
      </c>
      <c r="BG58" s="124">
        <v>311029</v>
      </c>
      <c r="BH58" s="124">
        <v>100</v>
      </c>
      <c r="BI58" s="124">
        <v>311030</v>
      </c>
      <c r="BJ58" s="124">
        <v>100</v>
      </c>
      <c r="BK58" s="124">
        <v>311031</v>
      </c>
      <c r="BL58" s="124">
        <v>100</v>
      </c>
      <c r="BM58" s="124">
        <v>311032</v>
      </c>
      <c r="BN58" s="124">
        <v>100</v>
      </c>
      <c r="BO58" s="124">
        <v>311033</v>
      </c>
      <c r="BP58" s="124">
        <v>100</v>
      </c>
      <c r="BQ58" s="124">
        <v>311034</v>
      </c>
      <c r="BR58" s="124">
        <v>100</v>
      </c>
      <c r="BS58" s="124">
        <v>311035</v>
      </c>
      <c r="BT58" s="124">
        <v>100</v>
      </c>
      <c r="BU58" s="124">
        <v>311036</v>
      </c>
      <c r="BV58" s="124">
        <v>100</v>
      </c>
      <c r="BW58" s="124">
        <v>311037</v>
      </c>
      <c r="BX58" s="124">
        <v>100</v>
      </c>
      <c r="BY58" s="124">
        <v>311075</v>
      </c>
      <c r="BZ58" s="124">
        <v>100</v>
      </c>
      <c r="CA58" s="124">
        <v>311076</v>
      </c>
      <c r="CB58" s="124">
        <v>100</v>
      </c>
      <c r="CC58" s="124">
        <v>311077</v>
      </c>
      <c r="CD58" s="124">
        <v>100</v>
      </c>
      <c r="CE58" s="124">
        <v>311078</v>
      </c>
      <c r="CF58" s="124">
        <v>100</v>
      </c>
    </row>
    <row r="59" spans="1:84" s="124" customFormat="1">
      <c r="A59" s="134">
        <v>200072</v>
      </c>
      <c r="B59" s="44" t="s">
        <v>1407</v>
      </c>
      <c r="C59" s="124">
        <v>311038</v>
      </c>
      <c r="D59" s="124">
        <v>100</v>
      </c>
      <c r="E59" s="124">
        <v>311039</v>
      </c>
      <c r="F59" s="124">
        <v>100</v>
      </c>
      <c r="G59" s="124">
        <v>311040</v>
      </c>
      <c r="H59" s="124">
        <v>100</v>
      </c>
      <c r="I59" s="124">
        <v>311041</v>
      </c>
      <c r="J59" s="124">
        <v>100</v>
      </c>
      <c r="K59" s="124">
        <v>311042</v>
      </c>
      <c r="L59" s="124">
        <v>100</v>
      </c>
      <c r="M59" s="124">
        <v>311043</v>
      </c>
      <c r="N59" s="124">
        <v>100</v>
      </c>
      <c r="O59" s="124">
        <v>311044</v>
      </c>
      <c r="P59" s="124">
        <v>100</v>
      </c>
      <c r="Q59" s="124">
        <v>311045</v>
      </c>
      <c r="R59" s="124">
        <v>100</v>
      </c>
      <c r="S59" s="124">
        <v>311046</v>
      </c>
      <c r="T59" s="124">
        <v>100</v>
      </c>
      <c r="U59" s="124">
        <v>311047</v>
      </c>
      <c r="V59" s="124">
        <v>100</v>
      </c>
      <c r="W59" s="124">
        <v>311048</v>
      </c>
      <c r="X59" s="124">
        <v>100</v>
      </c>
      <c r="Y59" s="124">
        <v>311049</v>
      </c>
      <c r="Z59" s="124">
        <v>100</v>
      </c>
      <c r="AA59" s="124">
        <v>311050</v>
      </c>
      <c r="AB59" s="124">
        <v>100</v>
      </c>
      <c r="AC59" s="124">
        <v>311051</v>
      </c>
      <c r="AD59" s="124">
        <v>100</v>
      </c>
      <c r="AE59" s="124">
        <v>311052</v>
      </c>
      <c r="AF59" s="124">
        <v>100</v>
      </c>
      <c r="AG59" s="124">
        <v>311053</v>
      </c>
      <c r="AH59" s="124">
        <v>100</v>
      </c>
      <c r="AI59" s="124">
        <v>311054</v>
      </c>
      <c r="AJ59" s="124">
        <v>100</v>
      </c>
      <c r="AK59" s="124">
        <v>311055</v>
      </c>
      <c r="AL59" s="124">
        <v>100</v>
      </c>
      <c r="AM59" s="124">
        <v>311056</v>
      </c>
      <c r="AN59" s="124">
        <v>100</v>
      </c>
      <c r="AO59" s="124">
        <v>311057</v>
      </c>
      <c r="AP59" s="124">
        <v>100</v>
      </c>
      <c r="AQ59" s="124">
        <v>311058</v>
      </c>
      <c r="AR59" s="124">
        <v>100</v>
      </c>
      <c r="AS59" s="124">
        <v>311059</v>
      </c>
      <c r="AT59" s="124">
        <v>100</v>
      </c>
      <c r="AU59" s="124">
        <v>311060</v>
      </c>
      <c r="AV59" s="124">
        <v>100</v>
      </c>
      <c r="AW59" s="124">
        <v>311061</v>
      </c>
      <c r="AX59" s="124">
        <v>100</v>
      </c>
      <c r="AY59" s="124">
        <v>311062</v>
      </c>
      <c r="AZ59" s="124">
        <v>100</v>
      </c>
      <c r="BA59" s="124">
        <v>311063</v>
      </c>
      <c r="BB59" s="124">
        <v>100</v>
      </c>
      <c r="BC59" s="124">
        <v>311064</v>
      </c>
      <c r="BD59" s="124">
        <v>100</v>
      </c>
      <c r="BE59" s="124">
        <v>311065</v>
      </c>
      <c r="BF59" s="124">
        <v>100</v>
      </c>
      <c r="BG59" s="124">
        <v>311066</v>
      </c>
      <c r="BH59" s="124">
        <v>100</v>
      </c>
      <c r="BI59" s="124">
        <v>311067</v>
      </c>
      <c r="BJ59" s="124">
        <v>100</v>
      </c>
      <c r="BK59" s="124">
        <v>311068</v>
      </c>
      <c r="BL59" s="124">
        <v>100</v>
      </c>
      <c r="BM59" s="124">
        <v>311069</v>
      </c>
      <c r="BN59" s="124">
        <v>100</v>
      </c>
      <c r="BO59" s="124">
        <v>311070</v>
      </c>
      <c r="BP59" s="124">
        <v>100</v>
      </c>
      <c r="BQ59" s="124">
        <v>311071</v>
      </c>
      <c r="BR59" s="124">
        <v>100</v>
      </c>
      <c r="BS59" s="124">
        <v>311072</v>
      </c>
      <c r="BT59" s="124">
        <v>100</v>
      </c>
      <c r="BU59" s="124">
        <v>311073</v>
      </c>
      <c r="BV59" s="124">
        <v>100</v>
      </c>
      <c r="BW59" s="124">
        <v>311074</v>
      </c>
      <c r="BX59" s="124">
        <v>100</v>
      </c>
      <c r="BY59" s="124">
        <v>311079</v>
      </c>
      <c r="BZ59" s="124">
        <v>100</v>
      </c>
      <c r="CA59" s="124">
        <v>311080</v>
      </c>
      <c r="CB59" s="124">
        <v>100</v>
      </c>
      <c r="CC59" s="124">
        <v>311081</v>
      </c>
      <c r="CD59" s="124">
        <v>100</v>
      </c>
      <c r="CE59" s="124">
        <v>311082</v>
      </c>
      <c r="CF59" s="124">
        <v>100</v>
      </c>
    </row>
    <row r="60" spans="1:84" s="124" customFormat="1">
      <c r="A60" s="134">
        <v>200073</v>
      </c>
      <c r="B60" s="44" t="s">
        <v>1408</v>
      </c>
      <c r="C60" s="124" t="s">
        <v>1098</v>
      </c>
      <c r="D60" s="124">
        <v>100</v>
      </c>
      <c r="E60" s="124" t="s">
        <v>1386</v>
      </c>
      <c r="F60" s="124">
        <v>100</v>
      </c>
      <c r="G60" s="124" t="s">
        <v>1387</v>
      </c>
      <c r="H60" s="124">
        <v>100</v>
      </c>
      <c r="I60" s="124" t="s">
        <v>1388</v>
      </c>
      <c r="J60" s="124">
        <v>100</v>
      </c>
      <c r="K60" s="124" t="s">
        <v>1389</v>
      </c>
      <c r="L60" s="124">
        <v>100</v>
      </c>
      <c r="M60" s="124" t="s">
        <v>1390</v>
      </c>
      <c r="N60" s="124">
        <v>100</v>
      </c>
      <c r="O60" s="124" t="s">
        <v>1391</v>
      </c>
      <c r="P60" s="124">
        <v>100</v>
      </c>
      <c r="Q60" s="124" t="s">
        <v>1392</v>
      </c>
      <c r="R60" s="124">
        <v>100</v>
      </c>
      <c r="S60" s="124" t="s">
        <v>1393</v>
      </c>
      <c r="T60" s="124">
        <v>100</v>
      </c>
      <c r="U60" s="124" t="s">
        <v>1394</v>
      </c>
      <c r="V60" s="124">
        <v>100</v>
      </c>
    </row>
    <row r="61" spans="1:84" s="124" customFormat="1">
      <c r="A61" s="134">
        <v>200074</v>
      </c>
      <c r="B61" s="44" t="s">
        <v>1409</v>
      </c>
      <c r="C61" s="124">
        <v>331350</v>
      </c>
      <c r="D61" s="124">
        <v>100</v>
      </c>
      <c r="E61" s="124" t="s">
        <v>1183</v>
      </c>
      <c r="F61" s="124">
        <v>100</v>
      </c>
    </row>
    <row r="62" spans="1:84" s="124" customFormat="1">
      <c r="A62" s="134">
        <v>200075</v>
      </c>
      <c r="B62" s="44" t="s">
        <v>1410</v>
      </c>
      <c r="C62" s="124" t="s">
        <v>1187</v>
      </c>
      <c r="D62" s="124">
        <v>100</v>
      </c>
      <c r="E62" s="124" t="s">
        <v>1191</v>
      </c>
      <c r="F62" s="124">
        <v>200</v>
      </c>
      <c r="G62" s="124" t="s">
        <v>1195</v>
      </c>
      <c r="H62" s="124">
        <v>400</v>
      </c>
    </row>
    <row r="63" spans="1:84" s="124" customFormat="1">
      <c r="A63" s="134">
        <v>200076</v>
      </c>
      <c r="B63" s="44" t="s">
        <v>1411</v>
      </c>
      <c r="C63" s="124">
        <v>331400</v>
      </c>
      <c r="D63" s="124">
        <v>100</v>
      </c>
      <c r="E63" s="124">
        <v>331401</v>
      </c>
      <c r="F63" s="124">
        <v>300</v>
      </c>
      <c r="G63" s="124">
        <v>331402</v>
      </c>
      <c r="H63" s="124">
        <v>100</v>
      </c>
    </row>
    <row r="64" spans="1:84" ht="13.5">
      <c r="A64" s="43">
        <v>200167</v>
      </c>
      <c r="B64" s="46" t="s">
        <v>43</v>
      </c>
      <c r="C64" s="61">
        <v>320000</v>
      </c>
      <c r="D64" s="124">
        <v>100</v>
      </c>
      <c r="J64" s="139"/>
      <c r="L64" s="139"/>
      <c r="N64" s="139"/>
      <c r="Q64" s="139"/>
      <c r="T64" s="140"/>
    </row>
    <row r="65" spans="1:20" ht="13.5">
      <c r="A65" s="43">
        <v>200168</v>
      </c>
      <c r="B65" s="46" t="s">
        <v>72</v>
      </c>
      <c r="C65" s="61">
        <v>320100</v>
      </c>
      <c r="D65" s="124">
        <v>100</v>
      </c>
      <c r="J65" s="139"/>
      <c r="L65" s="139"/>
      <c r="N65" s="139"/>
      <c r="Q65" s="139"/>
      <c r="T65" s="140"/>
    </row>
    <row r="66" spans="1:20" ht="13.5">
      <c r="A66" s="43">
        <v>200169</v>
      </c>
      <c r="B66" s="46" t="s">
        <v>131</v>
      </c>
      <c r="C66" s="61">
        <v>338000</v>
      </c>
      <c r="D66" s="124">
        <v>100</v>
      </c>
      <c r="J66" s="139"/>
      <c r="L66" s="139"/>
      <c r="N66" s="139"/>
      <c r="Q66" s="139"/>
      <c r="T66" s="140"/>
    </row>
    <row r="67" spans="1:20" ht="13.5">
      <c r="A67" s="43">
        <v>200170</v>
      </c>
      <c r="B67" s="46" t="s">
        <v>142</v>
      </c>
      <c r="C67" s="61">
        <v>336010</v>
      </c>
      <c r="D67" s="124">
        <v>100</v>
      </c>
      <c r="J67" s="139"/>
      <c r="L67" s="139"/>
      <c r="N67" s="139"/>
      <c r="Q67" s="139"/>
      <c r="T67" s="140"/>
    </row>
    <row r="68" spans="1:20" ht="13.5">
      <c r="A68" s="43">
        <v>200171</v>
      </c>
      <c r="B68" s="46" t="s">
        <v>824</v>
      </c>
      <c r="C68" s="61">
        <v>40013</v>
      </c>
      <c r="D68" s="124">
        <v>100</v>
      </c>
      <c r="J68" s="139"/>
      <c r="L68" s="139"/>
      <c r="N68" s="139"/>
      <c r="Q68" s="139"/>
      <c r="T68" s="140"/>
    </row>
    <row r="69" spans="1:20" ht="13.5">
      <c r="A69" s="43">
        <v>200172</v>
      </c>
      <c r="B69" s="46" t="s">
        <v>1092</v>
      </c>
      <c r="C69" s="61">
        <v>360000</v>
      </c>
      <c r="D69" s="124">
        <v>100</v>
      </c>
      <c r="J69" s="139"/>
      <c r="L69" s="139"/>
      <c r="N69" s="139"/>
      <c r="Q69" s="139"/>
      <c r="T69" s="140"/>
    </row>
    <row r="70" spans="1:20" ht="14.25">
      <c r="A70" s="43">
        <v>200173</v>
      </c>
      <c r="B70" s="47" t="s">
        <v>838</v>
      </c>
      <c r="C70" s="141">
        <v>310000</v>
      </c>
      <c r="D70" s="124">
        <v>100</v>
      </c>
      <c r="J70" s="139"/>
      <c r="L70" s="139"/>
      <c r="N70" s="139"/>
      <c r="Q70" s="139"/>
      <c r="T70" s="140"/>
    </row>
    <row r="71" spans="1:20" ht="14.25">
      <c r="A71" s="43">
        <v>200174</v>
      </c>
      <c r="B71" s="47" t="s">
        <v>843</v>
      </c>
      <c r="C71" s="141">
        <v>310001</v>
      </c>
      <c r="D71" s="124">
        <v>100</v>
      </c>
      <c r="J71" s="139"/>
      <c r="L71" s="139"/>
      <c r="N71" s="139"/>
      <c r="Q71" s="139"/>
      <c r="T71" s="140"/>
    </row>
    <row r="72" spans="1:20" ht="13.5">
      <c r="A72" s="43">
        <v>200175</v>
      </c>
      <c r="B72" s="47" t="s">
        <v>846</v>
      </c>
      <c r="C72" s="61">
        <v>310100</v>
      </c>
      <c r="D72" s="124">
        <v>100</v>
      </c>
      <c r="J72" s="139"/>
      <c r="L72" s="139"/>
      <c r="N72" s="139"/>
      <c r="Q72" s="139"/>
      <c r="T72" s="140"/>
    </row>
    <row r="73" spans="1:20" ht="13.5">
      <c r="A73" s="43">
        <v>200176</v>
      </c>
      <c r="B73" s="47" t="s">
        <v>850</v>
      </c>
      <c r="C73" s="61">
        <v>310101</v>
      </c>
      <c r="D73" s="124">
        <v>100</v>
      </c>
      <c r="J73" s="139"/>
      <c r="L73" s="139"/>
      <c r="N73" s="139"/>
      <c r="Q73" s="139"/>
      <c r="T73" s="140"/>
    </row>
    <row r="74" spans="1:20" ht="13.5">
      <c r="A74" s="43">
        <v>200177</v>
      </c>
      <c r="B74" s="47" t="s">
        <v>855</v>
      </c>
      <c r="C74" s="61">
        <v>310102</v>
      </c>
      <c r="D74" s="124">
        <v>100</v>
      </c>
      <c r="J74" s="139"/>
      <c r="L74" s="139"/>
      <c r="N74" s="139"/>
      <c r="Q74" s="139"/>
      <c r="T74" s="140"/>
    </row>
    <row r="75" spans="1:20" ht="13.5">
      <c r="A75" s="43">
        <v>200178</v>
      </c>
      <c r="B75" s="47" t="s">
        <v>860</v>
      </c>
      <c r="C75" s="61">
        <v>310103</v>
      </c>
      <c r="D75" s="124">
        <v>100</v>
      </c>
      <c r="J75" s="139"/>
      <c r="L75" s="139"/>
      <c r="N75" s="139"/>
      <c r="Q75" s="139"/>
      <c r="T75" s="140"/>
    </row>
    <row r="76" spans="1:20" ht="13.5">
      <c r="A76" s="43">
        <v>200179</v>
      </c>
      <c r="B76" s="47" t="s">
        <v>863</v>
      </c>
      <c r="C76" s="61">
        <v>310200</v>
      </c>
      <c r="D76" s="124">
        <v>100</v>
      </c>
      <c r="J76" s="139"/>
      <c r="L76" s="139"/>
      <c r="N76" s="139"/>
      <c r="Q76" s="139"/>
      <c r="T76" s="140"/>
    </row>
    <row r="77" spans="1:20" ht="13.5">
      <c r="A77" s="43">
        <v>200180</v>
      </c>
      <c r="B77" s="47" t="s">
        <v>871</v>
      </c>
      <c r="C77" s="61">
        <v>331300</v>
      </c>
      <c r="D77" s="124">
        <v>100</v>
      </c>
      <c r="J77" s="139"/>
      <c r="L77" s="139"/>
      <c r="N77" s="139"/>
      <c r="Q77" s="139"/>
      <c r="T77" s="140"/>
    </row>
    <row r="78" spans="1:20" ht="13.5">
      <c r="A78" s="43">
        <v>200181</v>
      </c>
      <c r="B78" s="47" t="s">
        <v>1175</v>
      </c>
      <c r="C78" s="61">
        <v>331301</v>
      </c>
      <c r="D78" s="124">
        <v>100</v>
      </c>
      <c r="J78" s="139"/>
      <c r="L78" s="139"/>
      <c r="N78" s="139"/>
      <c r="Q78" s="139"/>
      <c r="T78" s="140"/>
    </row>
    <row r="79" spans="1:20" ht="13.5">
      <c r="A79" s="43">
        <v>200182</v>
      </c>
      <c r="B79" s="48" t="s">
        <v>1795</v>
      </c>
      <c r="C79" s="61">
        <v>339000</v>
      </c>
      <c r="D79" s="124">
        <v>100</v>
      </c>
      <c r="J79" s="139"/>
      <c r="L79" s="139"/>
      <c r="N79" s="139"/>
      <c r="Q79" s="139"/>
      <c r="T79" s="140"/>
    </row>
    <row r="80" spans="1:20" ht="13.5">
      <c r="A80" s="43">
        <v>200183</v>
      </c>
      <c r="B80" s="48" t="s">
        <v>1796</v>
      </c>
      <c r="C80" s="61">
        <v>339001</v>
      </c>
      <c r="D80" s="124">
        <v>100</v>
      </c>
      <c r="J80" s="139"/>
      <c r="L80" s="139"/>
      <c r="N80" s="139"/>
      <c r="Q80" s="139"/>
      <c r="T80" s="140"/>
    </row>
    <row r="81" spans="1:20" ht="13.5">
      <c r="A81" s="43">
        <v>200184</v>
      </c>
      <c r="B81" s="48" t="s">
        <v>1797</v>
      </c>
      <c r="C81" s="61">
        <v>339002</v>
      </c>
      <c r="D81" s="124">
        <v>100</v>
      </c>
      <c r="J81" s="139"/>
      <c r="L81" s="139"/>
      <c r="N81" s="139"/>
      <c r="Q81" s="140"/>
      <c r="T81" s="140"/>
    </row>
    <row r="82" spans="1:20" ht="13.5">
      <c r="A82" s="43">
        <v>200185</v>
      </c>
      <c r="B82" s="46" t="s">
        <v>1229</v>
      </c>
      <c r="C82" s="61">
        <v>337009</v>
      </c>
      <c r="D82" s="124">
        <v>100</v>
      </c>
      <c r="J82" s="139"/>
      <c r="L82" s="139"/>
      <c r="N82" s="139"/>
      <c r="Q82" s="140"/>
      <c r="T82" s="140"/>
    </row>
    <row r="83" spans="1:20" ht="13.5">
      <c r="A83" s="43">
        <v>200186</v>
      </c>
      <c r="B83" s="46" t="s">
        <v>1412</v>
      </c>
      <c r="C83" s="61">
        <v>341101</v>
      </c>
      <c r="D83" s="124">
        <v>100</v>
      </c>
      <c r="J83" s="139"/>
      <c r="L83" s="139"/>
      <c r="N83" s="139"/>
      <c r="Q83" s="140"/>
      <c r="T83" s="140"/>
    </row>
    <row r="84" spans="1:20" ht="13.5">
      <c r="A84" s="43">
        <v>200187</v>
      </c>
      <c r="B84" s="46" t="s">
        <v>1413</v>
      </c>
      <c r="C84" s="61">
        <v>341102</v>
      </c>
      <c r="D84" s="124">
        <v>100</v>
      </c>
      <c r="J84" s="139"/>
      <c r="L84" s="139"/>
      <c r="N84" s="139"/>
      <c r="Q84" s="140"/>
      <c r="T84" s="140"/>
    </row>
    <row r="85" spans="1:20" ht="13.5">
      <c r="A85" s="43">
        <v>200188</v>
      </c>
      <c r="B85" s="46" t="s">
        <v>1414</v>
      </c>
      <c r="C85" s="61">
        <v>341103</v>
      </c>
      <c r="D85" s="124">
        <v>100</v>
      </c>
      <c r="J85" s="139"/>
      <c r="L85" s="139"/>
      <c r="N85" s="139"/>
      <c r="Q85" s="140"/>
      <c r="T85" s="140"/>
    </row>
    <row r="86" spans="1:20" ht="13.5">
      <c r="A86" s="43">
        <v>200189</v>
      </c>
      <c r="B86" s="46" t="s">
        <v>1415</v>
      </c>
      <c r="C86" s="61">
        <v>341104</v>
      </c>
      <c r="D86" s="124">
        <v>100</v>
      </c>
      <c r="J86" s="139"/>
      <c r="L86" s="139"/>
      <c r="N86" s="139"/>
      <c r="Q86" s="140"/>
      <c r="T86" s="140"/>
    </row>
    <row r="87" spans="1:20" ht="13.5">
      <c r="A87" s="43">
        <v>200190</v>
      </c>
      <c r="B87" s="46" t="s">
        <v>1416</v>
      </c>
      <c r="C87" s="61">
        <v>341105</v>
      </c>
      <c r="D87" s="124">
        <v>100</v>
      </c>
      <c r="J87" s="139"/>
      <c r="L87" s="139"/>
      <c r="N87" s="139"/>
      <c r="Q87" s="140"/>
      <c r="T87" s="140"/>
    </row>
    <row r="88" spans="1:20" ht="13.5">
      <c r="A88" s="43">
        <v>200191</v>
      </c>
      <c r="B88" s="46" t="s">
        <v>1417</v>
      </c>
      <c r="C88" s="61">
        <v>341106</v>
      </c>
      <c r="D88" s="124">
        <v>100</v>
      </c>
      <c r="J88" s="139"/>
      <c r="L88" s="139"/>
      <c r="N88" s="139"/>
      <c r="Q88" s="140"/>
      <c r="T88" s="140"/>
    </row>
    <row r="89" spans="1:20" ht="13.5">
      <c r="A89" s="43">
        <v>200192</v>
      </c>
      <c r="B89" s="46" t="s">
        <v>1418</v>
      </c>
      <c r="C89" s="61">
        <v>341107</v>
      </c>
      <c r="D89" s="124">
        <v>100</v>
      </c>
      <c r="J89" s="139"/>
      <c r="L89" s="139"/>
      <c r="N89" s="139"/>
      <c r="Q89" s="140"/>
      <c r="T89" s="140"/>
    </row>
    <row r="90" spans="1:20" ht="13.5">
      <c r="A90" s="43">
        <v>200193</v>
      </c>
      <c r="B90" s="46" t="s">
        <v>1419</v>
      </c>
      <c r="C90" s="61">
        <v>341108</v>
      </c>
      <c r="D90" s="124">
        <v>100</v>
      </c>
      <c r="J90" s="139"/>
      <c r="L90" s="139"/>
      <c r="N90" s="139"/>
      <c r="Q90" s="140"/>
      <c r="T90" s="140"/>
    </row>
    <row r="91" spans="1:20" ht="13.5">
      <c r="A91" s="43">
        <v>200194</v>
      </c>
      <c r="B91" s="46" t="s">
        <v>1420</v>
      </c>
      <c r="C91" s="61">
        <v>341109</v>
      </c>
      <c r="D91" s="124">
        <v>100</v>
      </c>
      <c r="J91" s="139"/>
      <c r="L91" s="139"/>
      <c r="N91" s="139"/>
      <c r="Q91" s="140"/>
      <c r="T91" s="140"/>
    </row>
    <row r="92" spans="1:20" ht="13.5">
      <c r="A92" s="43">
        <v>200195</v>
      </c>
      <c r="B92" s="46" t="s">
        <v>1421</v>
      </c>
      <c r="C92" s="61">
        <v>341110</v>
      </c>
      <c r="D92" s="124">
        <v>100</v>
      </c>
      <c r="J92" s="139"/>
      <c r="L92" s="139"/>
      <c r="N92" s="139"/>
      <c r="Q92" s="140"/>
      <c r="T92" s="140"/>
    </row>
    <row r="93" spans="1:20" ht="13.5">
      <c r="A93" s="43">
        <v>200196</v>
      </c>
      <c r="B93" s="46" t="s">
        <v>1422</v>
      </c>
      <c r="C93" s="61">
        <v>341111</v>
      </c>
      <c r="D93" s="124">
        <v>100</v>
      </c>
      <c r="J93" s="139"/>
      <c r="L93" s="139"/>
      <c r="N93" s="139"/>
      <c r="Q93" s="140"/>
      <c r="T93" s="140"/>
    </row>
    <row r="94" spans="1:20" ht="13.5">
      <c r="A94" s="43">
        <v>200197</v>
      </c>
      <c r="B94" s="46" t="s">
        <v>1423</v>
      </c>
      <c r="C94" s="61">
        <v>341112</v>
      </c>
      <c r="D94" s="124">
        <v>100</v>
      </c>
      <c r="J94" s="139"/>
      <c r="L94" s="139"/>
      <c r="N94" s="139"/>
      <c r="Q94" s="140"/>
      <c r="T94" s="140"/>
    </row>
    <row r="95" spans="1:20" ht="13.5">
      <c r="A95" s="43">
        <v>200198</v>
      </c>
      <c r="B95" s="46" t="s">
        <v>1424</v>
      </c>
      <c r="C95" s="61">
        <v>341113</v>
      </c>
      <c r="D95" s="124">
        <v>100</v>
      </c>
      <c r="J95" s="139"/>
      <c r="L95" s="139"/>
      <c r="N95" s="139"/>
      <c r="Q95" s="140"/>
      <c r="T95" s="140"/>
    </row>
    <row r="96" spans="1:20" ht="13.5">
      <c r="A96" s="43">
        <v>200199</v>
      </c>
      <c r="B96" s="46" t="s">
        <v>1425</v>
      </c>
      <c r="C96" s="61">
        <v>341114</v>
      </c>
      <c r="D96" s="124">
        <v>100</v>
      </c>
      <c r="J96" s="139"/>
      <c r="L96" s="139"/>
      <c r="N96" s="139"/>
      <c r="Q96" s="140"/>
      <c r="T96" s="140"/>
    </row>
    <row r="97" spans="1:28" ht="13.5">
      <c r="A97" s="43">
        <v>200200</v>
      </c>
      <c r="B97" s="46" t="s">
        <v>1426</v>
      </c>
      <c r="C97" s="142">
        <v>341115</v>
      </c>
      <c r="D97" s="124">
        <v>100</v>
      </c>
      <c r="J97" s="139"/>
      <c r="L97" s="139"/>
      <c r="N97" s="139"/>
      <c r="Q97" s="140"/>
      <c r="T97" s="140"/>
    </row>
    <row r="98" spans="1:28" s="124" customFormat="1">
      <c r="A98" s="134">
        <v>200077</v>
      </c>
      <c r="B98" s="44" t="s">
        <v>1427</v>
      </c>
      <c r="C98" s="124">
        <v>350100</v>
      </c>
      <c r="D98" s="124">
        <v>100</v>
      </c>
      <c r="E98" s="124">
        <f t="shared" ref="E98" si="67">C98+1</f>
        <v>350101</v>
      </c>
      <c r="F98" s="124">
        <v>100</v>
      </c>
      <c r="G98" s="124">
        <f>E98+1</f>
        <v>350102</v>
      </c>
      <c r="H98" s="124">
        <v>100</v>
      </c>
      <c r="I98" s="124">
        <f>G98+1</f>
        <v>350103</v>
      </c>
      <c r="J98" s="124">
        <v>100</v>
      </c>
      <c r="K98" s="124">
        <f t="shared" ref="K98" si="68">I98+1</f>
        <v>350104</v>
      </c>
      <c r="L98" s="124">
        <v>100</v>
      </c>
      <c r="M98" s="124">
        <f>K98+1</f>
        <v>350105</v>
      </c>
      <c r="N98" s="124">
        <v>100</v>
      </c>
      <c r="O98" s="124">
        <f>M98+1</f>
        <v>350106</v>
      </c>
      <c r="P98" s="124">
        <v>100</v>
      </c>
      <c r="Q98" s="124">
        <f t="shared" ref="Q98" si="69">O98+1</f>
        <v>350107</v>
      </c>
      <c r="R98" s="124">
        <v>100</v>
      </c>
      <c r="S98" s="124">
        <f>Q98+1</f>
        <v>350108</v>
      </c>
      <c r="T98" s="124">
        <v>100</v>
      </c>
      <c r="U98" s="124">
        <f>S98+1</f>
        <v>350109</v>
      </c>
      <c r="V98" s="124">
        <v>50</v>
      </c>
      <c r="W98" s="124">
        <f t="shared" ref="W98" si="70">U98+1</f>
        <v>350110</v>
      </c>
      <c r="X98" s="124">
        <v>50</v>
      </c>
      <c r="Y98" s="124">
        <f>W98+1</f>
        <v>350111</v>
      </c>
      <c r="Z98" s="124">
        <v>50</v>
      </c>
      <c r="AA98" s="124">
        <f>Y98+1</f>
        <v>350112</v>
      </c>
      <c r="AB98" s="124">
        <v>50</v>
      </c>
    </row>
    <row r="99" spans="1:28" s="124" customFormat="1">
      <c r="A99" s="134">
        <v>200078</v>
      </c>
      <c r="B99" s="44" t="s">
        <v>1428</v>
      </c>
      <c r="C99" s="124">
        <f>C98+100</f>
        <v>350200</v>
      </c>
      <c r="D99" s="124">
        <f>D98</f>
        <v>100</v>
      </c>
      <c r="E99" s="124">
        <f t="shared" ref="E99" si="71">E98+100</f>
        <v>350201</v>
      </c>
      <c r="F99" s="124">
        <f t="shared" ref="F99" si="72">F98</f>
        <v>100</v>
      </c>
      <c r="G99" s="124">
        <f t="shared" ref="G99" si="73">G98+100</f>
        <v>350202</v>
      </c>
      <c r="H99" s="124">
        <f t="shared" ref="H99" si="74">H98</f>
        <v>100</v>
      </c>
      <c r="I99" s="124">
        <f t="shared" ref="I99" si="75">I98+100</f>
        <v>350203</v>
      </c>
      <c r="J99" s="124">
        <f t="shared" ref="J99" si="76">J98</f>
        <v>100</v>
      </c>
      <c r="K99" s="124">
        <f t="shared" ref="K99" si="77">K98+100</f>
        <v>350204</v>
      </c>
      <c r="L99" s="124">
        <f t="shared" ref="L99" si="78">L98</f>
        <v>100</v>
      </c>
      <c r="M99" s="124">
        <f t="shared" ref="M99" si="79">M98+100</f>
        <v>350205</v>
      </c>
      <c r="N99" s="124">
        <f t="shared" ref="N99" si="80">N98</f>
        <v>100</v>
      </c>
      <c r="O99" s="124">
        <f t="shared" ref="O99" si="81">O98+100</f>
        <v>350206</v>
      </c>
      <c r="P99" s="124">
        <f t="shared" ref="P99" si="82">P98</f>
        <v>100</v>
      </c>
      <c r="Q99" s="124">
        <f t="shared" ref="Q99" si="83">Q98+100</f>
        <v>350207</v>
      </c>
      <c r="R99" s="124">
        <f t="shared" ref="R99" si="84">R98</f>
        <v>100</v>
      </c>
      <c r="S99" s="124">
        <f t="shared" ref="S99" si="85">S98+100</f>
        <v>350208</v>
      </c>
      <c r="T99" s="124">
        <f t="shared" ref="T99" si="86">T98</f>
        <v>100</v>
      </c>
      <c r="U99" s="124">
        <f t="shared" ref="U99" si="87">U98+100</f>
        <v>350209</v>
      </c>
      <c r="V99" s="124">
        <f t="shared" ref="V99" si="88">V98</f>
        <v>50</v>
      </c>
      <c r="W99" s="124">
        <f t="shared" ref="W99" si="89">W98+100</f>
        <v>350210</v>
      </c>
      <c r="X99" s="124">
        <f t="shared" ref="X99" si="90">X98</f>
        <v>50</v>
      </c>
      <c r="Y99" s="124">
        <f t="shared" ref="Y99" si="91">Y98+100</f>
        <v>350211</v>
      </c>
      <c r="Z99" s="124">
        <f t="shared" ref="Z99" si="92">Z98</f>
        <v>50</v>
      </c>
      <c r="AA99" s="124">
        <f t="shared" ref="AA99" si="93">AA98+100</f>
        <v>350212</v>
      </c>
      <c r="AB99" s="124">
        <f t="shared" ref="AB99" si="94">AB98</f>
        <v>50</v>
      </c>
    </row>
    <row r="100" spans="1:28" s="124" customFormat="1">
      <c r="A100" s="134">
        <v>200079</v>
      </c>
      <c r="B100" s="44" t="s">
        <v>1429</v>
      </c>
      <c r="C100" s="124">
        <f t="shared" ref="C100" si="95">C99+100</f>
        <v>350300</v>
      </c>
      <c r="D100" s="124">
        <f t="shared" ref="D100" si="96">D99</f>
        <v>100</v>
      </c>
      <c r="E100" s="124">
        <f t="shared" ref="E100" si="97">E99+100</f>
        <v>350301</v>
      </c>
      <c r="F100" s="124">
        <f t="shared" ref="F100" si="98">F99</f>
        <v>100</v>
      </c>
      <c r="G100" s="124">
        <f t="shared" ref="G100" si="99">G99+100</f>
        <v>350302</v>
      </c>
      <c r="H100" s="124">
        <f t="shared" ref="H100" si="100">H99</f>
        <v>100</v>
      </c>
      <c r="I100" s="124">
        <f t="shared" ref="I100" si="101">I99+100</f>
        <v>350303</v>
      </c>
      <c r="J100" s="124">
        <f t="shared" ref="J100" si="102">J99</f>
        <v>100</v>
      </c>
      <c r="K100" s="124">
        <f t="shared" ref="K100" si="103">K99+100</f>
        <v>350304</v>
      </c>
      <c r="L100" s="124">
        <f t="shared" ref="L100" si="104">L99</f>
        <v>100</v>
      </c>
      <c r="M100" s="124">
        <f t="shared" ref="M100" si="105">M99+100</f>
        <v>350305</v>
      </c>
      <c r="N100" s="124">
        <f t="shared" ref="N100" si="106">N99</f>
        <v>100</v>
      </c>
      <c r="O100" s="124">
        <f t="shared" ref="O100" si="107">O99+100</f>
        <v>350306</v>
      </c>
      <c r="P100" s="124">
        <f t="shared" ref="P100" si="108">P99</f>
        <v>100</v>
      </c>
      <c r="Q100" s="124">
        <f t="shared" ref="Q100" si="109">Q99+100</f>
        <v>350307</v>
      </c>
      <c r="R100" s="124">
        <f t="shared" ref="R100" si="110">R99</f>
        <v>100</v>
      </c>
      <c r="S100" s="124">
        <f t="shared" ref="S100" si="111">S99+100</f>
        <v>350308</v>
      </c>
      <c r="T100" s="124">
        <f t="shared" ref="T100" si="112">T99</f>
        <v>100</v>
      </c>
      <c r="U100" s="124">
        <f t="shared" ref="U100" si="113">U99+100</f>
        <v>350309</v>
      </c>
      <c r="V100" s="124">
        <f t="shared" ref="V100" si="114">V99</f>
        <v>50</v>
      </c>
      <c r="W100" s="124">
        <f t="shared" ref="W100" si="115">W99+100</f>
        <v>350310</v>
      </c>
      <c r="X100" s="124">
        <f t="shared" ref="X100" si="116">X99</f>
        <v>50</v>
      </c>
      <c r="Y100" s="124">
        <f t="shared" ref="Y100" si="117">Y99+100</f>
        <v>350311</v>
      </c>
      <c r="Z100" s="124">
        <f t="shared" ref="Z100" si="118">Z99</f>
        <v>50</v>
      </c>
      <c r="AA100" s="124">
        <f t="shared" ref="AA100" si="119">AA99+100</f>
        <v>350312</v>
      </c>
      <c r="AB100" s="124">
        <f t="shared" ref="AB100" si="120">AB99</f>
        <v>50</v>
      </c>
    </row>
    <row r="101" spans="1:28" s="124" customFormat="1">
      <c r="A101" s="134">
        <v>200080</v>
      </c>
      <c r="B101" s="44" t="s">
        <v>1430</v>
      </c>
      <c r="C101" s="124">
        <f t="shared" ref="C101" si="121">C100+100</f>
        <v>350400</v>
      </c>
      <c r="D101" s="124">
        <f t="shared" ref="D101" si="122">D100</f>
        <v>100</v>
      </c>
      <c r="E101" s="124">
        <f t="shared" ref="E101" si="123">E100+100</f>
        <v>350401</v>
      </c>
      <c r="F101" s="124">
        <f t="shared" ref="F101" si="124">F100</f>
        <v>100</v>
      </c>
      <c r="G101" s="124">
        <f t="shared" ref="G101" si="125">G100+100</f>
        <v>350402</v>
      </c>
      <c r="H101" s="124">
        <f t="shared" ref="H101" si="126">H100</f>
        <v>100</v>
      </c>
      <c r="I101" s="124">
        <f t="shared" ref="I101" si="127">I100+100</f>
        <v>350403</v>
      </c>
      <c r="J101" s="124">
        <f t="shared" ref="J101" si="128">J100</f>
        <v>100</v>
      </c>
      <c r="K101" s="124">
        <f t="shared" ref="K101" si="129">K100+100</f>
        <v>350404</v>
      </c>
      <c r="L101" s="124">
        <f t="shared" ref="L101" si="130">L100</f>
        <v>100</v>
      </c>
      <c r="M101" s="124">
        <f t="shared" ref="M101" si="131">M100+100</f>
        <v>350405</v>
      </c>
      <c r="N101" s="124">
        <f t="shared" ref="N101" si="132">N100</f>
        <v>100</v>
      </c>
      <c r="O101" s="124">
        <f t="shared" ref="O101" si="133">O100+100</f>
        <v>350406</v>
      </c>
      <c r="P101" s="124">
        <f t="shared" ref="P101" si="134">P100</f>
        <v>100</v>
      </c>
      <c r="Q101" s="124">
        <f t="shared" ref="Q101" si="135">Q100+100</f>
        <v>350407</v>
      </c>
      <c r="R101" s="124">
        <f t="shared" ref="R101" si="136">R100</f>
        <v>100</v>
      </c>
      <c r="S101" s="124">
        <f t="shared" ref="S101" si="137">S100+100</f>
        <v>350408</v>
      </c>
      <c r="T101" s="124">
        <f t="shared" ref="T101" si="138">T100</f>
        <v>100</v>
      </c>
      <c r="U101" s="124">
        <f t="shared" ref="U101" si="139">U100+100</f>
        <v>350409</v>
      </c>
      <c r="V101" s="124">
        <f t="shared" ref="V101" si="140">V100</f>
        <v>50</v>
      </c>
      <c r="W101" s="124">
        <f t="shared" ref="W101" si="141">W100+100</f>
        <v>350410</v>
      </c>
      <c r="X101" s="124">
        <f t="shared" ref="X101" si="142">X100</f>
        <v>50</v>
      </c>
      <c r="Y101" s="124">
        <f t="shared" ref="Y101" si="143">Y100+100</f>
        <v>350411</v>
      </c>
      <c r="Z101" s="124">
        <f t="shared" ref="Z101" si="144">Z100</f>
        <v>50</v>
      </c>
      <c r="AA101" s="124">
        <f t="shared" ref="AA101" si="145">AA100+100</f>
        <v>350412</v>
      </c>
      <c r="AB101" s="124">
        <f t="shared" ref="AB101" si="146">AB100</f>
        <v>50</v>
      </c>
    </row>
    <row r="102" spans="1:28" s="124" customFormat="1">
      <c r="A102" s="134">
        <v>200081</v>
      </c>
      <c r="B102" s="44" t="s">
        <v>1431</v>
      </c>
      <c r="C102" s="124">
        <f t="shared" ref="C102:C112" si="147">C101+100</f>
        <v>350500</v>
      </c>
      <c r="D102" s="124">
        <f t="shared" ref="D102:D112" si="148">D101</f>
        <v>100</v>
      </c>
      <c r="E102" s="124">
        <f t="shared" ref="E102:E112" si="149">E101+100</f>
        <v>350501</v>
      </c>
      <c r="F102" s="124">
        <f t="shared" ref="F102:F112" si="150">F101</f>
        <v>100</v>
      </c>
      <c r="G102" s="124">
        <f t="shared" ref="G102:G112" si="151">G101+100</f>
        <v>350502</v>
      </c>
      <c r="H102" s="124">
        <f t="shared" ref="H102:H112" si="152">H101</f>
        <v>100</v>
      </c>
      <c r="I102" s="124">
        <f t="shared" ref="I102:I112" si="153">I101+100</f>
        <v>350503</v>
      </c>
      <c r="J102" s="124">
        <f t="shared" ref="J102:J112" si="154">J101</f>
        <v>100</v>
      </c>
      <c r="K102" s="124">
        <f t="shared" ref="K102:K112" si="155">K101+100</f>
        <v>350504</v>
      </c>
      <c r="L102" s="124">
        <f t="shared" ref="L102:L112" si="156">L101</f>
        <v>100</v>
      </c>
      <c r="M102" s="124">
        <f t="shared" ref="M102:M112" si="157">M101+100</f>
        <v>350505</v>
      </c>
      <c r="N102" s="124">
        <f t="shared" ref="N102:N112" si="158">N101</f>
        <v>100</v>
      </c>
      <c r="O102" s="124">
        <f t="shared" ref="O102:O112" si="159">O101+100</f>
        <v>350506</v>
      </c>
      <c r="P102" s="124">
        <f t="shared" ref="P102:P112" si="160">P101</f>
        <v>100</v>
      </c>
      <c r="Q102" s="124">
        <f t="shared" ref="Q102:Q112" si="161">Q101+100</f>
        <v>350507</v>
      </c>
      <c r="R102" s="124">
        <f t="shared" ref="R102:R112" si="162">R101</f>
        <v>100</v>
      </c>
      <c r="S102" s="124">
        <f t="shared" ref="S102:S112" si="163">S101+100</f>
        <v>350508</v>
      </c>
      <c r="T102" s="124">
        <f t="shared" ref="T102:T112" si="164">T101</f>
        <v>100</v>
      </c>
      <c r="U102" s="124">
        <f t="shared" ref="U102:U112" si="165">U101+100</f>
        <v>350509</v>
      </c>
      <c r="V102" s="124">
        <f t="shared" ref="V102:V112" si="166">V101</f>
        <v>50</v>
      </c>
      <c r="W102" s="124">
        <f t="shared" ref="W102:W112" si="167">W101+100</f>
        <v>350510</v>
      </c>
      <c r="X102" s="124">
        <f t="shared" ref="X102:X112" si="168">X101</f>
        <v>50</v>
      </c>
      <c r="Y102" s="124">
        <f t="shared" ref="Y102:Y112" si="169">Y101+100</f>
        <v>350511</v>
      </c>
      <c r="Z102" s="124">
        <f t="shared" ref="Z102:Z112" si="170">Z101</f>
        <v>50</v>
      </c>
      <c r="AA102" s="124">
        <f t="shared" ref="AA102:AA112" si="171">AA101+100</f>
        <v>350512</v>
      </c>
      <c r="AB102" s="124">
        <f t="shared" ref="AB102:AB112" si="172">AB101</f>
        <v>50</v>
      </c>
    </row>
    <row r="103" spans="1:28" s="124" customFormat="1">
      <c r="A103" s="134">
        <v>200082</v>
      </c>
      <c r="B103" s="44" t="s">
        <v>1432</v>
      </c>
      <c r="C103" s="124">
        <f t="shared" si="147"/>
        <v>350600</v>
      </c>
      <c r="D103" s="124">
        <f t="shared" si="148"/>
        <v>100</v>
      </c>
      <c r="E103" s="124">
        <f t="shared" si="149"/>
        <v>350601</v>
      </c>
      <c r="F103" s="124">
        <f t="shared" si="150"/>
        <v>100</v>
      </c>
      <c r="G103" s="124">
        <f t="shared" si="151"/>
        <v>350602</v>
      </c>
      <c r="H103" s="124">
        <f t="shared" si="152"/>
        <v>100</v>
      </c>
      <c r="I103" s="124">
        <f t="shared" si="153"/>
        <v>350603</v>
      </c>
      <c r="J103" s="124">
        <f t="shared" si="154"/>
        <v>100</v>
      </c>
      <c r="K103" s="124">
        <f t="shared" si="155"/>
        <v>350604</v>
      </c>
      <c r="L103" s="124">
        <f t="shared" si="156"/>
        <v>100</v>
      </c>
      <c r="M103" s="124">
        <f t="shared" si="157"/>
        <v>350605</v>
      </c>
      <c r="N103" s="124">
        <f t="shared" si="158"/>
        <v>100</v>
      </c>
      <c r="O103" s="124">
        <f t="shared" si="159"/>
        <v>350606</v>
      </c>
      <c r="P103" s="124">
        <f t="shared" si="160"/>
        <v>100</v>
      </c>
      <c r="Q103" s="124">
        <f t="shared" si="161"/>
        <v>350607</v>
      </c>
      <c r="R103" s="124">
        <f t="shared" si="162"/>
        <v>100</v>
      </c>
      <c r="S103" s="124">
        <f t="shared" si="163"/>
        <v>350608</v>
      </c>
      <c r="T103" s="124">
        <f t="shared" si="164"/>
        <v>100</v>
      </c>
      <c r="U103" s="124">
        <f t="shared" si="165"/>
        <v>350609</v>
      </c>
      <c r="V103" s="124">
        <f t="shared" si="166"/>
        <v>50</v>
      </c>
      <c r="W103" s="124">
        <f t="shared" si="167"/>
        <v>350610</v>
      </c>
      <c r="X103" s="124">
        <f t="shared" si="168"/>
        <v>50</v>
      </c>
      <c r="Y103" s="124">
        <f t="shared" si="169"/>
        <v>350611</v>
      </c>
      <c r="Z103" s="124">
        <f t="shared" si="170"/>
        <v>50</v>
      </c>
      <c r="AA103" s="124">
        <f t="shared" si="171"/>
        <v>350612</v>
      </c>
      <c r="AB103" s="124">
        <f t="shared" si="172"/>
        <v>50</v>
      </c>
    </row>
    <row r="104" spans="1:28" s="124" customFormat="1">
      <c r="A104" s="134">
        <v>200083</v>
      </c>
      <c r="B104" s="44" t="s">
        <v>1433</v>
      </c>
      <c r="C104" s="124">
        <f t="shared" si="147"/>
        <v>350700</v>
      </c>
      <c r="D104" s="124">
        <f t="shared" si="148"/>
        <v>100</v>
      </c>
      <c r="E104" s="124">
        <f t="shared" si="149"/>
        <v>350701</v>
      </c>
      <c r="F104" s="124">
        <f t="shared" si="150"/>
        <v>100</v>
      </c>
      <c r="G104" s="124">
        <f t="shared" si="151"/>
        <v>350702</v>
      </c>
      <c r="H104" s="124">
        <f t="shared" si="152"/>
        <v>100</v>
      </c>
      <c r="I104" s="124">
        <f t="shared" si="153"/>
        <v>350703</v>
      </c>
      <c r="J104" s="124">
        <f t="shared" si="154"/>
        <v>100</v>
      </c>
      <c r="K104" s="124">
        <f t="shared" si="155"/>
        <v>350704</v>
      </c>
      <c r="L104" s="124">
        <f t="shared" si="156"/>
        <v>100</v>
      </c>
      <c r="M104" s="124">
        <f t="shared" si="157"/>
        <v>350705</v>
      </c>
      <c r="N104" s="124">
        <f t="shared" si="158"/>
        <v>100</v>
      </c>
      <c r="O104" s="124">
        <f t="shared" si="159"/>
        <v>350706</v>
      </c>
      <c r="P104" s="124">
        <f t="shared" si="160"/>
        <v>100</v>
      </c>
      <c r="Q104" s="124">
        <f t="shared" si="161"/>
        <v>350707</v>
      </c>
      <c r="R104" s="124">
        <f t="shared" si="162"/>
        <v>100</v>
      </c>
      <c r="S104" s="124">
        <f t="shared" si="163"/>
        <v>350708</v>
      </c>
      <c r="T104" s="124">
        <f t="shared" si="164"/>
        <v>100</v>
      </c>
      <c r="U104" s="124">
        <f t="shared" si="165"/>
        <v>350709</v>
      </c>
      <c r="V104" s="124">
        <f t="shared" si="166"/>
        <v>50</v>
      </c>
      <c r="W104" s="124">
        <f t="shared" si="167"/>
        <v>350710</v>
      </c>
      <c r="X104" s="124">
        <f t="shared" si="168"/>
        <v>50</v>
      </c>
      <c r="Y104" s="124">
        <f t="shared" si="169"/>
        <v>350711</v>
      </c>
      <c r="Z104" s="124">
        <f t="shared" si="170"/>
        <v>50</v>
      </c>
      <c r="AA104" s="124">
        <f t="shared" si="171"/>
        <v>350712</v>
      </c>
      <c r="AB104" s="124">
        <f t="shared" si="172"/>
        <v>50</v>
      </c>
    </row>
    <row r="105" spans="1:28" s="124" customFormat="1">
      <c r="A105" s="134">
        <v>200084</v>
      </c>
      <c r="B105" s="44" t="s">
        <v>1434</v>
      </c>
      <c r="C105" s="124">
        <f t="shared" si="147"/>
        <v>350800</v>
      </c>
      <c r="D105" s="124">
        <f t="shared" si="148"/>
        <v>100</v>
      </c>
      <c r="E105" s="124">
        <f t="shared" si="149"/>
        <v>350801</v>
      </c>
      <c r="F105" s="124">
        <f t="shared" si="150"/>
        <v>100</v>
      </c>
      <c r="G105" s="124">
        <f t="shared" si="151"/>
        <v>350802</v>
      </c>
      <c r="H105" s="124">
        <f t="shared" si="152"/>
        <v>100</v>
      </c>
      <c r="I105" s="124">
        <f t="shared" si="153"/>
        <v>350803</v>
      </c>
      <c r="J105" s="124">
        <f t="shared" si="154"/>
        <v>100</v>
      </c>
      <c r="K105" s="124">
        <f t="shared" si="155"/>
        <v>350804</v>
      </c>
      <c r="L105" s="124">
        <f t="shared" si="156"/>
        <v>100</v>
      </c>
      <c r="M105" s="124">
        <f t="shared" si="157"/>
        <v>350805</v>
      </c>
      <c r="N105" s="124">
        <f t="shared" si="158"/>
        <v>100</v>
      </c>
      <c r="O105" s="124">
        <f t="shared" si="159"/>
        <v>350806</v>
      </c>
      <c r="P105" s="124">
        <f t="shared" si="160"/>
        <v>100</v>
      </c>
      <c r="Q105" s="124">
        <f t="shared" si="161"/>
        <v>350807</v>
      </c>
      <c r="R105" s="124">
        <f t="shared" si="162"/>
        <v>100</v>
      </c>
      <c r="S105" s="124">
        <f t="shared" si="163"/>
        <v>350808</v>
      </c>
      <c r="T105" s="124">
        <f t="shared" si="164"/>
        <v>100</v>
      </c>
      <c r="U105" s="124">
        <f t="shared" si="165"/>
        <v>350809</v>
      </c>
      <c r="V105" s="124">
        <f t="shared" si="166"/>
        <v>50</v>
      </c>
      <c r="W105" s="124">
        <f t="shared" si="167"/>
        <v>350810</v>
      </c>
      <c r="X105" s="124">
        <f t="shared" si="168"/>
        <v>50</v>
      </c>
      <c r="Y105" s="124">
        <f t="shared" si="169"/>
        <v>350811</v>
      </c>
      <c r="Z105" s="124">
        <f t="shared" si="170"/>
        <v>50</v>
      </c>
      <c r="AA105" s="124">
        <f t="shared" si="171"/>
        <v>350812</v>
      </c>
      <c r="AB105" s="124">
        <f t="shared" si="172"/>
        <v>50</v>
      </c>
    </row>
    <row r="106" spans="1:28" s="124" customFormat="1">
      <c r="A106" s="134">
        <v>200085</v>
      </c>
      <c r="B106" s="44" t="s">
        <v>1435</v>
      </c>
      <c r="C106" s="124">
        <f t="shared" si="147"/>
        <v>350900</v>
      </c>
      <c r="D106" s="124">
        <f t="shared" si="148"/>
        <v>100</v>
      </c>
      <c r="E106" s="124">
        <f t="shared" si="149"/>
        <v>350901</v>
      </c>
      <c r="F106" s="124">
        <f t="shared" si="150"/>
        <v>100</v>
      </c>
      <c r="G106" s="124">
        <f t="shared" si="151"/>
        <v>350902</v>
      </c>
      <c r="H106" s="124">
        <f t="shared" si="152"/>
        <v>100</v>
      </c>
      <c r="I106" s="124">
        <f t="shared" si="153"/>
        <v>350903</v>
      </c>
      <c r="J106" s="124">
        <f t="shared" si="154"/>
        <v>100</v>
      </c>
      <c r="K106" s="124">
        <f t="shared" si="155"/>
        <v>350904</v>
      </c>
      <c r="L106" s="124">
        <f t="shared" si="156"/>
        <v>100</v>
      </c>
      <c r="M106" s="124">
        <f t="shared" si="157"/>
        <v>350905</v>
      </c>
      <c r="N106" s="124">
        <f t="shared" si="158"/>
        <v>100</v>
      </c>
      <c r="O106" s="124">
        <f t="shared" si="159"/>
        <v>350906</v>
      </c>
      <c r="P106" s="124">
        <f t="shared" si="160"/>
        <v>100</v>
      </c>
      <c r="Q106" s="124">
        <f t="shared" si="161"/>
        <v>350907</v>
      </c>
      <c r="R106" s="124">
        <f t="shared" si="162"/>
        <v>100</v>
      </c>
      <c r="S106" s="124">
        <f t="shared" si="163"/>
        <v>350908</v>
      </c>
      <c r="T106" s="124">
        <f t="shared" si="164"/>
        <v>100</v>
      </c>
      <c r="U106" s="124">
        <f t="shared" si="165"/>
        <v>350909</v>
      </c>
      <c r="V106" s="124">
        <f t="shared" si="166"/>
        <v>50</v>
      </c>
      <c r="W106" s="124">
        <f t="shared" si="167"/>
        <v>350910</v>
      </c>
      <c r="X106" s="124">
        <f t="shared" si="168"/>
        <v>50</v>
      </c>
      <c r="Y106" s="124">
        <f t="shared" si="169"/>
        <v>350911</v>
      </c>
      <c r="Z106" s="124">
        <f t="shared" si="170"/>
        <v>50</v>
      </c>
      <c r="AA106" s="124">
        <f t="shared" si="171"/>
        <v>350912</v>
      </c>
      <c r="AB106" s="124">
        <f t="shared" si="172"/>
        <v>50</v>
      </c>
    </row>
    <row r="107" spans="1:28" s="124" customFormat="1">
      <c r="A107" s="134">
        <v>200086</v>
      </c>
      <c r="B107" s="44" t="s">
        <v>1436</v>
      </c>
      <c r="C107" s="124">
        <f t="shared" si="147"/>
        <v>351000</v>
      </c>
      <c r="D107" s="124">
        <f t="shared" si="148"/>
        <v>100</v>
      </c>
      <c r="E107" s="124">
        <f t="shared" si="149"/>
        <v>351001</v>
      </c>
      <c r="F107" s="124">
        <f t="shared" si="150"/>
        <v>100</v>
      </c>
      <c r="G107" s="124">
        <f t="shared" si="151"/>
        <v>351002</v>
      </c>
      <c r="H107" s="124">
        <f t="shared" si="152"/>
        <v>100</v>
      </c>
      <c r="I107" s="124">
        <f t="shared" si="153"/>
        <v>351003</v>
      </c>
      <c r="J107" s="124">
        <f t="shared" si="154"/>
        <v>100</v>
      </c>
      <c r="K107" s="124">
        <f t="shared" si="155"/>
        <v>351004</v>
      </c>
      <c r="L107" s="124">
        <f t="shared" si="156"/>
        <v>100</v>
      </c>
      <c r="M107" s="124">
        <f t="shared" si="157"/>
        <v>351005</v>
      </c>
      <c r="N107" s="124">
        <f t="shared" si="158"/>
        <v>100</v>
      </c>
      <c r="O107" s="124">
        <f t="shared" si="159"/>
        <v>351006</v>
      </c>
      <c r="P107" s="124">
        <f t="shared" si="160"/>
        <v>100</v>
      </c>
      <c r="Q107" s="124">
        <f t="shared" si="161"/>
        <v>351007</v>
      </c>
      <c r="R107" s="124">
        <f t="shared" si="162"/>
        <v>100</v>
      </c>
      <c r="S107" s="124">
        <f t="shared" si="163"/>
        <v>351008</v>
      </c>
      <c r="T107" s="124">
        <f t="shared" si="164"/>
        <v>100</v>
      </c>
      <c r="U107" s="124">
        <f t="shared" si="165"/>
        <v>351009</v>
      </c>
      <c r="V107" s="124">
        <f t="shared" si="166"/>
        <v>50</v>
      </c>
      <c r="W107" s="124">
        <f t="shared" si="167"/>
        <v>351010</v>
      </c>
      <c r="X107" s="124">
        <f t="shared" si="168"/>
        <v>50</v>
      </c>
      <c r="Y107" s="124">
        <f t="shared" si="169"/>
        <v>351011</v>
      </c>
      <c r="Z107" s="124">
        <f t="shared" si="170"/>
        <v>50</v>
      </c>
      <c r="AA107" s="124">
        <f t="shared" si="171"/>
        <v>351012</v>
      </c>
      <c r="AB107" s="124">
        <f t="shared" si="172"/>
        <v>50</v>
      </c>
    </row>
    <row r="108" spans="1:28" s="124" customFormat="1">
      <c r="A108" s="134">
        <v>200087</v>
      </c>
      <c r="B108" s="44" t="s">
        <v>1437</v>
      </c>
      <c r="C108" s="124">
        <f t="shared" si="147"/>
        <v>351100</v>
      </c>
      <c r="D108" s="124">
        <f t="shared" si="148"/>
        <v>100</v>
      </c>
      <c r="E108" s="124">
        <f t="shared" si="149"/>
        <v>351101</v>
      </c>
      <c r="F108" s="124">
        <f t="shared" si="150"/>
        <v>100</v>
      </c>
      <c r="G108" s="124">
        <f t="shared" si="151"/>
        <v>351102</v>
      </c>
      <c r="H108" s="124">
        <f t="shared" si="152"/>
        <v>100</v>
      </c>
      <c r="I108" s="124">
        <f t="shared" si="153"/>
        <v>351103</v>
      </c>
      <c r="J108" s="124">
        <f t="shared" si="154"/>
        <v>100</v>
      </c>
      <c r="K108" s="124">
        <f t="shared" si="155"/>
        <v>351104</v>
      </c>
      <c r="L108" s="124">
        <f t="shared" si="156"/>
        <v>100</v>
      </c>
      <c r="M108" s="124">
        <f t="shared" si="157"/>
        <v>351105</v>
      </c>
      <c r="N108" s="124">
        <f t="shared" si="158"/>
        <v>100</v>
      </c>
      <c r="O108" s="124">
        <f t="shared" si="159"/>
        <v>351106</v>
      </c>
      <c r="P108" s="124">
        <f t="shared" si="160"/>
        <v>100</v>
      </c>
      <c r="Q108" s="124">
        <f t="shared" si="161"/>
        <v>351107</v>
      </c>
      <c r="R108" s="124">
        <f t="shared" si="162"/>
        <v>100</v>
      </c>
      <c r="S108" s="124">
        <f t="shared" si="163"/>
        <v>351108</v>
      </c>
      <c r="T108" s="124">
        <f t="shared" si="164"/>
        <v>100</v>
      </c>
      <c r="U108" s="124">
        <f t="shared" si="165"/>
        <v>351109</v>
      </c>
      <c r="V108" s="124">
        <f t="shared" si="166"/>
        <v>50</v>
      </c>
      <c r="W108" s="124">
        <f t="shared" si="167"/>
        <v>351110</v>
      </c>
      <c r="X108" s="124">
        <f t="shared" si="168"/>
        <v>50</v>
      </c>
      <c r="Y108" s="124">
        <f t="shared" si="169"/>
        <v>351111</v>
      </c>
      <c r="Z108" s="124">
        <f t="shared" si="170"/>
        <v>50</v>
      </c>
      <c r="AA108" s="124">
        <f t="shared" si="171"/>
        <v>351112</v>
      </c>
      <c r="AB108" s="124">
        <f t="shared" si="172"/>
        <v>50</v>
      </c>
    </row>
    <row r="109" spans="1:28" s="124" customFormat="1">
      <c r="A109" s="134">
        <v>200088</v>
      </c>
      <c r="B109" s="44" t="s">
        <v>1438</v>
      </c>
      <c r="C109" s="124">
        <f t="shared" si="147"/>
        <v>351200</v>
      </c>
      <c r="D109" s="124">
        <f t="shared" si="148"/>
        <v>100</v>
      </c>
      <c r="E109" s="124">
        <f t="shared" si="149"/>
        <v>351201</v>
      </c>
      <c r="F109" s="124">
        <f t="shared" si="150"/>
        <v>100</v>
      </c>
      <c r="G109" s="124">
        <f t="shared" si="151"/>
        <v>351202</v>
      </c>
      <c r="H109" s="124">
        <f t="shared" si="152"/>
        <v>100</v>
      </c>
      <c r="I109" s="124">
        <f t="shared" si="153"/>
        <v>351203</v>
      </c>
      <c r="J109" s="124">
        <f t="shared" si="154"/>
        <v>100</v>
      </c>
      <c r="K109" s="124">
        <f t="shared" si="155"/>
        <v>351204</v>
      </c>
      <c r="L109" s="124">
        <f t="shared" si="156"/>
        <v>100</v>
      </c>
      <c r="M109" s="124">
        <f t="shared" si="157"/>
        <v>351205</v>
      </c>
      <c r="N109" s="124">
        <f t="shared" si="158"/>
        <v>100</v>
      </c>
      <c r="O109" s="124">
        <f t="shared" si="159"/>
        <v>351206</v>
      </c>
      <c r="P109" s="124">
        <f t="shared" si="160"/>
        <v>100</v>
      </c>
      <c r="Q109" s="124">
        <f t="shared" si="161"/>
        <v>351207</v>
      </c>
      <c r="R109" s="124">
        <f t="shared" si="162"/>
        <v>100</v>
      </c>
      <c r="S109" s="124">
        <f t="shared" si="163"/>
        <v>351208</v>
      </c>
      <c r="T109" s="124">
        <f t="shared" si="164"/>
        <v>100</v>
      </c>
      <c r="U109" s="124">
        <f t="shared" si="165"/>
        <v>351209</v>
      </c>
      <c r="V109" s="124">
        <f t="shared" si="166"/>
        <v>50</v>
      </c>
      <c r="W109" s="124">
        <f t="shared" si="167"/>
        <v>351210</v>
      </c>
      <c r="X109" s="124">
        <f t="shared" si="168"/>
        <v>50</v>
      </c>
      <c r="Y109" s="124">
        <f t="shared" si="169"/>
        <v>351211</v>
      </c>
      <c r="Z109" s="124">
        <f t="shared" si="170"/>
        <v>50</v>
      </c>
      <c r="AA109" s="124">
        <f t="shared" si="171"/>
        <v>351212</v>
      </c>
      <c r="AB109" s="124">
        <f t="shared" si="172"/>
        <v>50</v>
      </c>
    </row>
    <row r="110" spans="1:28" s="124" customFormat="1">
      <c r="A110" s="134">
        <v>200089</v>
      </c>
      <c r="B110" s="44" t="s">
        <v>1439</v>
      </c>
      <c r="C110" s="124">
        <f t="shared" si="147"/>
        <v>351300</v>
      </c>
      <c r="D110" s="124">
        <f t="shared" si="148"/>
        <v>100</v>
      </c>
      <c r="E110" s="124">
        <f t="shared" si="149"/>
        <v>351301</v>
      </c>
      <c r="F110" s="124">
        <f t="shared" si="150"/>
        <v>100</v>
      </c>
      <c r="G110" s="124">
        <f t="shared" si="151"/>
        <v>351302</v>
      </c>
      <c r="H110" s="124">
        <f t="shared" si="152"/>
        <v>100</v>
      </c>
      <c r="I110" s="124">
        <f t="shared" si="153"/>
        <v>351303</v>
      </c>
      <c r="J110" s="124">
        <f t="shared" si="154"/>
        <v>100</v>
      </c>
      <c r="K110" s="124">
        <f t="shared" si="155"/>
        <v>351304</v>
      </c>
      <c r="L110" s="124">
        <f t="shared" si="156"/>
        <v>100</v>
      </c>
      <c r="M110" s="124">
        <f t="shared" si="157"/>
        <v>351305</v>
      </c>
      <c r="N110" s="124">
        <f t="shared" si="158"/>
        <v>100</v>
      </c>
      <c r="O110" s="124">
        <f t="shared" si="159"/>
        <v>351306</v>
      </c>
      <c r="P110" s="124">
        <f t="shared" si="160"/>
        <v>100</v>
      </c>
      <c r="Q110" s="124">
        <f t="shared" si="161"/>
        <v>351307</v>
      </c>
      <c r="R110" s="124">
        <f t="shared" si="162"/>
        <v>100</v>
      </c>
      <c r="S110" s="124">
        <f t="shared" si="163"/>
        <v>351308</v>
      </c>
      <c r="T110" s="124">
        <f t="shared" si="164"/>
        <v>100</v>
      </c>
      <c r="U110" s="124">
        <f t="shared" si="165"/>
        <v>351309</v>
      </c>
      <c r="V110" s="124">
        <f t="shared" si="166"/>
        <v>50</v>
      </c>
      <c r="W110" s="124">
        <f t="shared" si="167"/>
        <v>351310</v>
      </c>
      <c r="X110" s="124">
        <f t="shared" si="168"/>
        <v>50</v>
      </c>
      <c r="Y110" s="124">
        <f t="shared" si="169"/>
        <v>351311</v>
      </c>
      <c r="Z110" s="124">
        <f t="shared" si="170"/>
        <v>50</v>
      </c>
      <c r="AA110" s="124">
        <f t="shared" si="171"/>
        <v>351312</v>
      </c>
      <c r="AB110" s="124">
        <f t="shared" si="172"/>
        <v>50</v>
      </c>
    </row>
    <row r="111" spans="1:28" s="124" customFormat="1">
      <c r="A111" s="134">
        <v>200090</v>
      </c>
      <c r="B111" s="44" t="s">
        <v>1440</v>
      </c>
      <c r="C111" s="124">
        <f t="shared" si="147"/>
        <v>351400</v>
      </c>
      <c r="D111" s="124">
        <f t="shared" si="148"/>
        <v>100</v>
      </c>
      <c r="E111" s="124">
        <f t="shared" si="149"/>
        <v>351401</v>
      </c>
      <c r="F111" s="124">
        <f t="shared" si="150"/>
        <v>100</v>
      </c>
      <c r="G111" s="124">
        <f t="shared" si="151"/>
        <v>351402</v>
      </c>
      <c r="H111" s="124">
        <f t="shared" si="152"/>
        <v>100</v>
      </c>
      <c r="I111" s="124">
        <f t="shared" si="153"/>
        <v>351403</v>
      </c>
      <c r="J111" s="124">
        <f t="shared" si="154"/>
        <v>100</v>
      </c>
      <c r="K111" s="124">
        <f t="shared" si="155"/>
        <v>351404</v>
      </c>
      <c r="L111" s="124">
        <f t="shared" si="156"/>
        <v>100</v>
      </c>
      <c r="M111" s="124">
        <f t="shared" si="157"/>
        <v>351405</v>
      </c>
      <c r="N111" s="124">
        <f t="shared" si="158"/>
        <v>100</v>
      </c>
      <c r="O111" s="124">
        <f t="shared" si="159"/>
        <v>351406</v>
      </c>
      <c r="P111" s="124">
        <f t="shared" si="160"/>
        <v>100</v>
      </c>
      <c r="Q111" s="124">
        <f t="shared" si="161"/>
        <v>351407</v>
      </c>
      <c r="R111" s="124">
        <f t="shared" si="162"/>
        <v>100</v>
      </c>
      <c r="S111" s="124">
        <f t="shared" si="163"/>
        <v>351408</v>
      </c>
      <c r="T111" s="124">
        <f t="shared" si="164"/>
        <v>100</v>
      </c>
      <c r="U111" s="124">
        <f t="shared" si="165"/>
        <v>351409</v>
      </c>
      <c r="V111" s="124">
        <f t="shared" si="166"/>
        <v>50</v>
      </c>
      <c r="W111" s="124">
        <f t="shared" si="167"/>
        <v>351410</v>
      </c>
      <c r="X111" s="124">
        <f t="shared" si="168"/>
        <v>50</v>
      </c>
      <c r="Y111" s="124">
        <f t="shared" si="169"/>
        <v>351411</v>
      </c>
      <c r="Z111" s="124">
        <f t="shared" si="170"/>
        <v>50</v>
      </c>
      <c r="AA111" s="124">
        <f t="shared" si="171"/>
        <v>351412</v>
      </c>
      <c r="AB111" s="124">
        <f t="shared" si="172"/>
        <v>50</v>
      </c>
    </row>
    <row r="112" spans="1:28" s="124" customFormat="1">
      <c r="A112" s="134">
        <v>200091</v>
      </c>
      <c r="B112" s="44" t="s">
        <v>1441</v>
      </c>
      <c r="C112" s="124">
        <f t="shared" si="147"/>
        <v>351500</v>
      </c>
      <c r="D112" s="124">
        <f t="shared" si="148"/>
        <v>100</v>
      </c>
      <c r="E112" s="124">
        <f t="shared" si="149"/>
        <v>351501</v>
      </c>
      <c r="F112" s="124">
        <f t="shared" si="150"/>
        <v>100</v>
      </c>
      <c r="G112" s="124">
        <f t="shared" si="151"/>
        <v>351502</v>
      </c>
      <c r="H112" s="124">
        <f t="shared" si="152"/>
        <v>100</v>
      </c>
      <c r="I112" s="124">
        <f t="shared" si="153"/>
        <v>351503</v>
      </c>
      <c r="J112" s="124">
        <f t="shared" si="154"/>
        <v>100</v>
      </c>
      <c r="K112" s="124">
        <f t="shared" si="155"/>
        <v>351504</v>
      </c>
      <c r="L112" s="124">
        <f t="shared" si="156"/>
        <v>100</v>
      </c>
      <c r="M112" s="124">
        <f t="shared" si="157"/>
        <v>351505</v>
      </c>
      <c r="N112" s="124">
        <f t="shared" si="158"/>
        <v>100</v>
      </c>
      <c r="O112" s="124">
        <f t="shared" si="159"/>
        <v>351506</v>
      </c>
      <c r="P112" s="124">
        <f t="shared" si="160"/>
        <v>100</v>
      </c>
      <c r="Q112" s="124">
        <f t="shared" si="161"/>
        <v>351507</v>
      </c>
      <c r="R112" s="124">
        <f t="shared" si="162"/>
        <v>100</v>
      </c>
      <c r="S112" s="124">
        <f t="shared" si="163"/>
        <v>351508</v>
      </c>
      <c r="T112" s="124">
        <f t="shared" si="164"/>
        <v>100</v>
      </c>
      <c r="U112" s="124">
        <f t="shared" si="165"/>
        <v>351509</v>
      </c>
      <c r="V112" s="124">
        <f t="shared" si="166"/>
        <v>50</v>
      </c>
      <c r="W112" s="124">
        <f t="shared" si="167"/>
        <v>351510</v>
      </c>
      <c r="X112" s="124">
        <f t="shared" si="168"/>
        <v>50</v>
      </c>
      <c r="Y112" s="124">
        <f t="shared" si="169"/>
        <v>351511</v>
      </c>
      <c r="Z112" s="124">
        <f t="shared" si="170"/>
        <v>50</v>
      </c>
      <c r="AA112" s="124">
        <f t="shared" si="171"/>
        <v>351512</v>
      </c>
      <c r="AB112" s="124">
        <f t="shared" si="172"/>
        <v>50</v>
      </c>
    </row>
    <row r="113" spans="1:28" s="124" customFormat="1" ht="12" customHeight="1">
      <c r="A113" s="134">
        <v>200092</v>
      </c>
      <c r="B113" s="53" t="s">
        <v>1442</v>
      </c>
      <c r="C113" s="124">
        <v>4010101</v>
      </c>
      <c r="D113" s="124">
        <v>100</v>
      </c>
      <c r="E113" s="124">
        <v>4010102</v>
      </c>
      <c r="F113" s="124">
        <v>100</v>
      </c>
      <c r="G113" s="124">
        <v>4010103</v>
      </c>
      <c r="H113" s="124">
        <v>100</v>
      </c>
      <c r="I113" s="124">
        <v>4010104</v>
      </c>
      <c r="J113" s="124">
        <v>100</v>
      </c>
      <c r="K113" s="124">
        <v>4010105</v>
      </c>
      <c r="L113" s="124">
        <v>100</v>
      </c>
      <c r="M113" s="124">
        <v>4010106</v>
      </c>
      <c r="N113" s="124">
        <v>100</v>
      </c>
      <c r="O113" s="124">
        <v>4010207</v>
      </c>
      <c r="P113" s="124">
        <v>50</v>
      </c>
      <c r="Q113" s="124">
        <v>4010208</v>
      </c>
      <c r="R113" s="124">
        <v>50</v>
      </c>
      <c r="S113" s="124">
        <v>4010309</v>
      </c>
      <c r="T113" s="124">
        <v>50</v>
      </c>
      <c r="U113" s="124">
        <v>4010310</v>
      </c>
      <c r="V113" s="124">
        <v>50</v>
      </c>
      <c r="W113" s="124">
        <v>4010411</v>
      </c>
      <c r="X113" s="124">
        <v>100</v>
      </c>
      <c r="Y113" s="124">
        <v>4010512</v>
      </c>
      <c r="Z113" s="124">
        <v>100</v>
      </c>
      <c r="AA113" s="124">
        <v>4010613</v>
      </c>
      <c r="AB113" s="124">
        <v>100</v>
      </c>
    </row>
    <row r="114" spans="1:28" s="124" customFormat="1" ht="12" customHeight="1">
      <c r="A114" s="134">
        <v>200093</v>
      </c>
      <c r="B114" s="53" t="s">
        <v>1443</v>
      </c>
      <c r="C114" s="124">
        <f t="shared" ref="C114" si="173">C113+10000</f>
        <v>4020101</v>
      </c>
      <c r="D114" s="124">
        <f t="shared" ref="D114" si="174">D113</f>
        <v>100</v>
      </c>
      <c r="E114" s="124">
        <f>E113+10000</f>
        <v>4020102</v>
      </c>
      <c r="F114" s="124">
        <f>F113</f>
        <v>100</v>
      </c>
      <c r="G114" s="124">
        <f>G113+10000</f>
        <v>4020103</v>
      </c>
      <c r="H114" s="124">
        <f>H113</f>
        <v>100</v>
      </c>
      <c r="I114" s="124">
        <f t="shared" ref="I114" si="175">I113+10000</f>
        <v>4020104</v>
      </c>
      <c r="J114" s="124">
        <f t="shared" ref="J114" si="176">J113</f>
        <v>100</v>
      </c>
      <c r="K114" s="124">
        <f>K113+10000</f>
        <v>4020105</v>
      </c>
      <c r="L114" s="124">
        <f>L113</f>
        <v>100</v>
      </c>
      <c r="M114" s="124">
        <f>M113+10000</f>
        <v>4020106</v>
      </c>
      <c r="N114" s="124">
        <f>N113</f>
        <v>100</v>
      </c>
      <c r="O114" s="124">
        <f t="shared" ref="O114" si="177">O113+10000</f>
        <v>4020207</v>
      </c>
      <c r="P114" s="124">
        <f t="shared" ref="P114" si="178">P113</f>
        <v>50</v>
      </c>
      <c r="Q114" s="124">
        <f>Q113+10000</f>
        <v>4020208</v>
      </c>
      <c r="R114" s="124">
        <f>R113</f>
        <v>50</v>
      </c>
      <c r="S114" s="124">
        <f>S113+10000</f>
        <v>4020309</v>
      </c>
      <c r="T114" s="124">
        <f>T113</f>
        <v>50</v>
      </c>
      <c r="U114" s="124">
        <f t="shared" ref="U114" si="179">U113+10000</f>
        <v>4020310</v>
      </c>
      <c r="V114" s="124">
        <f t="shared" ref="V114" si="180">V113</f>
        <v>50</v>
      </c>
      <c r="W114" s="124">
        <f t="shared" ref="W114" si="181">W113+10000</f>
        <v>4020411</v>
      </c>
      <c r="X114" s="124">
        <f t="shared" ref="X114" si="182">X113</f>
        <v>100</v>
      </c>
      <c r="Y114" s="124">
        <f>Y113+10000</f>
        <v>4020512</v>
      </c>
      <c r="Z114" s="124">
        <f>Z113</f>
        <v>100</v>
      </c>
      <c r="AA114" s="124">
        <f>AA113+10000</f>
        <v>4020613</v>
      </c>
      <c r="AB114" s="124">
        <f>AB113</f>
        <v>100</v>
      </c>
    </row>
    <row r="115" spans="1:28" s="124" customFormat="1" ht="12" customHeight="1">
      <c r="A115" s="134">
        <v>200094</v>
      </c>
      <c r="B115" s="53" t="s">
        <v>1444</v>
      </c>
      <c r="C115" s="124">
        <f t="shared" ref="C115" si="183">C114+10000</f>
        <v>4030101</v>
      </c>
      <c r="D115" s="124">
        <f t="shared" ref="D115" si="184">D114</f>
        <v>100</v>
      </c>
      <c r="E115" s="124">
        <f t="shared" ref="E115" si="185">E114+10000</f>
        <v>4030102</v>
      </c>
      <c r="F115" s="124">
        <f t="shared" ref="F115" si="186">F114</f>
        <v>100</v>
      </c>
      <c r="G115" s="124">
        <f t="shared" ref="G115" si="187">G114+10000</f>
        <v>4030103</v>
      </c>
      <c r="H115" s="124">
        <f t="shared" ref="H115" si="188">H114</f>
        <v>100</v>
      </c>
      <c r="I115" s="124">
        <f t="shared" ref="I115" si="189">I114+10000</f>
        <v>4030104</v>
      </c>
      <c r="J115" s="124">
        <f t="shared" ref="J115" si="190">J114</f>
        <v>100</v>
      </c>
      <c r="K115" s="124">
        <f t="shared" ref="K115" si="191">K114+10000</f>
        <v>4030105</v>
      </c>
      <c r="L115" s="124">
        <f t="shared" ref="L115" si="192">L114</f>
        <v>100</v>
      </c>
      <c r="M115" s="124">
        <f t="shared" ref="M115" si="193">M114+10000</f>
        <v>4030106</v>
      </c>
      <c r="N115" s="124">
        <f t="shared" ref="N115" si="194">N114</f>
        <v>100</v>
      </c>
      <c r="O115" s="124">
        <f t="shared" ref="O115" si="195">O114+10000</f>
        <v>4030207</v>
      </c>
      <c r="P115" s="124">
        <f t="shared" ref="P115" si="196">P114</f>
        <v>50</v>
      </c>
      <c r="Q115" s="124">
        <f t="shared" ref="Q115" si="197">Q114+10000</f>
        <v>4030208</v>
      </c>
      <c r="R115" s="124">
        <f t="shared" ref="R115" si="198">R114</f>
        <v>50</v>
      </c>
      <c r="S115" s="124">
        <f t="shared" ref="S115" si="199">S114+10000</f>
        <v>4030309</v>
      </c>
      <c r="T115" s="124">
        <f t="shared" ref="T115" si="200">T114</f>
        <v>50</v>
      </c>
      <c r="U115" s="124">
        <f t="shared" ref="U115" si="201">U114+10000</f>
        <v>4030310</v>
      </c>
      <c r="V115" s="124">
        <f t="shared" ref="V115" si="202">V114</f>
        <v>50</v>
      </c>
      <c r="W115" s="124">
        <f t="shared" ref="W115" si="203">W114+10000</f>
        <v>4030411</v>
      </c>
      <c r="X115" s="124">
        <f t="shared" ref="X115" si="204">X114</f>
        <v>100</v>
      </c>
      <c r="Y115" s="124">
        <f t="shared" ref="Y115" si="205">Y114+10000</f>
        <v>4030512</v>
      </c>
      <c r="Z115" s="124">
        <f t="shared" ref="Z115" si="206">Z114</f>
        <v>100</v>
      </c>
      <c r="AA115" s="124">
        <f t="shared" ref="AA115" si="207">AA114+10000</f>
        <v>4030613</v>
      </c>
      <c r="AB115" s="124">
        <f t="shared" ref="AB115" si="208">AB114</f>
        <v>100</v>
      </c>
    </row>
    <row r="116" spans="1:28" ht="12" customHeight="1">
      <c r="A116" s="134">
        <v>200095</v>
      </c>
      <c r="B116" s="53" t="s">
        <v>1445</v>
      </c>
      <c r="C116" s="124">
        <f t="shared" ref="C116" si="209">C115+10000</f>
        <v>4040101</v>
      </c>
      <c r="D116" s="124">
        <f t="shared" ref="D116" si="210">D115</f>
        <v>100</v>
      </c>
      <c r="E116" s="124">
        <f t="shared" ref="E116" si="211">E115+10000</f>
        <v>4040102</v>
      </c>
      <c r="F116" s="124">
        <f t="shared" ref="F116" si="212">F115</f>
        <v>100</v>
      </c>
      <c r="G116" s="124">
        <f t="shared" ref="G116" si="213">G115+10000</f>
        <v>4040103</v>
      </c>
      <c r="H116" s="124">
        <f t="shared" ref="H116" si="214">H115</f>
        <v>100</v>
      </c>
      <c r="I116" s="124">
        <f t="shared" ref="I116" si="215">I115+10000</f>
        <v>4040104</v>
      </c>
      <c r="J116" s="124">
        <f t="shared" ref="J116" si="216">J115</f>
        <v>100</v>
      </c>
      <c r="K116" s="124">
        <f t="shared" ref="K116" si="217">K115+10000</f>
        <v>4040105</v>
      </c>
      <c r="L116" s="124">
        <f t="shared" ref="L116" si="218">L115</f>
        <v>100</v>
      </c>
      <c r="M116" s="124">
        <f t="shared" ref="M116" si="219">M115+10000</f>
        <v>4040106</v>
      </c>
      <c r="N116" s="124">
        <f t="shared" ref="N116" si="220">N115</f>
        <v>100</v>
      </c>
      <c r="O116" s="124">
        <f t="shared" ref="O116" si="221">O115+10000</f>
        <v>4040207</v>
      </c>
      <c r="P116" s="124">
        <f t="shared" ref="P116" si="222">P115</f>
        <v>50</v>
      </c>
      <c r="Q116" s="124">
        <f t="shared" ref="Q116" si="223">Q115+10000</f>
        <v>4040208</v>
      </c>
      <c r="R116" s="124">
        <f t="shared" ref="R116" si="224">R115</f>
        <v>50</v>
      </c>
      <c r="S116" s="124">
        <f t="shared" ref="S116" si="225">S115+10000</f>
        <v>4040309</v>
      </c>
      <c r="T116" s="124">
        <f t="shared" ref="T116" si="226">T115</f>
        <v>50</v>
      </c>
      <c r="U116" s="124">
        <f t="shared" ref="U116" si="227">U115+10000</f>
        <v>4040310</v>
      </c>
      <c r="V116" s="124">
        <f t="shared" ref="V116" si="228">V115</f>
        <v>50</v>
      </c>
      <c r="W116" s="124">
        <f t="shared" ref="W116" si="229">W115+10000</f>
        <v>4040411</v>
      </c>
      <c r="X116" s="124">
        <f t="shared" ref="X116" si="230">X115</f>
        <v>100</v>
      </c>
      <c r="Y116" s="124">
        <f t="shared" ref="Y116" si="231">Y115+10000</f>
        <v>4040512</v>
      </c>
      <c r="Z116" s="124">
        <f t="shared" ref="Z116" si="232">Z115</f>
        <v>100</v>
      </c>
      <c r="AA116" s="124">
        <f t="shared" ref="AA116" si="233">AA115+10000</f>
        <v>4040613</v>
      </c>
      <c r="AB116" s="124">
        <f t="shared" ref="AB116" si="234">AB115</f>
        <v>100</v>
      </c>
    </row>
    <row r="117" spans="1:28" ht="12" customHeight="1">
      <c r="A117" s="134">
        <v>200096</v>
      </c>
      <c r="B117" s="53" t="s">
        <v>1446</v>
      </c>
      <c r="C117" s="124">
        <f t="shared" ref="C117:C127" si="235">C116+10000</f>
        <v>4050101</v>
      </c>
      <c r="D117" s="124">
        <f t="shared" ref="D117:D127" si="236">D116</f>
        <v>100</v>
      </c>
      <c r="E117" s="124">
        <f t="shared" ref="E117:E127" si="237">E116+10000</f>
        <v>4050102</v>
      </c>
      <c r="F117" s="124">
        <f t="shared" ref="F117:F127" si="238">F116</f>
        <v>100</v>
      </c>
      <c r="G117" s="124">
        <f t="shared" ref="G117:G127" si="239">G116+10000</f>
        <v>4050103</v>
      </c>
      <c r="H117" s="124">
        <f t="shared" ref="H117:H127" si="240">H116</f>
        <v>100</v>
      </c>
      <c r="I117" s="124">
        <f t="shared" ref="I117:I127" si="241">I116+10000</f>
        <v>4050104</v>
      </c>
      <c r="J117" s="124">
        <f t="shared" ref="J117:J127" si="242">J116</f>
        <v>100</v>
      </c>
      <c r="K117" s="124">
        <f t="shared" ref="K117:K127" si="243">K116+10000</f>
        <v>4050105</v>
      </c>
      <c r="L117" s="124">
        <f t="shared" ref="L117:L127" si="244">L116</f>
        <v>100</v>
      </c>
      <c r="M117" s="124">
        <f t="shared" ref="M117:M127" si="245">M116+10000</f>
        <v>4050106</v>
      </c>
      <c r="N117" s="124">
        <f t="shared" ref="N117:N127" si="246">N116</f>
        <v>100</v>
      </c>
      <c r="O117" s="124">
        <f t="shared" ref="O117:O127" si="247">O116+10000</f>
        <v>4050207</v>
      </c>
      <c r="P117" s="124">
        <f t="shared" ref="P117:P127" si="248">P116</f>
        <v>50</v>
      </c>
      <c r="Q117" s="124">
        <f t="shared" ref="Q117:Q127" si="249">Q116+10000</f>
        <v>4050208</v>
      </c>
      <c r="R117" s="124">
        <f t="shared" ref="R117:R127" si="250">R116</f>
        <v>50</v>
      </c>
      <c r="S117" s="124">
        <f t="shared" ref="S117:S127" si="251">S116+10000</f>
        <v>4050309</v>
      </c>
      <c r="T117" s="124">
        <f t="shared" ref="T117:T127" si="252">T116</f>
        <v>50</v>
      </c>
      <c r="U117" s="124">
        <f t="shared" ref="U117:U127" si="253">U116+10000</f>
        <v>4050310</v>
      </c>
      <c r="V117" s="124">
        <f t="shared" ref="V117:V127" si="254">V116</f>
        <v>50</v>
      </c>
      <c r="W117" s="124">
        <f t="shared" ref="W117:W127" si="255">W116+10000</f>
        <v>4050411</v>
      </c>
      <c r="X117" s="124">
        <f t="shared" ref="X117:X127" si="256">X116</f>
        <v>100</v>
      </c>
      <c r="Y117" s="124">
        <f t="shared" ref="Y117:Y127" si="257">Y116+10000</f>
        <v>4050512</v>
      </c>
      <c r="Z117" s="124">
        <f t="shared" ref="Z117:Z127" si="258">Z116</f>
        <v>100</v>
      </c>
      <c r="AA117" s="124">
        <f t="shared" ref="AA117:AA127" si="259">AA116+10000</f>
        <v>4050613</v>
      </c>
      <c r="AB117" s="124">
        <f t="shared" ref="AB117:AB127" si="260">AB116</f>
        <v>100</v>
      </c>
    </row>
    <row r="118" spans="1:28" ht="12" customHeight="1">
      <c r="A118" s="134">
        <v>200097</v>
      </c>
      <c r="B118" s="53" t="s">
        <v>1447</v>
      </c>
      <c r="C118" s="124">
        <f t="shared" si="235"/>
        <v>4060101</v>
      </c>
      <c r="D118" s="124">
        <f t="shared" si="236"/>
        <v>100</v>
      </c>
      <c r="E118" s="124">
        <f t="shared" si="237"/>
        <v>4060102</v>
      </c>
      <c r="F118" s="124">
        <f t="shared" si="238"/>
        <v>100</v>
      </c>
      <c r="G118" s="124">
        <f t="shared" si="239"/>
        <v>4060103</v>
      </c>
      <c r="H118" s="124">
        <f t="shared" si="240"/>
        <v>100</v>
      </c>
      <c r="I118" s="124">
        <f t="shared" si="241"/>
        <v>4060104</v>
      </c>
      <c r="J118" s="124">
        <f t="shared" si="242"/>
        <v>100</v>
      </c>
      <c r="K118" s="124">
        <f t="shared" si="243"/>
        <v>4060105</v>
      </c>
      <c r="L118" s="124">
        <f t="shared" si="244"/>
        <v>100</v>
      </c>
      <c r="M118" s="124">
        <f t="shared" si="245"/>
        <v>4060106</v>
      </c>
      <c r="N118" s="124">
        <f t="shared" si="246"/>
        <v>100</v>
      </c>
      <c r="O118" s="124">
        <f t="shared" si="247"/>
        <v>4060207</v>
      </c>
      <c r="P118" s="124">
        <f t="shared" si="248"/>
        <v>50</v>
      </c>
      <c r="Q118" s="124">
        <f t="shared" si="249"/>
        <v>4060208</v>
      </c>
      <c r="R118" s="124">
        <f t="shared" si="250"/>
        <v>50</v>
      </c>
      <c r="S118" s="124">
        <f t="shared" si="251"/>
        <v>4060309</v>
      </c>
      <c r="T118" s="124">
        <f t="shared" si="252"/>
        <v>50</v>
      </c>
      <c r="U118" s="124">
        <f t="shared" si="253"/>
        <v>4060310</v>
      </c>
      <c r="V118" s="124">
        <f t="shared" si="254"/>
        <v>50</v>
      </c>
      <c r="W118" s="124">
        <f t="shared" si="255"/>
        <v>4060411</v>
      </c>
      <c r="X118" s="124">
        <f t="shared" si="256"/>
        <v>100</v>
      </c>
      <c r="Y118" s="124">
        <f t="shared" si="257"/>
        <v>4060512</v>
      </c>
      <c r="Z118" s="124">
        <f t="shared" si="258"/>
        <v>100</v>
      </c>
      <c r="AA118" s="124">
        <f t="shared" si="259"/>
        <v>4060613</v>
      </c>
      <c r="AB118" s="124">
        <f t="shared" si="260"/>
        <v>100</v>
      </c>
    </row>
    <row r="119" spans="1:28" ht="12" customHeight="1">
      <c r="A119" s="134">
        <v>200098</v>
      </c>
      <c r="B119" s="53" t="s">
        <v>1448</v>
      </c>
      <c r="C119" s="124">
        <f t="shared" si="235"/>
        <v>4070101</v>
      </c>
      <c r="D119" s="124">
        <f t="shared" si="236"/>
        <v>100</v>
      </c>
      <c r="E119" s="124">
        <f t="shared" si="237"/>
        <v>4070102</v>
      </c>
      <c r="F119" s="124">
        <f t="shared" si="238"/>
        <v>100</v>
      </c>
      <c r="G119" s="124">
        <f t="shared" si="239"/>
        <v>4070103</v>
      </c>
      <c r="H119" s="124">
        <f t="shared" si="240"/>
        <v>100</v>
      </c>
      <c r="I119" s="124">
        <f t="shared" si="241"/>
        <v>4070104</v>
      </c>
      <c r="J119" s="124">
        <f t="shared" si="242"/>
        <v>100</v>
      </c>
      <c r="K119" s="124">
        <f t="shared" si="243"/>
        <v>4070105</v>
      </c>
      <c r="L119" s="124">
        <f t="shared" si="244"/>
        <v>100</v>
      </c>
      <c r="M119" s="124">
        <f t="shared" si="245"/>
        <v>4070106</v>
      </c>
      <c r="N119" s="124">
        <f t="shared" si="246"/>
        <v>100</v>
      </c>
      <c r="O119" s="124">
        <f t="shared" si="247"/>
        <v>4070207</v>
      </c>
      <c r="P119" s="124">
        <f t="shared" si="248"/>
        <v>50</v>
      </c>
      <c r="Q119" s="124">
        <f t="shared" si="249"/>
        <v>4070208</v>
      </c>
      <c r="R119" s="124">
        <f t="shared" si="250"/>
        <v>50</v>
      </c>
      <c r="S119" s="124">
        <f t="shared" si="251"/>
        <v>4070309</v>
      </c>
      <c r="T119" s="124">
        <f t="shared" si="252"/>
        <v>50</v>
      </c>
      <c r="U119" s="124">
        <f t="shared" si="253"/>
        <v>4070310</v>
      </c>
      <c r="V119" s="124">
        <f t="shared" si="254"/>
        <v>50</v>
      </c>
      <c r="W119" s="124">
        <f t="shared" si="255"/>
        <v>4070411</v>
      </c>
      <c r="X119" s="124">
        <f t="shared" si="256"/>
        <v>100</v>
      </c>
      <c r="Y119" s="124">
        <f t="shared" si="257"/>
        <v>4070512</v>
      </c>
      <c r="Z119" s="124">
        <f t="shared" si="258"/>
        <v>100</v>
      </c>
      <c r="AA119" s="124">
        <f t="shared" si="259"/>
        <v>4070613</v>
      </c>
      <c r="AB119" s="124">
        <f t="shared" si="260"/>
        <v>100</v>
      </c>
    </row>
    <row r="120" spans="1:28" ht="12" customHeight="1">
      <c r="A120" s="134">
        <v>200099</v>
      </c>
      <c r="B120" s="53" t="s">
        <v>1449</v>
      </c>
      <c r="C120" s="124">
        <f t="shared" si="235"/>
        <v>4080101</v>
      </c>
      <c r="D120" s="124">
        <f t="shared" si="236"/>
        <v>100</v>
      </c>
      <c r="E120" s="124">
        <f t="shared" si="237"/>
        <v>4080102</v>
      </c>
      <c r="F120" s="124">
        <f t="shared" si="238"/>
        <v>100</v>
      </c>
      <c r="G120" s="124">
        <f t="shared" si="239"/>
        <v>4080103</v>
      </c>
      <c r="H120" s="124">
        <f t="shared" si="240"/>
        <v>100</v>
      </c>
      <c r="I120" s="124">
        <f t="shared" si="241"/>
        <v>4080104</v>
      </c>
      <c r="J120" s="124">
        <f t="shared" si="242"/>
        <v>100</v>
      </c>
      <c r="K120" s="124">
        <f t="shared" si="243"/>
        <v>4080105</v>
      </c>
      <c r="L120" s="124">
        <f t="shared" si="244"/>
        <v>100</v>
      </c>
      <c r="M120" s="124">
        <f t="shared" si="245"/>
        <v>4080106</v>
      </c>
      <c r="N120" s="124">
        <f t="shared" si="246"/>
        <v>100</v>
      </c>
      <c r="O120" s="124">
        <f t="shared" si="247"/>
        <v>4080207</v>
      </c>
      <c r="P120" s="124">
        <f t="shared" si="248"/>
        <v>50</v>
      </c>
      <c r="Q120" s="124">
        <f t="shared" si="249"/>
        <v>4080208</v>
      </c>
      <c r="R120" s="124">
        <f t="shared" si="250"/>
        <v>50</v>
      </c>
      <c r="S120" s="124">
        <f t="shared" si="251"/>
        <v>4080309</v>
      </c>
      <c r="T120" s="124">
        <f t="shared" si="252"/>
        <v>50</v>
      </c>
      <c r="U120" s="124">
        <f t="shared" si="253"/>
        <v>4080310</v>
      </c>
      <c r="V120" s="124">
        <f t="shared" si="254"/>
        <v>50</v>
      </c>
      <c r="W120" s="124">
        <f t="shared" si="255"/>
        <v>4080411</v>
      </c>
      <c r="X120" s="124">
        <f t="shared" si="256"/>
        <v>100</v>
      </c>
      <c r="Y120" s="124">
        <f t="shared" si="257"/>
        <v>4080512</v>
      </c>
      <c r="Z120" s="124">
        <f t="shared" si="258"/>
        <v>100</v>
      </c>
      <c r="AA120" s="124">
        <f t="shared" si="259"/>
        <v>4080613</v>
      </c>
      <c r="AB120" s="124">
        <f t="shared" si="260"/>
        <v>100</v>
      </c>
    </row>
    <row r="121" spans="1:28" ht="12" customHeight="1">
      <c r="A121" s="134">
        <v>200100</v>
      </c>
      <c r="B121" s="53" t="s">
        <v>1450</v>
      </c>
      <c r="C121" s="124">
        <f t="shared" si="235"/>
        <v>4090101</v>
      </c>
      <c r="D121" s="124">
        <f t="shared" si="236"/>
        <v>100</v>
      </c>
      <c r="E121" s="124">
        <f t="shared" si="237"/>
        <v>4090102</v>
      </c>
      <c r="F121" s="124">
        <f t="shared" si="238"/>
        <v>100</v>
      </c>
      <c r="G121" s="124">
        <f t="shared" si="239"/>
        <v>4090103</v>
      </c>
      <c r="H121" s="124">
        <f t="shared" si="240"/>
        <v>100</v>
      </c>
      <c r="I121" s="124">
        <f t="shared" si="241"/>
        <v>4090104</v>
      </c>
      <c r="J121" s="124">
        <f t="shared" si="242"/>
        <v>100</v>
      </c>
      <c r="K121" s="124">
        <f t="shared" si="243"/>
        <v>4090105</v>
      </c>
      <c r="L121" s="124">
        <f t="shared" si="244"/>
        <v>100</v>
      </c>
      <c r="M121" s="124">
        <f t="shared" si="245"/>
        <v>4090106</v>
      </c>
      <c r="N121" s="124">
        <f t="shared" si="246"/>
        <v>100</v>
      </c>
      <c r="O121" s="124">
        <f t="shared" si="247"/>
        <v>4090207</v>
      </c>
      <c r="P121" s="124">
        <f t="shared" si="248"/>
        <v>50</v>
      </c>
      <c r="Q121" s="124">
        <f t="shared" si="249"/>
        <v>4090208</v>
      </c>
      <c r="R121" s="124">
        <f t="shared" si="250"/>
        <v>50</v>
      </c>
      <c r="S121" s="124">
        <f t="shared" si="251"/>
        <v>4090309</v>
      </c>
      <c r="T121" s="124">
        <f t="shared" si="252"/>
        <v>50</v>
      </c>
      <c r="U121" s="124">
        <f t="shared" si="253"/>
        <v>4090310</v>
      </c>
      <c r="V121" s="124">
        <f t="shared" si="254"/>
        <v>50</v>
      </c>
      <c r="W121" s="124">
        <f t="shared" si="255"/>
        <v>4090411</v>
      </c>
      <c r="X121" s="124">
        <f t="shared" si="256"/>
        <v>100</v>
      </c>
      <c r="Y121" s="124">
        <f t="shared" si="257"/>
        <v>4090512</v>
      </c>
      <c r="Z121" s="124">
        <f t="shared" si="258"/>
        <v>100</v>
      </c>
      <c r="AA121" s="124">
        <f t="shared" si="259"/>
        <v>4090613</v>
      </c>
      <c r="AB121" s="124">
        <f t="shared" si="260"/>
        <v>100</v>
      </c>
    </row>
    <row r="122" spans="1:28" ht="12" customHeight="1">
      <c r="A122" s="134">
        <v>200101</v>
      </c>
      <c r="B122" s="53" t="s">
        <v>1451</v>
      </c>
      <c r="C122" s="124">
        <f t="shared" si="235"/>
        <v>4100101</v>
      </c>
      <c r="D122" s="124">
        <f t="shared" si="236"/>
        <v>100</v>
      </c>
      <c r="E122" s="124">
        <f t="shared" si="237"/>
        <v>4100102</v>
      </c>
      <c r="F122" s="124">
        <f t="shared" si="238"/>
        <v>100</v>
      </c>
      <c r="G122" s="124">
        <f t="shared" si="239"/>
        <v>4100103</v>
      </c>
      <c r="H122" s="124">
        <f t="shared" si="240"/>
        <v>100</v>
      </c>
      <c r="I122" s="124">
        <f t="shared" si="241"/>
        <v>4100104</v>
      </c>
      <c r="J122" s="124">
        <f t="shared" si="242"/>
        <v>100</v>
      </c>
      <c r="K122" s="124">
        <f t="shared" si="243"/>
        <v>4100105</v>
      </c>
      <c r="L122" s="124">
        <f t="shared" si="244"/>
        <v>100</v>
      </c>
      <c r="M122" s="124">
        <f t="shared" si="245"/>
        <v>4100106</v>
      </c>
      <c r="N122" s="124">
        <f t="shared" si="246"/>
        <v>100</v>
      </c>
      <c r="O122" s="124">
        <f t="shared" si="247"/>
        <v>4100207</v>
      </c>
      <c r="P122" s="124">
        <f t="shared" si="248"/>
        <v>50</v>
      </c>
      <c r="Q122" s="124">
        <f t="shared" si="249"/>
        <v>4100208</v>
      </c>
      <c r="R122" s="124">
        <f t="shared" si="250"/>
        <v>50</v>
      </c>
      <c r="S122" s="124">
        <f t="shared" si="251"/>
        <v>4100309</v>
      </c>
      <c r="T122" s="124">
        <f t="shared" si="252"/>
        <v>50</v>
      </c>
      <c r="U122" s="124">
        <f t="shared" si="253"/>
        <v>4100310</v>
      </c>
      <c r="V122" s="124">
        <f t="shared" si="254"/>
        <v>50</v>
      </c>
      <c r="W122" s="124">
        <f t="shared" si="255"/>
        <v>4100411</v>
      </c>
      <c r="X122" s="124">
        <f t="shared" si="256"/>
        <v>100</v>
      </c>
      <c r="Y122" s="124">
        <f t="shared" si="257"/>
        <v>4100512</v>
      </c>
      <c r="Z122" s="124">
        <f t="shared" si="258"/>
        <v>100</v>
      </c>
      <c r="AA122" s="124">
        <f t="shared" si="259"/>
        <v>4100613</v>
      </c>
      <c r="AB122" s="124">
        <f t="shared" si="260"/>
        <v>100</v>
      </c>
    </row>
    <row r="123" spans="1:28" ht="12" customHeight="1">
      <c r="A123" s="134">
        <v>200102</v>
      </c>
      <c r="B123" s="53" t="s">
        <v>1452</v>
      </c>
      <c r="C123" s="124">
        <f t="shared" si="235"/>
        <v>4110101</v>
      </c>
      <c r="D123" s="124">
        <f t="shared" si="236"/>
        <v>100</v>
      </c>
      <c r="E123" s="124">
        <f t="shared" si="237"/>
        <v>4110102</v>
      </c>
      <c r="F123" s="124">
        <f t="shared" si="238"/>
        <v>100</v>
      </c>
      <c r="G123" s="124">
        <f t="shared" si="239"/>
        <v>4110103</v>
      </c>
      <c r="H123" s="124">
        <f t="shared" si="240"/>
        <v>100</v>
      </c>
      <c r="I123" s="124">
        <f t="shared" si="241"/>
        <v>4110104</v>
      </c>
      <c r="J123" s="124">
        <f t="shared" si="242"/>
        <v>100</v>
      </c>
      <c r="K123" s="124">
        <f t="shared" si="243"/>
        <v>4110105</v>
      </c>
      <c r="L123" s="124">
        <f t="shared" si="244"/>
        <v>100</v>
      </c>
      <c r="M123" s="124">
        <f t="shared" si="245"/>
        <v>4110106</v>
      </c>
      <c r="N123" s="124">
        <f t="shared" si="246"/>
        <v>100</v>
      </c>
      <c r="O123" s="124">
        <f t="shared" si="247"/>
        <v>4110207</v>
      </c>
      <c r="P123" s="124">
        <f t="shared" si="248"/>
        <v>50</v>
      </c>
      <c r="Q123" s="124">
        <f t="shared" si="249"/>
        <v>4110208</v>
      </c>
      <c r="R123" s="124">
        <f t="shared" si="250"/>
        <v>50</v>
      </c>
      <c r="S123" s="124">
        <f t="shared" si="251"/>
        <v>4110309</v>
      </c>
      <c r="T123" s="124">
        <f t="shared" si="252"/>
        <v>50</v>
      </c>
      <c r="U123" s="124">
        <f t="shared" si="253"/>
        <v>4110310</v>
      </c>
      <c r="V123" s="124">
        <f t="shared" si="254"/>
        <v>50</v>
      </c>
      <c r="W123" s="124">
        <f t="shared" si="255"/>
        <v>4110411</v>
      </c>
      <c r="X123" s="124">
        <f t="shared" si="256"/>
        <v>100</v>
      </c>
      <c r="Y123" s="124">
        <f t="shared" si="257"/>
        <v>4110512</v>
      </c>
      <c r="Z123" s="124">
        <f t="shared" si="258"/>
        <v>100</v>
      </c>
      <c r="AA123" s="124">
        <f t="shared" si="259"/>
        <v>4110613</v>
      </c>
      <c r="AB123" s="124">
        <f t="shared" si="260"/>
        <v>100</v>
      </c>
    </row>
    <row r="124" spans="1:28" ht="12" customHeight="1">
      <c r="A124" s="134">
        <v>200103</v>
      </c>
      <c r="B124" s="53" t="s">
        <v>1453</v>
      </c>
      <c r="C124" s="124">
        <f t="shared" si="235"/>
        <v>4120101</v>
      </c>
      <c r="D124" s="124">
        <f t="shared" si="236"/>
        <v>100</v>
      </c>
      <c r="E124" s="124">
        <f t="shared" si="237"/>
        <v>4120102</v>
      </c>
      <c r="F124" s="124">
        <f t="shared" si="238"/>
        <v>100</v>
      </c>
      <c r="G124" s="124">
        <f t="shared" si="239"/>
        <v>4120103</v>
      </c>
      <c r="H124" s="124">
        <f t="shared" si="240"/>
        <v>100</v>
      </c>
      <c r="I124" s="124">
        <f t="shared" si="241"/>
        <v>4120104</v>
      </c>
      <c r="J124" s="124">
        <f t="shared" si="242"/>
        <v>100</v>
      </c>
      <c r="K124" s="124">
        <f t="shared" si="243"/>
        <v>4120105</v>
      </c>
      <c r="L124" s="124">
        <f t="shared" si="244"/>
        <v>100</v>
      </c>
      <c r="M124" s="124">
        <f t="shared" si="245"/>
        <v>4120106</v>
      </c>
      <c r="N124" s="124">
        <f t="shared" si="246"/>
        <v>100</v>
      </c>
      <c r="O124" s="124">
        <f t="shared" si="247"/>
        <v>4120207</v>
      </c>
      <c r="P124" s="124">
        <f t="shared" si="248"/>
        <v>50</v>
      </c>
      <c r="Q124" s="124">
        <f t="shared" si="249"/>
        <v>4120208</v>
      </c>
      <c r="R124" s="124">
        <f t="shared" si="250"/>
        <v>50</v>
      </c>
      <c r="S124" s="124">
        <f t="shared" si="251"/>
        <v>4120309</v>
      </c>
      <c r="T124" s="124">
        <f t="shared" si="252"/>
        <v>50</v>
      </c>
      <c r="U124" s="124">
        <f t="shared" si="253"/>
        <v>4120310</v>
      </c>
      <c r="V124" s="124">
        <f t="shared" si="254"/>
        <v>50</v>
      </c>
      <c r="W124" s="124">
        <f t="shared" si="255"/>
        <v>4120411</v>
      </c>
      <c r="X124" s="124">
        <f t="shared" si="256"/>
        <v>100</v>
      </c>
      <c r="Y124" s="124">
        <f t="shared" si="257"/>
        <v>4120512</v>
      </c>
      <c r="Z124" s="124">
        <f t="shared" si="258"/>
        <v>100</v>
      </c>
      <c r="AA124" s="124">
        <f t="shared" si="259"/>
        <v>4120613</v>
      </c>
      <c r="AB124" s="124">
        <f t="shared" si="260"/>
        <v>100</v>
      </c>
    </row>
    <row r="125" spans="1:28" ht="12" customHeight="1">
      <c r="A125" s="134">
        <v>200104</v>
      </c>
      <c r="B125" s="53" t="s">
        <v>1454</v>
      </c>
      <c r="C125" s="124">
        <f t="shared" si="235"/>
        <v>4130101</v>
      </c>
      <c r="D125" s="124">
        <f t="shared" si="236"/>
        <v>100</v>
      </c>
      <c r="E125" s="124">
        <f t="shared" si="237"/>
        <v>4130102</v>
      </c>
      <c r="F125" s="124">
        <f t="shared" si="238"/>
        <v>100</v>
      </c>
      <c r="G125" s="124">
        <f t="shared" si="239"/>
        <v>4130103</v>
      </c>
      <c r="H125" s="124">
        <f t="shared" si="240"/>
        <v>100</v>
      </c>
      <c r="I125" s="124">
        <f t="shared" si="241"/>
        <v>4130104</v>
      </c>
      <c r="J125" s="124">
        <f t="shared" si="242"/>
        <v>100</v>
      </c>
      <c r="K125" s="124">
        <f t="shared" si="243"/>
        <v>4130105</v>
      </c>
      <c r="L125" s="124">
        <f t="shared" si="244"/>
        <v>100</v>
      </c>
      <c r="M125" s="124">
        <f t="shared" si="245"/>
        <v>4130106</v>
      </c>
      <c r="N125" s="124">
        <f t="shared" si="246"/>
        <v>100</v>
      </c>
      <c r="O125" s="124">
        <f t="shared" si="247"/>
        <v>4130207</v>
      </c>
      <c r="P125" s="124">
        <f t="shared" si="248"/>
        <v>50</v>
      </c>
      <c r="Q125" s="124">
        <f t="shared" si="249"/>
        <v>4130208</v>
      </c>
      <c r="R125" s="124">
        <f t="shared" si="250"/>
        <v>50</v>
      </c>
      <c r="S125" s="124">
        <f t="shared" si="251"/>
        <v>4130309</v>
      </c>
      <c r="T125" s="124">
        <f t="shared" si="252"/>
        <v>50</v>
      </c>
      <c r="U125" s="124">
        <f t="shared" si="253"/>
        <v>4130310</v>
      </c>
      <c r="V125" s="124">
        <f t="shared" si="254"/>
        <v>50</v>
      </c>
      <c r="W125" s="124">
        <f t="shared" si="255"/>
        <v>4130411</v>
      </c>
      <c r="X125" s="124">
        <f t="shared" si="256"/>
        <v>100</v>
      </c>
      <c r="Y125" s="124">
        <f t="shared" si="257"/>
        <v>4130512</v>
      </c>
      <c r="Z125" s="124">
        <f t="shared" si="258"/>
        <v>100</v>
      </c>
      <c r="AA125" s="124">
        <f t="shared" si="259"/>
        <v>4130613</v>
      </c>
      <c r="AB125" s="124">
        <f t="shared" si="260"/>
        <v>100</v>
      </c>
    </row>
    <row r="126" spans="1:28" ht="12" customHeight="1">
      <c r="A126" s="134">
        <v>200105</v>
      </c>
      <c r="B126" s="53" t="s">
        <v>1455</v>
      </c>
      <c r="C126" s="124">
        <f t="shared" si="235"/>
        <v>4140101</v>
      </c>
      <c r="D126" s="124">
        <f t="shared" si="236"/>
        <v>100</v>
      </c>
      <c r="E126" s="124">
        <f t="shared" si="237"/>
        <v>4140102</v>
      </c>
      <c r="F126" s="124">
        <f t="shared" si="238"/>
        <v>100</v>
      </c>
      <c r="G126" s="124">
        <f t="shared" si="239"/>
        <v>4140103</v>
      </c>
      <c r="H126" s="124">
        <f t="shared" si="240"/>
        <v>100</v>
      </c>
      <c r="I126" s="124">
        <f t="shared" si="241"/>
        <v>4140104</v>
      </c>
      <c r="J126" s="124">
        <f t="shared" si="242"/>
        <v>100</v>
      </c>
      <c r="K126" s="124">
        <f t="shared" si="243"/>
        <v>4140105</v>
      </c>
      <c r="L126" s="124">
        <f t="shared" si="244"/>
        <v>100</v>
      </c>
      <c r="M126" s="124">
        <f t="shared" si="245"/>
        <v>4140106</v>
      </c>
      <c r="N126" s="124">
        <f t="shared" si="246"/>
        <v>100</v>
      </c>
      <c r="O126" s="124">
        <f t="shared" si="247"/>
        <v>4140207</v>
      </c>
      <c r="P126" s="124">
        <f t="shared" si="248"/>
        <v>50</v>
      </c>
      <c r="Q126" s="124">
        <f t="shared" si="249"/>
        <v>4140208</v>
      </c>
      <c r="R126" s="124">
        <f t="shared" si="250"/>
        <v>50</v>
      </c>
      <c r="S126" s="124">
        <f t="shared" si="251"/>
        <v>4140309</v>
      </c>
      <c r="T126" s="124">
        <f t="shared" si="252"/>
        <v>50</v>
      </c>
      <c r="U126" s="124">
        <f t="shared" si="253"/>
        <v>4140310</v>
      </c>
      <c r="V126" s="124">
        <f t="shared" si="254"/>
        <v>50</v>
      </c>
      <c r="W126" s="124">
        <f t="shared" si="255"/>
        <v>4140411</v>
      </c>
      <c r="X126" s="124">
        <f t="shared" si="256"/>
        <v>100</v>
      </c>
      <c r="Y126" s="124">
        <f t="shared" si="257"/>
        <v>4140512</v>
      </c>
      <c r="Z126" s="124">
        <f t="shared" si="258"/>
        <v>100</v>
      </c>
      <c r="AA126" s="124">
        <f t="shared" si="259"/>
        <v>4140613</v>
      </c>
      <c r="AB126" s="124">
        <f t="shared" si="260"/>
        <v>100</v>
      </c>
    </row>
    <row r="127" spans="1:28" ht="12" customHeight="1">
      <c r="A127" s="134">
        <v>200106</v>
      </c>
      <c r="B127" s="53" t="s">
        <v>1456</v>
      </c>
      <c r="C127" s="124">
        <f t="shared" si="235"/>
        <v>4150101</v>
      </c>
      <c r="D127" s="124">
        <f t="shared" si="236"/>
        <v>100</v>
      </c>
      <c r="E127" s="124">
        <f t="shared" si="237"/>
        <v>4150102</v>
      </c>
      <c r="F127" s="124">
        <f t="shared" si="238"/>
        <v>100</v>
      </c>
      <c r="G127" s="124">
        <f t="shared" si="239"/>
        <v>4150103</v>
      </c>
      <c r="H127" s="124">
        <f t="shared" si="240"/>
        <v>100</v>
      </c>
      <c r="I127" s="124">
        <f t="shared" si="241"/>
        <v>4150104</v>
      </c>
      <c r="J127" s="124">
        <f t="shared" si="242"/>
        <v>100</v>
      </c>
      <c r="K127" s="124">
        <f t="shared" si="243"/>
        <v>4150105</v>
      </c>
      <c r="L127" s="124">
        <f t="shared" si="244"/>
        <v>100</v>
      </c>
      <c r="M127" s="124">
        <f t="shared" si="245"/>
        <v>4150106</v>
      </c>
      <c r="N127" s="124">
        <f t="shared" si="246"/>
        <v>100</v>
      </c>
      <c r="O127" s="124">
        <f t="shared" si="247"/>
        <v>4150207</v>
      </c>
      <c r="P127" s="124">
        <f t="shared" si="248"/>
        <v>50</v>
      </c>
      <c r="Q127" s="124">
        <f t="shared" si="249"/>
        <v>4150208</v>
      </c>
      <c r="R127" s="124">
        <f t="shared" si="250"/>
        <v>50</v>
      </c>
      <c r="S127" s="124">
        <f t="shared" si="251"/>
        <v>4150309</v>
      </c>
      <c r="T127" s="124">
        <f t="shared" si="252"/>
        <v>50</v>
      </c>
      <c r="U127" s="124">
        <f t="shared" si="253"/>
        <v>4150310</v>
      </c>
      <c r="V127" s="124">
        <f t="shared" si="254"/>
        <v>50</v>
      </c>
      <c r="W127" s="124">
        <f t="shared" si="255"/>
        <v>4150411</v>
      </c>
      <c r="X127" s="124">
        <f t="shared" si="256"/>
        <v>100</v>
      </c>
      <c r="Y127" s="124">
        <f t="shared" si="257"/>
        <v>4150512</v>
      </c>
      <c r="Z127" s="124">
        <f t="shared" si="258"/>
        <v>100</v>
      </c>
      <c r="AA127" s="124">
        <f t="shared" si="259"/>
        <v>4150613</v>
      </c>
      <c r="AB127" s="124">
        <f t="shared" si="260"/>
        <v>100</v>
      </c>
    </row>
    <row r="128" spans="1:28" ht="12" customHeight="1">
      <c r="A128" s="134">
        <v>200107</v>
      </c>
      <c r="B128" s="54" t="s">
        <v>1457</v>
      </c>
      <c r="C128" s="6">
        <f t="shared" ref="C128" si="261">C113+1000000</f>
        <v>5010101</v>
      </c>
      <c r="D128" s="6">
        <f t="shared" ref="D128" si="262">D113</f>
        <v>100</v>
      </c>
      <c r="E128" s="6">
        <f>E113+1000000</f>
        <v>5010102</v>
      </c>
      <c r="F128" s="6">
        <f>F113</f>
        <v>100</v>
      </c>
      <c r="G128" s="6">
        <f>G113+1000000</f>
        <v>5010103</v>
      </c>
      <c r="H128" s="6">
        <f>H113</f>
        <v>100</v>
      </c>
      <c r="I128" s="6">
        <f t="shared" ref="I128" si="263">I113+1000000</f>
        <v>5010104</v>
      </c>
      <c r="J128" s="6">
        <f t="shared" ref="J128" si="264">J113</f>
        <v>100</v>
      </c>
      <c r="K128" s="6">
        <f>K113+1000000</f>
        <v>5010105</v>
      </c>
      <c r="L128" s="6">
        <f>L113</f>
        <v>100</v>
      </c>
      <c r="M128" s="6">
        <f>M113+1000000</f>
        <v>5010106</v>
      </c>
      <c r="N128" s="6">
        <f>N113</f>
        <v>100</v>
      </c>
      <c r="O128" s="6">
        <f t="shared" ref="O128" si="265">O113+1000000</f>
        <v>5010207</v>
      </c>
      <c r="P128" s="6">
        <f t="shared" ref="P128" si="266">P113</f>
        <v>50</v>
      </c>
      <c r="Q128" s="6">
        <f>Q113+1000000</f>
        <v>5010208</v>
      </c>
      <c r="R128" s="6">
        <f>R113</f>
        <v>50</v>
      </c>
      <c r="S128" s="6">
        <f>S113+1000000</f>
        <v>5010309</v>
      </c>
      <c r="T128" s="6">
        <f>T113</f>
        <v>50</v>
      </c>
      <c r="U128" s="6">
        <f t="shared" ref="U128" si="267">U113+1000000</f>
        <v>5010310</v>
      </c>
      <c r="V128" s="6">
        <f t="shared" ref="V128" si="268">V113</f>
        <v>50</v>
      </c>
      <c r="W128" s="6">
        <f t="shared" ref="W128" si="269">W113+1000000</f>
        <v>5010411</v>
      </c>
      <c r="X128" s="6">
        <f t="shared" ref="X128" si="270">X113</f>
        <v>100</v>
      </c>
      <c r="Y128" s="6">
        <f>Y113+1000000</f>
        <v>5010512</v>
      </c>
      <c r="Z128" s="6">
        <f>Z113</f>
        <v>100</v>
      </c>
      <c r="AA128" s="6">
        <f>AA113+1000000</f>
        <v>5010613</v>
      </c>
      <c r="AB128" s="6">
        <f>AB113</f>
        <v>100</v>
      </c>
    </row>
    <row r="129" spans="1:28" ht="12" customHeight="1">
      <c r="A129" s="134">
        <v>200108</v>
      </c>
      <c r="B129" s="54" t="s">
        <v>1458</v>
      </c>
      <c r="C129" s="6">
        <f t="shared" ref="C129" si="271">C114+1000000</f>
        <v>5020101</v>
      </c>
      <c r="D129" s="6">
        <f t="shared" ref="D129" si="272">D114</f>
        <v>100</v>
      </c>
      <c r="E129" s="6">
        <f t="shared" ref="E129" si="273">E114+1000000</f>
        <v>5020102</v>
      </c>
      <c r="F129" s="6">
        <f t="shared" ref="F129" si="274">F114</f>
        <v>100</v>
      </c>
      <c r="G129" s="6">
        <f t="shared" ref="G129" si="275">G114+1000000</f>
        <v>5020103</v>
      </c>
      <c r="H129" s="6">
        <f t="shared" ref="H129" si="276">H114</f>
        <v>100</v>
      </c>
      <c r="I129" s="6">
        <f t="shared" ref="I129" si="277">I114+1000000</f>
        <v>5020104</v>
      </c>
      <c r="J129" s="6">
        <f t="shared" ref="J129" si="278">J114</f>
        <v>100</v>
      </c>
      <c r="K129" s="6">
        <f t="shared" ref="K129" si="279">K114+1000000</f>
        <v>5020105</v>
      </c>
      <c r="L129" s="6">
        <f t="shared" ref="L129" si="280">L114</f>
        <v>100</v>
      </c>
      <c r="M129" s="6">
        <f t="shared" ref="M129" si="281">M114+1000000</f>
        <v>5020106</v>
      </c>
      <c r="N129" s="6">
        <f t="shared" ref="N129" si="282">N114</f>
        <v>100</v>
      </c>
      <c r="O129" s="6">
        <f t="shared" ref="O129" si="283">O114+1000000</f>
        <v>5020207</v>
      </c>
      <c r="P129" s="6">
        <f t="shared" ref="P129" si="284">P114</f>
        <v>50</v>
      </c>
      <c r="Q129" s="6">
        <f t="shared" ref="Q129" si="285">Q114+1000000</f>
        <v>5020208</v>
      </c>
      <c r="R129" s="6">
        <f t="shared" ref="R129" si="286">R114</f>
        <v>50</v>
      </c>
      <c r="S129" s="6">
        <f t="shared" ref="S129" si="287">S114+1000000</f>
        <v>5020309</v>
      </c>
      <c r="T129" s="6">
        <f t="shared" ref="T129" si="288">T114</f>
        <v>50</v>
      </c>
      <c r="U129" s="6">
        <f t="shared" ref="U129" si="289">U114+1000000</f>
        <v>5020310</v>
      </c>
      <c r="V129" s="6">
        <f t="shared" ref="V129" si="290">V114</f>
        <v>50</v>
      </c>
      <c r="W129" s="6">
        <f t="shared" ref="W129" si="291">W114+1000000</f>
        <v>5020411</v>
      </c>
      <c r="X129" s="6">
        <f t="shared" ref="X129" si="292">X114</f>
        <v>100</v>
      </c>
      <c r="Y129" s="6">
        <f t="shared" ref="Y129" si="293">Y114+1000000</f>
        <v>5020512</v>
      </c>
      <c r="Z129" s="6">
        <f t="shared" ref="Z129" si="294">Z114</f>
        <v>100</v>
      </c>
      <c r="AA129" s="6">
        <f t="shared" ref="AA129" si="295">AA114+1000000</f>
        <v>5020613</v>
      </c>
      <c r="AB129" s="6">
        <f t="shared" ref="AB129" si="296">AB114</f>
        <v>100</v>
      </c>
    </row>
    <row r="130" spans="1:28" ht="12" customHeight="1">
      <c r="A130" s="134">
        <v>200109</v>
      </c>
      <c r="B130" s="54" t="s">
        <v>1459</v>
      </c>
      <c r="C130" s="6">
        <f t="shared" ref="C130" si="297">C115+1000000</f>
        <v>5030101</v>
      </c>
      <c r="D130" s="6">
        <f t="shared" ref="D130" si="298">D115</f>
        <v>100</v>
      </c>
      <c r="E130" s="6">
        <f t="shared" ref="E130" si="299">E115+1000000</f>
        <v>5030102</v>
      </c>
      <c r="F130" s="6">
        <f t="shared" ref="F130" si="300">F115</f>
        <v>100</v>
      </c>
      <c r="G130" s="6">
        <f t="shared" ref="G130" si="301">G115+1000000</f>
        <v>5030103</v>
      </c>
      <c r="H130" s="6">
        <f t="shared" ref="H130" si="302">H115</f>
        <v>100</v>
      </c>
      <c r="I130" s="6">
        <f t="shared" ref="I130" si="303">I115+1000000</f>
        <v>5030104</v>
      </c>
      <c r="J130" s="6">
        <f t="shared" ref="J130" si="304">J115</f>
        <v>100</v>
      </c>
      <c r="K130" s="6">
        <f t="shared" ref="K130" si="305">K115+1000000</f>
        <v>5030105</v>
      </c>
      <c r="L130" s="6">
        <f t="shared" ref="L130" si="306">L115</f>
        <v>100</v>
      </c>
      <c r="M130" s="6">
        <f t="shared" ref="M130" si="307">M115+1000000</f>
        <v>5030106</v>
      </c>
      <c r="N130" s="6">
        <f t="shared" ref="N130" si="308">N115</f>
        <v>100</v>
      </c>
      <c r="O130" s="6">
        <f t="shared" ref="O130" si="309">O115+1000000</f>
        <v>5030207</v>
      </c>
      <c r="P130" s="6">
        <f t="shared" ref="P130" si="310">P115</f>
        <v>50</v>
      </c>
      <c r="Q130" s="6">
        <f t="shared" ref="Q130" si="311">Q115+1000000</f>
        <v>5030208</v>
      </c>
      <c r="R130" s="6">
        <f t="shared" ref="R130" si="312">R115</f>
        <v>50</v>
      </c>
      <c r="S130" s="6">
        <f t="shared" ref="S130" si="313">S115+1000000</f>
        <v>5030309</v>
      </c>
      <c r="T130" s="6">
        <f t="shared" ref="T130" si="314">T115</f>
        <v>50</v>
      </c>
      <c r="U130" s="6">
        <f t="shared" ref="U130" si="315">U115+1000000</f>
        <v>5030310</v>
      </c>
      <c r="V130" s="6">
        <f t="shared" ref="V130" si="316">V115</f>
        <v>50</v>
      </c>
      <c r="W130" s="6">
        <f t="shared" ref="W130" si="317">W115+1000000</f>
        <v>5030411</v>
      </c>
      <c r="X130" s="6">
        <f t="shared" ref="X130" si="318">X115</f>
        <v>100</v>
      </c>
      <c r="Y130" s="6">
        <f t="shared" ref="Y130" si="319">Y115+1000000</f>
        <v>5030512</v>
      </c>
      <c r="Z130" s="6">
        <f t="shared" ref="Z130" si="320">Z115</f>
        <v>100</v>
      </c>
      <c r="AA130" s="6">
        <f t="shared" ref="AA130" si="321">AA115+1000000</f>
        <v>5030613</v>
      </c>
      <c r="AB130" s="6">
        <f t="shared" ref="AB130" si="322">AB115</f>
        <v>100</v>
      </c>
    </row>
    <row r="131" spans="1:28" ht="12" customHeight="1">
      <c r="A131" s="134">
        <v>200110</v>
      </c>
      <c r="B131" s="54" t="s">
        <v>1460</v>
      </c>
      <c r="C131" s="6">
        <f t="shared" ref="C131:C161" si="323">C116+1000000</f>
        <v>5040101</v>
      </c>
      <c r="D131" s="6">
        <f t="shared" ref="D131:D161" si="324">D116</f>
        <v>100</v>
      </c>
      <c r="E131" s="6">
        <f t="shared" ref="E131:E161" si="325">E116+1000000</f>
        <v>5040102</v>
      </c>
      <c r="F131" s="6">
        <f t="shared" ref="F131:F161" si="326">F116</f>
        <v>100</v>
      </c>
      <c r="G131" s="6">
        <f t="shared" ref="G131:G161" si="327">G116+1000000</f>
        <v>5040103</v>
      </c>
      <c r="H131" s="6">
        <f t="shared" ref="H131:H161" si="328">H116</f>
        <v>100</v>
      </c>
      <c r="I131" s="6">
        <f t="shared" ref="I131:I161" si="329">I116+1000000</f>
        <v>5040104</v>
      </c>
      <c r="J131" s="6">
        <f t="shared" ref="J131:J161" si="330">J116</f>
        <v>100</v>
      </c>
      <c r="K131" s="6">
        <f t="shared" ref="K131:K161" si="331">K116+1000000</f>
        <v>5040105</v>
      </c>
      <c r="L131" s="6">
        <f t="shared" ref="L131:L161" si="332">L116</f>
        <v>100</v>
      </c>
      <c r="M131" s="6">
        <f t="shared" ref="M131:M161" si="333">M116+1000000</f>
        <v>5040106</v>
      </c>
      <c r="N131" s="6">
        <f t="shared" ref="N131:N161" si="334">N116</f>
        <v>100</v>
      </c>
      <c r="O131" s="6">
        <f t="shared" ref="O131:O161" si="335">O116+1000000</f>
        <v>5040207</v>
      </c>
      <c r="P131" s="6">
        <f t="shared" ref="P131:P161" si="336">P116</f>
        <v>50</v>
      </c>
      <c r="Q131" s="6">
        <f t="shared" ref="Q131:Q161" si="337">Q116+1000000</f>
        <v>5040208</v>
      </c>
      <c r="R131" s="6">
        <f t="shared" ref="R131:R161" si="338">R116</f>
        <v>50</v>
      </c>
      <c r="S131" s="6">
        <f t="shared" ref="S131:S161" si="339">S116+1000000</f>
        <v>5040309</v>
      </c>
      <c r="T131" s="6">
        <f t="shared" ref="T131:T161" si="340">T116</f>
        <v>50</v>
      </c>
      <c r="U131" s="6">
        <f t="shared" ref="U131:U161" si="341">U116+1000000</f>
        <v>5040310</v>
      </c>
      <c r="V131" s="6">
        <f t="shared" ref="V131:V161" si="342">V116</f>
        <v>50</v>
      </c>
      <c r="W131" s="6">
        <f t="shared" ref="W131:W161" si="343">W116+1000000</f>
        <v>5040411</v>
      </c>
      <c r="X131" s="6">
        <f t="shared" ref="X131:X161" si="344">X116</f>
        <v>100</v>
      </c>
      <c r="Y131" s="6">
        <f t="shared" ref="Y131:Y161" si="345">Y116+1000000</f>
        <v>5040512</v>
      </c>
      <c r="Z131" s="6">
        <f t="shared" ref="Z131:Z161" si="346">Z116</f>
        <v>100</v>
      </c>
      <c r="AA131" s="6">
        <f t="shared" ref="AA131:AA161" si="347">AA116+1000000</f>
        <v>5040613</v>
      </c>
      <c r="AB131" s="6">
        <f t="shared" ref="AB131:AB161" si="348">AB116</f>
        <v>100</v>
      </c>
    </row>
    <row r="132" spans="1:28" ht="12" customHeight="1">
      <c r="A132" s="134">
        <v>200111</v>
      </c>
      <c r="B132" s="54" t="s">
        <v>1461</v>
      </c>
      <c r="C132" s="6">
        <f t="shared" si="323"/>
        <v>5050101</v>
      </c>
      <c r="D132" s="6">
        <f t="shared" si="324"/>
        <v>100</v>
      </c>
      <c r="E132" s="6">
        <f t="shared" si="325"/>
        <v>5050102</v>
      </c>
      <c r="F132" s="6">
        <f t="shared" si="326"/>
        <v>100</v>
      </c>
      <c r="G132" s="6">
        <f t="shared" si="327"/>
        <v>5050103</v>
      </c>
      <c r="H132" s="6">
        <f t="shared" si="328"/>
        <v>100</v>
      </c>
      <c r="I132" s="6">
        <f t="shared" si="329"/>
        <v>5050104</v>
      </c>
      <c r="J132" s="6">
        <f t="shared" si="330"/>
        <v>100</v>
      </c>
      <c r="K132" s="6">
        <f t="shared" si="331"/>
        <v>5050105</v>
      </c>
      <c r="L132" s="6">
        <f t="shared" si="332"/>
        <v>100</v>
      </c>
      <c r="M132" s="6">
        <f t="shared" si="333"/>
        <v>5050106</v>
      </c>
      <c r="N132" s="6">
        <f t="shared" si="334"/>
        <v>100</v>
      </c>
      <c r="O132" s="6">
        <f t="shared" si="335"/>
        <v>5050207</v>
      </c>
      <c r="P132" s="6">
        <f t="shared" si="336"/>
        <v>50</v>
      </c>
      <c r="Q132" s="6">
        <f t="shared" si="337"/>
        <v>5050208</v>
      </c>
      <c r="R132" s="6">
        <f t="shared" si="338"/>
        <v>50</v>
      </c>
      <c r="S132" s="6">
        <f t="shared" si="339"/>
        <v>5050309</v>
      </c>
      <c r="T132" s="6">
        <f t="shared" si="340"/>
        <v>50</v>
      </c>
      <c r="U132" s="6">
        <f t="shared" si="341"/>
        <v>5050310</v>
      </c>
      <c r="V132" s="6">
        <f t="shared" si="342"/>
        <v>50</v>
      </c>
      <c r="W132" s="6">
        <f t="shared" si="343"/>
        <v>5050411</v>
      </c>
      <c r="X132" s="6">
        <f t="shared" si="344"/>
        <v>100</v>
      </c>
      <c r="Y132" s="6">
        <f t="shared" si="345"/>
        <v>5050512</v>
      </c>
      <c r="Z132" s="6">
        <f t="shared" si="346"/>
        <v>100</v>
      </c>
      <c r="AA132" s="6">
        <f t="shared" si="347"/>
        <v>5050613</v>
      </c>
      <c r="AB132" s="6">
        <f t="shared" si="348"/>
        <v>100</v>
      </c>
    </row>
    <row r="133" spans="1:28" ht="12" customHeight="1">
      <c r="A133" s="134">
        <v>200112</v>
      </c>
      <c r="B133" s="54" t="s">
        <v>1462</v>
      </c>
      <c r="C133" s="6">
        <f t="shared" si="323"/>
        <v>5060101</v>
      </c>
      <c r="D133" s="6">
        <f t="shared" si="324"/>
        <v>100</v>
      </c>
      <c r="E133" s="6">
        <f t="shared" si="325"/>
        <v>5060102</v>
      </c>
      <c r="F133" s="6">
        <f t="shared" si="326"/>
        <v>100</v>
      </c>
      <c r="G133" s="6">
        <f t="shared" si="327"/>
        <v>5060103</v>
      </c>
      <c r="H133" s="6">
        <f t="shared" si="328"/>
        <v>100</v>
      </c>
      <c r="I133" s="6">
        <f t="shared" si="329"/>
        <v>5060104</v>
      </c>
      <c r="J133" s="6">
        <f t="shared" si="330"/>
        <v>100</v>
      </c>
      <c r="K133" s="6">
        <f t="shared" si="331"/>
        <v>5060105</v>
      </c>
      <c r="L133" s="6">
        <f t="shared" si="332"/>
        <v>100</v>
      </c>
      <c r="M133" s="6">
        <f t="shared" si="333"/>
        <v>5060106</v>
      </c>
      <c r="N133" s="6">
        <f t="shared" si="334"/>
        <v>100</v>
      </c>
      <c r="O133" s="6">
        <f t="shared" si="335"/>
        <v>5060207</v>
      </c>
      <c r="P133" s="6">
        <f t="shared" si="336"/>
        <v>50</v>
      </c>
      <c r="Q133" s="6">
        <f t="shared" si="337"/>
        <v>5060208</v>
      </c>
      <c r="R133" s="6">
        <f t="shared" si="338"/>
        <v>50</v>
      </c>
      <c r="S133" s="6">
        <f t="shared" si="339"/>
        <v>5060309</v>
      </c>
      <c r="T133" s="6">
        <f t="shared" si="340"/>
        <v>50</v>
      </c>
      <c r="U133" s="6">
        <f t="shared" si="341"/>
        <v>5060310</v>
      </c>
      <c r="V133" s="6">
        <f t="shared" si="342"/>
        <v>50</v>
      </c>
      <c r="W133" s="6">
        <f t="shared" si="343"/>
        <v>5060411</v>
      </c>
      <c r="X133" s="6">
        <f t="shared" si="344"/>
        <v>100</v>
      </c>
      <c r="Y133" s="6">
        <f t="shared" si="345"/>
        <v>5060512</v>
      </c>
      <c r="Z133" s="6">
        <f t="shared" si="346"/>
        <v>100</v>
      </c>
      <c r="AA133" s="6">
        <f t="shared" si="347"/>
        <v>5060613</v>
      </c>
      <c r="AB133" s="6">
        <f t="shared" si="348"/>
        <v>100</v>
      </c>
    </row>
    <row r="134" spans="1:28" ht="12" customHeight="1">
      <c r="A134" s="134">
        <v>200113</v>
      </c>
      <c r="B134" s="54" t="s">
        <v>1463</v>
      </c>
      <c r="C134" s="6">
        <f t="shared" si="323"/>
        <v>5070101</v>
      </c>
      <c r="D134" s="6">
        <f t="shared" si="324"/>
        <v>100</v>
      </c>
      <c r="E134" s="6">
        <f t="shared" si="325"/>
        <v>5070102</v>
      </c>
      <c r="F134" s="6">
        <f t="shared" si="326"/>
        <v>100</v>
      </c>
      <c r="G134" s="6">
        <f t="shared" si="327"/>
        <v>5070103</v>
      </c>
      <c r="H134" s="6">
        <f t="shared" si="328"/>
        <v>100</v>
      </c>
      <c r="I134" s="6">
        <f t="shared" si="329"/>
        <v>5070104</v>
      </c>
      <c r="J134" s="6">
        <f t="shared" si="330"/>
        <v>100</v>
      </c>
      <c r="K134" s="6">
        <f t="shared" si="331"/>
        <v>5070105</v>
      </c>
      <c r="L134" s="6">
        <f t="shared" si="332"/>
        <v>100</v>
      </c>
      <c r="M134" s="6">
        <f t="shared" si="333"/>
        <v>5070106</v>
      </c>
      <c r="N134" s="6">
        <f t="shared" si="334"/>
        <v>100</v>
      </c>
      <c r="O134" s="6">
        <f t="shared" si="335"/>
        <v>5070207</v>
      </c>
      <c r="P134" s="6">
        <f t="shared" si="336"/>
        <v>50</v>
      </c>
      <c r="Q134" s="6">
        <f t="shared" si="337"/>
        <v>5070208</v>
      </c>
      <c r="R134" s="6">
        <f t="shared" si="338"/>
        <v>50</v>
      </c>
      <c r="S134" s="6">
        <f t="shared" si="339"/>
        <v>5070309</v>
      </c>
      <c r="T134" s="6">
        <f t="shared" si="340"/>
        <v>50</v>
      </c>
      <c r="U134" s="6">
        <f t="shared" si="341"/>
        <v>5070310</v>
      </c>
      <c r="V134" s="6">
        <f t="shared" si="342"/>
        <v>50</v>
      </c>
      <c r="W134" s="6">
        <f t="shared" si="343"/>
        <v>5070411</v>
      </c>
      <c r="X134" s="6">
        <f t="shared" si="344"/>
        <v>100</v>
      </c>
      <c r="Y134" s="6">
        <f t="shared" si="345"/>
        <v>5070512</v>
      </c>
      <c r="Z134" s="6">
        <f t="shared" si="346"/>
        <v>100</v>
      </c>
      <c r="AA134" s="6">
        <f t="shared" si="347"/>
        <v>5070613</v>
      </c>
      <c r="AB134" s="6">
        <f t="shared" si="348"/>
        <v>100</v>
      </c>
    </row>
    <row r="135" spans="1:28" ht="12" customHeight="1">
      <c r="A135" s="134">
        <v>200114</v>
      </c>
      <c r="B135" s="54" t="s">
        <v>1464</v>
      </c>
      <c r="C135" s="6">
        <f t="shared" si="323"/>
        <v>5080101</v>
      </c>
      <c r="D135" s="6">
        <f t="shared" si="324"/>
        <v>100</v>
      </c>
      <c r="E135" s="6">
        <f t="shared" si="325"/>
        <v>5080102</v>
      </c>
      <c r="F135" s="6">
        <f t="shared" si="326"/>
        <v>100</v>
      </c>
      <c r="G135" s="6">
        <f t="shared" si="327"/>
        <v>5080103</v>
      </c>
      <c r="H135" s="6">
        <f t="shared" si="328"/>
        <v>100</v>
      </c>
      <c r="I135" s="6">
        <f t="shared" si="329"/>
        <v>5080104</v>
      </c>
      <c r="J135" s="6">
        <f t="shared" si="330"/>
        <v>100</v>
      </c>
      <c r="K135" s="6">
        <f t="shared" si="331"/>
        <v>5080105</v>
      </c>
      <c r="L135" s="6">
        <f t="shared" si="332"/>
        <v>100</v>
      </c>
      <c r="M135" s="6">
        <f t="shared" si="333"/>
        <v>5080106</v>
      </c>
      <c r="N135" s="6">
        <f t="shared" si="334"/>
        <v>100</v>
      </c>
      <c r="O135" s="6">
        <f t="shared" si="335"/>
        <v>5080207</v>
      </c>
      <c r="P135" s="6">
        <f t="shared" si="336"/>
        <v>50</v>
      </c>
      <c r="Q135" s="6">
        <f t="shared" si="337"/>
        <v>5080208</v>
      </c>
      <c r="R135" s="6">
        <f t="shared" si="338"/>
        <v>50</v>
      </c>
      <c r="S135" s="6">
        <f t="shared" si="339"/>
        <v>5080309</v>
      </c>
      <c r="T135" s="6">
        <f t="shared" si="340"/>
        <v>50</v>
      </c>
      <c r="U135" s="6">
        <f t="shared" si="341"/>
        <v>5080310</v>
      </c>
      <c r="V135" s="6">
        <f t="shared" si="342"/>
        <v>50</v>
      </c>
      <c r="W135" s="6">
        <f t="shared" si="343"/>
        <v>5080411</v>
      </c>
      <c r="X135" s="6">
        <f t="shared" si="344"/>
        <v>100</v>
      </c>
      <c r="Y135" s="6">
        <f t="shared" si="345"/>
        <v>5080512</v>
      </c>
      <c r="Z135" s="6">
        <f t="shared" si="346"/>
        <v>100</v>
      </c>
      <c r="AA135" s="6">
        <f t="shared" si="347"/>
        <v>5080613</v>
      </c>
      <c r="AB135" s="6">
        <f t="shared" si="348"/>
        <v>100</v>
      </c>
    </row>
    <row r="136" spans="1:28" ht="12" customHeight="1">
      <c r="A136" s="134">
        <v>200115</v>
      </c>
      <c r="B136" s="54" t="s">
        <v>1465</v>
      </c>
      <c r="C136" s="6">
        <f t="shared" si="323"/>
        <v>5090101</v>
      </c>
      <c r="D136" s="6">
        <f t="shared" si="324"/>
        <v>100</v>
      </c>
      <c r="E136" s="6">
        <f t="shared" si="325"/>
        <v>5090102</v>
      </c>
      <c r="F136" s="6">
        <f t="shared" si="326"/>
        <v>100</v>
      </c>
      <c r="G136" s="6">
        <f t="shared" si="327"/>
        <v>5090103</v>
      </c>
      <c r="H136" s="6">
        <f t="shared" si="328"/>
        <v>100</v>
      </c>
      <c r="I136" s="6">
        <f t="shared" si="329"/>
        <v>5090104</v>
      </c>
      <c r="J136" s="6">
        <f t="shared" si="330"/>
        <v>100</v>
      </c>
      <c r="K136" s="6">
        <f t="shared" si="331"/>
        <v>5090105</v>
      </c>
      <c r="L136" s="6">
        <f t="shared" si="332"/>
        <v>100</v>
      </c>
      <c r="M136" s="6">
        <f t="shared" si="333"/>
        <v>5090106</v>
      </c>
      <c r="N136" s="6">
        <f t="shared" si="334"/>
        <v>100</v>
      </c>
      <c r="O136" s="6">
        <f t="shared" si="335"/>
        <v>5090207</v>
      </c>
      <c r="P136" s="6">
        <f t="shared" si="336"/>
        <v>50</v>
      </c>
      <c r="Q136" s="6">
        <f t="shared" si="337"/>
        <v>5090208</v>
      </c>
      <c r="R136" s="6">
        <f t="shared" si="338"/>
        <v>50</v>
      </c>
      <c r="S136" s="6">
        <f t="shared" si="339"/>
        <v>5090309</v>
      </c>
      <c r="T136" s="6">
        <f t="shared" si="340"/>
        <v>50</v>
      </c>
      <c r="U136" s="6">
        <f t="shared" si="341"/>
        <v>5090310</v>
      </c>
      <c r="V136" s="6">
        <f t="shared" si="342"/>
        <v>50</v>
      </c>
      <c r="W136" s="6">
        <f t="shared" si="343"/>
        <v>5090411</v>
      </c>
      <c r="X136" s="6">
        <f t="shared" si="344"/>
        <v>100</v>
      </c>
      <c r="Y136" s="6">
        <f t="shared" si="345"/>
        <v>5090512</v>
      </c>
      <c r="Z136" s="6">
        <f t="shared" si="346"/>
        <v>100</v>
      </c>
      <c r="AA136" s="6">
        <f t="shared" si="347"/>
        <v>5090613</v>
      </c>
      <c r="AB136" s="6">
        <f t="shared" si="348"/>
        <v>100</v>
      </c>
    </row>
    <row r="137" spans="1:28" ht="12" customHeight="1">
      <c r="A137" s="134">
        <v>200116</v>
      </c>
      <c r="B137" s="54" t="s">
        <v>1466</v>
      </c>
      <c r="C137" s="6">
        <f t="shared" si="323"/>
        <v>5100101</v>
      </c>
      <c r="D137" s="6">
        <f t="shared" si="324"/>
        <v>100</v>
      </c>
      <c r="E137" s="6">
        <f t="shared" si="325"/>
        <v>5100102</v>
      </c>
      <c r="F137" s="6">
        <f t="shared" si="326"/>
        <v>100</v>
      </c>
      <c r="G137" s="6">
        <f t="shared" si="327"/>
        <v>5100103</v>
      </c>
      <c r="H137" s="6">
        <f t="shared" si="328"/>
        <v>100</v>
      </c>
      <c r="I137" s="6">
        <f t="shared" si="329"/>
        <v>5100104</v>
      </c>
      <c r="J137" s="6">
        <f t="shared" si="330"/>
        <v>100</v>
      </c>
      <c r="K137" s="6">
        <f t="shared" si="331"/>
        <v>5100105</v>
      </c>
      <c r="L137" s="6">
        <f t="shared" si="332"/>
        <v>100</v>
      </c>
      <c r="M137" s="6">
        <f t="shared" si="333"/>
        <v>5100106</v>
      </c>
      <c r="N137" s="6">
        <f t="shared" si="334"/>
        <v>100</v>
      </c>
      <c r="O137" s="6">
        <f t="shared" si="335"/>
        <v>5100207</v>
      </c>
      <c r="P137" s="6">
        <f t="shared" si="336"/>
        <v>50</v>
      </c>
      <c r="Q137" s="6">
        <f t="shared" si="337"/>
        <v>5100208</v>
      </c>
      <c r="R137" s="6">
        <f t="shared" si="338"/>
        <v>50</v>
      </c>
      <c r="S137" s="6">
        <f t="shared" si="339"/>
        <v>5100309</v>
      </c>
      <c r="T137" s="6">
        <f t="shared" si="340"/>
        <v>50</v>
      </c>
      <c r="U137" s="6">
        <f t="shared" si="341"/>
        <v>5100310</v>
      </c>
      <c r="V137" s="6">
        <f t="shared" si="342"/>
        <v>50</v>
      </c>
      <c r="W137" s="6">
        <f t="shared" si="343"/>
        <v>5100411</v>
      </c>
      <c r="X137" s="6">
        <f t="shared" si="344"/>
        <v>100</v>
      </c>
      <c r="Y137" s="6">
        <f t="shared" si="345"/>
        <v>5100512</v>
      </c>
      <c r="Z137" s="6">
        <f t="shared" si="346"/>
        <v>100</v>
      </c>
      <c r="AA137" s="6">
        <f t="shared" si="347"/>
        <v>5100613</v>
      </c>
      <c r="AB137" s="6">
        <f t="shared" si="348"/>
        <v>100</v>
      </c>
    </row>
    <row r="138" spans="1:28" ht="12" customHeight="1">
      <c r="A138" s="134">
        <v>200117</v>
      </c>
      <c r="B138" s="54" t="s">
        <v>1467</v>
      </c>
      <c r="C138" s="6">
        <f t="shared" si="323"/>
        <v>5110101</v>
      </c>
      <c r="D138" s="6">
        <f t="shared" si="324"/>
        <v>100</v>
      </c>
      <c r="E138" s="6">
        <f t="shared" si="325"/>
        <v>5110102</v>
      </c>
      <c r="F138" s="6">
        <f t="shared" si="326"/>
        <v>100</v>
      </c>
      <c r="G138" s="6">
        <f t="shared" si="327"/>
        <v>5110103</v>
      </c>
      <c r="H138" s="6">
        <f t="shared" si="328"/>
        <v>100</v>
      </c>
      <c r="I138" s="6">
        <f t="shared" si="329"/>
        <v>5110104</v>
      </c>
      <c r="J138" s="6">
        <f t="shared" si="330"/>
        <v>100</v>
      </c>
      <c r="K138" s="6">
        <f t="shared" si="331"/>
        <v>5110105</v>
      </c>
      <c r="L138" s="6">
        <f t="shared" si="332"/>
        <v>100</v>
      </c>
      <c r="M138" s="6">
        <f t="shared" si="333"/>
        <v>5110106</v>
      </c>
      <c r="N138" s="6">
        <f t="shared" si="334"/>
        <v>100</v>
      </c>
      <c r="O138" s="6">
        <f t="shared" si="335"/>
        <v>5110207</v>
      </c>
      <c r="P138" s="6">
        <f t="shared" si="336"/>
        <v>50</v>
      </c>
      <c r="Q138" s="6">
        <f t="shared" si="337"/>
        <v>5110208</v>
      </c>
      <c r="R138" s="6">
        <f t="shared" si="338"/>
        <v>50</v>
      </c>
      <c r="S138" s="6">
        <f t="shared" si="339"/>
        <v>5110309</v>
      </c>
      <c r="T138" s="6">
        <f t="shared" si="340"/>
        <v>50</v>
      </c>
      <c r="U138" s="6">
        <f t="shared" si="341"/>
        <v>5110310</v>
      </c>
      <c r="V138" s="6">
        <f t="shared" si="342"/>
        <v>50</v>
      </c>
      <c r="W138" s="6">
        <f t="shared" si="343"/>
        <v>5110411</v>
      </c>
      <c r="X138" s="6">
        <f t="shared" si="344"/>
        <v>100</v>
      </c>
      <c r="Y138" s="6">
        <f t="shared" si="345"/>
        <v>5110512</v>
      </c>
      <c r="Z138" s="6">
        <f t="shared" si="346"/>
        <v>100</v>
      </c>
      <c r="AA138" s="6">
        <f t="shared" si="347"/>
        <v>5110613</v>
      </c>
      <c r="AB138" s="6">
        <f t="shared" si="348"/>
        <v>100</v>
      </c>
    </row>
    <row r="139" spans="1:28" ht="12" customHeight="1">
      <c r="A139" s="134">
        <v>200118</v>
      </c>
      <c r="B139" s="54" t="s">
        <v>1468</v>
      </c>
      <c r="C139" s="6">
        <f t="shared" si="323"/>
        <v>5120101</v>
      </c>
      <c r="D139" s="6">
        <f t="shared" si="324"/>
        <v>100</v>
      </c>
      <c r="E139" s="6">
        <f t="shared" si="325"/>
        <v>5120102</v>
      </c>
      <c r="F139" s="6">
        <f t="shared" si="326"/>
        <v>100</v>
      </c>
      <c r="G139" s="6">
        <f t="shared" si="327"/>
        <v>5120103</v>
      </c>
      <c r="H139" s="6">
        <f t="shared" si="328"/>
        <v>100</v>
      </c>
      <c r="I139" s="6">
        <f t="shared" si="329"/>
        <v>5120104</v>
      </c>
      <c r="J139" s="6">
        <f t="shared" si="330"/>
        <v>100</v>
      </c>
      <c r="K139" s="6">
        <f t="shared" si="331"/>
        <v>5120105</v>
      </c>
      <c r="L139" s="6">
        <f t="shared" si="332"/>
        <v>100</v>
      </c>
      <c r="M139" s="6">
        <f t="shared" si="333"/>
        <v>5120106</v>
      </c>
      <c r="N139" s="6">
        <f t="shared" si="334"/>
        <v>100</v>
      </c>
      <c r="O139" s="6">
        <f t="shared" si="335"/>
        <v>5120207</v>
      </c>
      <c r="P139" s="6">
        <f t="shared" si="336"/>
        <v>50</v>
      </c>
      <c r="Q139" s="6">
        <f t="shared" si="337"/>
        <v>5120208</v>
      </c>
      <c r="R139" s="6">
        <f t="shared" si="338"/>
        <v>50</v>
      </c>
      <c r="S139" s="6">
        <f t="shared" si="339"/>
        <v>5120309</v>
      </c>
      <c r="T139" s="6">
        <f t="shared" si="340"/>
        <v>50</v>
      </c>
      <c r="U139" s="6">
        <f t="shared" si="341"/>
        <v>5120310</v>
      </c>
      <c r="V139" s="6">
        <f t="shared" si="342"/>
        <v>50</v>
      </c>
      <c r="W139" s="6">
        <f t="shared" si="343"/>
        <v>5120411</v>
      </c>
      <c r="X139" s="6">
        <f t="shared" si="344"/>
        <v>100</v>
      </c>
      <c r="Y139" s="6">
        <f t="shared" si="345"/>
        <v>5120512</v>
      </c>
      <c r="Z139" s="6">
        <f t="shared" si="346"/>
        <v>100</v>
      </c>
      <c r="AA139" s="6">
        <f t="shared" si="347"/>
        <v>5120613</v>
      </c>
      <c r="AB139" s="6">
        <f t="shared" si="348"/>
        <v>100</v>
      </c>
    </row>
    <row r="140" spans="1:28" ht="12" customHeight="1">
      <c r="A140" s="134">
        <v>200119</v>
      </c>
      <c r="B140" s="54" t="s">
        <v>1469</v>
      </c>
      <c r="C140" s="6">
        <f t="shared" si="323"/>
        <v>5130101</v>
      </c>
      <c r="D140" s="6">
        <f t="shared" si="324"/>
        <v>100</v>
      </c>
      <c r="E140" s="6">
        <f t="shared" si="325"/>
        <v>5130102</v>
      </c>
      <c r="F140" s="6">
        <f t="shared" si="326"/>
        <v>100</v>
      </c>
      <c r="G140" s="6">
        <f t="shared" si="327"/>
        <v>5130103</v>
      </c>
      <c r="H140" s="6">
        <f t="shared" si="328"/>
        <v>100</v>
      </c>
      <c r="I140" s="6">
        <f t="shared" si="329"/>
        <v>5130104</v>
      </c>
      <c r="J140" s="6">
        <f t="shared" si="330"/>
        <v>100</v>
      </c>
      <c r="K140" s="6">
        <f t="shared" si="331"/>
        <v>5130105</v>
      </c>
      <c r="L140" s="6">
        <f t="shared" si="332"/>
        <v>100</v>
      </c>
      <c r="M140" s="6">
        <f t="shared" si="333"/>
        <v>5130106</v>
      </c>
      <c r="N140" s="6">
        <f t="shared" si="334"/>
        <v>100</v>
      </c>
      <c r="O140" s="6">
        <f t="shared" si="335"/>
        <v>5130207</v>
      </c>
      <c r="P140" s="6">
        <f t="shared" si="336"/>
        <v>50</v>
      </c>
      <c r="Q140" s="6">
        <f t="shared" si="337"/>
        <v>5130208</v>
      </c>
      <c r="R140" s="6">
        <f t="shared" si="338"/>
        <v>50</v>
      </c>
      <c r="S140" s="6">
        <f t="shared" si="339"/>
        <v>5130309</v>
      </c>
      <c r="T140" s="6">
        <f t="shared" si="340"/>
        <v>50</v>
      </c>
      <c r="U140" s="6">
        <f t="shared" si="341"/>
        <v>5130310</v>
      </c>
      <c r="V140" s="6">
        <f t="shared" si="342"/>
        <v>50</v>
      </c>
      <c r="W140" s="6">
        <f t="shared" si="343"/>
        <v>5130411</v>
      </c>
      <c r="X140" s="6">
        <f t="shared" si="344"/>
        <v>100</v>
      </c>
      <c r="Y140" s="6">
        <f t="shared" si="345"/>
        <v>5130512</v>
      </c>
      <c r="Z140" s="6">
        <f t="shared" si="346"/>
        <v>100</v>
      </c>
      <c r="AA140" s="6">
        <f t="shared" si="347"/>
        <v>5130613</v>
      </c>
      <c r="AB140" s="6">
        <f t="shared" si="348"/>
        <v>100</v>
      </c>
    </row>
    <row r="141" spans="1:28" ht="12" customHeight="1">
      <c r="A141" s="134">
        <v>200120</v>
      </c>
      <c r="B141" s="54" t="s">
        <v>1470</v>
      </c>
      <c r="C141" s="6">
        <f t="shared" si="323"/>
        <v>5140101</v>
      </c>
      <c r="D141" s="6">
        <f t="shared" si="324"/>
        <v>100</v>
      </c>
      <c r="E141" s="6">
        <f t="shared" si="325"/>
        <v>5140102</v>
      </c>
      <c r="F141" s="6">
        <f t="shared" si="326"/>
        <v>100</v>
      </c>
      <c r="G141" s="6">
        <f t="shared" si="327"/>
        <v>5140103</v>
      </c>
      <c r="H141" s="6">
        <f t="shared" si="328"/>
        <v>100</v>
      </c>
      <c r="I141" s="6">
        <f t="shared" si="329"/>
        <v>5140104</v>
      </c>
      <c r="J141" s="6">
        <f t="shared" si="330"/>
        <v>100</v>
      </c>
      <c r="K141" s="6">
        <f t="shared" si="331"/>
        <v>5140105</v>
      </c>
      <c r="L141" s="6">
        <f t="shared" si="332"/>
        <v>100</v>
      </c>
      <c r="M141" s="6">
        <f t="shared" si="333"/>
        <v>5140106</v>
      </c>
      <c r="N141" s="6">
        <f t="shared" si="334"/>
        <v>100</v>
      </c>
      <c r="O141" s="6">
        <f t="shared" si="335"/>
        <v>5140207</v>
      </c>
      <c r="P141" s="6">
        <f t="shared" si="336"/>
        <v>50</v>
      </c>
      <c r="Q141" s="6">
        <f t="shared" si="337"/>
        <v>5140208</v>
      </c>
      <c r="R141" s="6">
        <f t="shared" si="338"/>
        <v>50</v>
      </c>
      <c r="S141" s="6">
        <f t="shared" si="339"/>
        <v>5140309</v>
      </c>
      <c r="T141" s="6">
        <f t="shared" si="340"/>
        <v>50</v>
      </c>
      <c r="U141" s="6">
        <f t="shared" si="341"/>
        <v>5140310</v>
      </c>
      <c r="V141" s="6">
        <f t="shared" si="342"/>
        <v>50</v>
      </c>
      <c r="W141" s="6">
        <f t="shared" si="343"/>
        <v>5140411</v>
      </c>
      <c r="X141" s="6">
        <f t="shared" si="344"/>
        <v>100</v>
      </c>
      <c r="Y141" s="6">
        <f t="shared" si="345"/>
        <v>5140512</v>
      </c>
      <c r="Z141" s="6">
        <f t="shared" si="346"/>
        <v>100</v>
      </c>
      <c r="AA141" s="6">
        <f t="shared" si="347"/>
        <v>5140613</v>
      </c>
      <c r="AB141" s="6">
        <f t="shared" si="348"/>
        <v>100</v>
      </c>
    </row>
    <row r="142" spans="1:28" ht="12" customHeight="1">
      <c r="A142" s="134">
        <v>200121</v>
      </c>
      <c r="B142" s="54" t="s">
        <v>1471</v>
      </c>
      <c r="C142" s="6">
        <f t="shared" si="323"/>
        <v>5150101</v>
      </c>
      <c r="D142" s="6">
        <f t="shared" si="324"/>
        <v>100</v>
      </c>
      <c r="E142" s="6">
        <f t="shared" si="325"/>
        <v>5150102</v>
      </c>
      <c r="F142" s="6">
        <f t="shared" si="326"/>
        <v>100</v>
      </c>
      <c r="G142" s="6">
        <f t="shared" si="327"/>
        <v>5150103</v>
      </c>
      <c r="H142" s="6">
        <f t="shared" si="328"/>
        <v>100</v>
      </c>
      <c r="I142" s="6">
        <f t="shared" si="329"/>
        <v>5150104</v>
      </c>
      <c r="J142" s="6">
        <f t="shared" si="330"/>
        <v>100</v>
      </c>
      <c r="K142" s="6">
        <f t="shared" si="331"/>
        <v>5150105</v>
      </c>
      <c r="L142" s="6">
        <f t="shared" si="332"/>
        <v>100</v>
      </c>
      <c r="M142" s="6">
        <f t="shared" si="333"/>
        <v>5150106</v>
      </c>
      <c r="N142" s="6">
        <f t="shared" si="334"/>
        <v>100</v>
      </c>
      <c r="O142" s="6">
        <f t="shared" si="335"/>
        <v>5150207</v>
      </c>
      <c r="P142" s="6">
        <f t="shared" si="336"/>
        <v>50</v>
      </c>
      <c r="Q142" s="6">
        <f t="shared" si="337"/>
        <v>5150208</v>
      </c>
      <c r="R142" s="6">
        <f t="shared" si="338"/>
        <v>50</v>
      </c>
      <c r="S142" s="6">
        <f t="shared" si="339"/>
        <v>5150309</v>
      </c>
      <c r="T142" s="6">
        <f t="shared" si="340"/>
        <v>50</v>
      </c>
      <c r="U142" s="6">
        <f t="shared" si="341"/>
        <v>5150310</v>
      </c>
      <c r="V142" s="6">
        <f t="shared" si="342"/>
        <v>50</v>
      </c>
      <c r="W142" s="6">
        <f t="shared" si="343"/>
        <v>5150411</v>
      </c>
      <c r="X142" s="6">
        <f t="shared" si="344"/>
        <v>100</v>
      </c>
      <c r="Y142" s="6">
        <f t="shared" si="345"/>
        <v>5150512</v>
      </c>
      <c r="Z142" s="6">
        <f t="shared" si="346"/>
        <v>100</v>
      </c>
      <c r="AA142" s="6">
        <f t="shared" si="347"/>
        <v>5150613</v>
      </c>
      <c r="AB142" s="6">
        <f t="shared" si="348"/>
        <v>100</v>
      </c>
    </row>
    <row r="143" spans="1:28" ht="12" customHeight="1">
      <c r="A143" s="134">
        <v>200122</v>
      </c>
      <c r="B143" s="55" t="s">
        <v>1472</v>
      </c>
      <c r="C143" s="6">
        <f t="shared" si="323"/>
        <v>6010101</v>
      </c>
      <c r="D143" s="6">
        <f t="shared" si="324"/>
        <v>100</v>
      </c>
      <c r="E143" s="6">
        <f t="shared" si="325"/>
        <v>6010102</v>
      </c>
      <c r="F143" s="6">
        <f t="shared" si="326"/>
        <v>100</v>
      </c>
      <c r="G143" s="6">
        <f t="shared" si="327"/>
        <v>6010103</v>
      </c>
      <c r="H143" s="6">
        <f t="shared" si="328"/>
        <v>100</v>
      </c>
      <c r="I143" s="6">
        <f t="shared" si="329"/>
        <v>6010104</v>
      </c>
      <c r="J143" s="6">
        <f t="shared" si="330"/>
        <v>100</v>
      </c>
      <c r="K143" s="6">
        <f t="shared" si="331"/>
        <v>6010105</v>
      </c>
      <c r="L143" s="6">
        <f t="shared" si="332"/>
        <v>100</v>
      </c>
      <c r="M143" s="6">
        <f t="shared" si="333"/>
        <v>6010106</v>
      </c>
      <c r="N143" s="6">
        <f t="shared" si="334"/>
        <v>100</v>
      </c>
      <c r="O143" s="6">
        <f t="shared" si="335"/>
        <v>6010207</v>
      </c>
      <c r="P143" s="6">
        <f t="shared" si="336"/>
        <v>50</v>
      </c>
      <c r="Q143" s="6">
        <f t="shared" si="337"/>
        <v>6010208</v>
      </c>
      <c r="R143" s="6">
        <f t="shared" si="338"/>
        <v>50</v>
      </c>
      <c r="S143" s="6">
        <f t="shared" si="339"/>
        <v>6010309</v>
      </c>
      <c r="T143" s="6">
        <f t="shared" si="340"/>
        <v>50</v>
      </c>
      <c r="U143" s="6">
        <f t="shared" si="341"/>
        <v>6010310</v>
      </c>
      <c r="V143" s="6">
        <f t="shared" si="342"/>
        <v>50</v>
      </c>
      <c r="W143" s="6">
        <f t="shared" si="343"/>
        <v>6010411</v>
      </c>
      <c r="X143" s="6">
        <f t="shared" si="344"/>
        <v>100</v>
      </c>
      <c r="Y143" s="6">
        <f t="shared" si="345"/>
        <v>6010512</v>
      </c>
      <c r="Z143" s="6">
        <f t="shared" si="346"/>
        <v>100</v>
      </c>
      <c r="AA143" s="6">
        <f t="shared" si="347"/>
        <v>6010613</v>
      </c>
      <c r="AB143" s="6">
        <f t="shared" si="348"/>
        <v>100</v>
      </c>
    </row>
    <row r="144" spans="1:28" ht="12" customHeight="1">
      <c r="A144" s="134">
        <v>200123</v>
      </c>
      <c r="B144" s="55" t="s">
        <v>1473</v>
      </c>
      <c r="C144" s="6">
        <f t="shared" si="323"/>
        <v>6020101</v>
      </c>
      <c r="D144" s="6">
        <f t="shared" si="324"/>
        <v>100</v>
      </c>
      <c r="E144" s="6">
        <f t="shared" si="325"/>
        <v>6020102</v>
      </c>
      <c r="F144" s="6">
        <f t="shared" si="326"/>
        <v>100</v>
      </c>
      <c r="G144" s="6">
        <f t="shared" si="327"/>
        <v>6020103</v>
      </c>
      <c r="H144" s="6">
        <f t="shared" si="328"/>
        <v>100</v>
      </c>
      <c r="I144" s="6">
        <f t="shared" si="329"/>
        <v>6020104</v>
      </c>
      <c r="J144" s="6">
        <f t="shared" si="330"/>
        <v>100</v>
      </c>
      <c r="K144" s="6">
        <f t="shared" si="331"/>
        <v>6020105</v>
      </c>
      <c r="L144" s="6">
        <f t="shared" si="332"/>
        <v>100</v>
      </c>
      <c r="M144" s="6">
        <f t="shared" si="333"/>
        <v>6020106</v>
      </c>
      <c r="N144" s="6">
        <f t="shared" si="334"/>
        <v>100</v>
      </c>
      <c r="O144" s="6">
        <f t="shared" si="335"/>
        <v>6020207</v>
      </c>
      <c r="P144" s="6">
        <f t="shared" si="336"/>
        <v>50</v>
      </c>
      <c r="Q144" s="6">
        <f t="shared" si="337"/>
        <v>6020208</v>
      </c>
      <c r="R144" s="6">
        <f t="shared" si="338"/>
        <v>50</v>
      </c>
      <c r="S144" s="6">
        <f t="shared" si="339"/>
        <v>6020309</v>
      </c>
      <c r="T144" s="6">
        <f t="shared" si="340"/>
        <v>50</v>
      </c>
      <c r="U144" s="6">
        <f t="shared" si="341"/>
        <v>6020310</v>
      </c>
      <c r="V144" s="6">
        <f t="shared" si="342"/>
        <v>50</v>
      </c>
      <c r="W144" s="6">
        <f t="shared" si="343"/>
        <v>6020411</v>
      </c>
      <c r="X144" s="6">
        <f t="shared" si="344"/>
        <v>100</v>
      </c>
      <c r="Y144" s="6">
        <f t="shared" si="345"/>
        <v>6020512</v>
      </c>
      <c r="Z144" s="6">
        <f t="shared" si="346"/>
        <v>100</v>
      </c>
      <c r="AA144" s="6">
        <f t="shared" si="347"/>
        <v>6020613</v>
      </c>
      <c r="AB144" s="6">
        <f t="shared" si="348"/>
        <v>100</v>
      </c>
    </row>
    <row r="145" spans="1:28" ht="12" customHeight="1">
      <c r="A145" s="134">
        <v>200124</v>
      </c>
      <c r="B145" s="55" t="s">
        <v>1474</v>
      </c>
      <c r="C145" s="6">
        <f t="shared" si="323"/>
        <v>6030101</v>
      </c>
      <c r="D145" s="6">
        <f t="shared" si="324"/>
        <v>100</v>
      </c>
      <c r="E145" s="6">
        <f t="shared" si="325"/>
        <v>6030102</v>
      </c>
      <c r="F145" s="6">
        <f t="shared" si="326"/>
        <v>100</v>
      </c>
      <c r="G145" s="6">
        <f t="shared" si="327"/>
        <v>6030103</v>
      </c>
      <c r="H145" s="6">
        <f t="shared" si="328"/>
        <v>100</v>
      </c>
      <c r="I145" s="6">
        <f t="shared" si="329"/>
        <v>6030104</v>
      </c>
      <c r="J145" s="6">
        <f t="shared" si="330"/>
        <v>100</v>
      </c>
      <c r="K145" s="6">
        <f t="shared" si="331"/>
        <v>6030105</v>
      </c>
      <c r="L145" s="6">
        <f t="shared" si="332"/>
        <v>100</v>
      </c>
      <c r="M145" s="6">
        <f t="shared" si="333"/>
        <v>6030106</v>
      </c>
      <c r="N145" s="6">
        <f t="shared" si="334"/>
        <v>100</v>
      </c>
      <c r="O145" s="6">
        <f t="shared" si="335"/>
        <v>6030207</v>
      </c>
      <c r="P145" s="6">
        <f t="shared" si="336"/>
        <v>50</v>
      </c>
      <c r="Q145" s="6">
        <f t="shared" si="337"/>
        <v>6030208</v>
      </c>
      <c r="R145" s="6">
        <f t="shared" si="338"/>
        <v>50</v>
      </c>
      <c r="S145" s="6">
        <f t="shared" si="339"/>
        <v>6030309</v>
      </c>
      <c r="T145" s="6">
        <f t="shared" si="340"/>
        <v>50</v>
      </c>
      <c r="U145" s="6">
        <f t="shared" si="341"/>
        <v>6030310</v>
      </c>
      <c r="V145" s="6">
        <f t="shared" si="342"/>
        <v>50</v>
      </c>
      <c r="W145" s="6">
        <f t="shared" si="343"/>
        <v>6030411</v>
      </c>
      <c r="X145" s="6">
        <f t="shared" si="344"/>
        <v>100</v>
      </c>
      <c r="Y145" s="6">
        <f t="shared" si="345"/>
        <v>6030512</v>
      </c>
      <c r="Z145" s="6">
        <f t="shared" si="346"/>
        <v>100</v>
      </c>
      <c r="AA145" s="6">
        <f t="shared" si="347"/>
        <v>6030613</v>
      </c>
      <c r="AB145" s="6">
        <f t="shared" si="348"/>
        <v>100</v>
      </c>
    </row>
    <row r="146" spans="1:28" ht="12" customHeight="1">
      <c r="A146" s="134">
        <v>200125</v>
      </c>
      <c r="B146" s="55" t="s">
        <v>1475</v>
      </c>
      <c r="C146" s="6">
        <f t="shared" si="323"/>
        <v>6040101</v>
      </c>
      <c r="D146" s="6">
        <f t="shared" si="324"/>
        <v>100</v>
      </c>
      <c r="E146" s="6">
        <f t="shared" si="325"/>
        <v>6040102</v>
      </c>
      <c r="F146" s="6">
        <f t="shared" si="326"/>
        <v>100</v>
      </c>
      <c r="G146" s="6">
        <f t="shared" si="327"/>
        <v>6040103</v>
      </c>
      <c r="H146" s="6">
        <f t="shared" si="328"/>
        <v>100</v>
      </c>
      <c r="I146" s="6">
        <f t="shared" si="329"/>
        <v>6040104</v>
      </c>
      <c r="J146" s="6">
        <f t="shared" si="330"/>
        <v>100</v>
      </c>
      <c r="K146" s="6">
        <f t="shared" si="331"/>
        <v>6040105</v>
      </c>
      <c r="L146" s="6">
        <f t="shared" si="332"/>
        <v>100</v>
      </c>
      <c r="M146" s="6">
        <f t="shared" si="333"/>
        <v>6040106</v>
      </c>
      <c r="N146" s="6">
        <f t="shared" si="334"/>
        <v>100</v>
      </c>
      <c r="O146" s="6">
        <f t="shared" si="335"/>
        <v>6040207</v>
      </c>
      <c r="P146" s="6">
        <f t="shared" si="336"/>
        <v>50</v>
      </c>
      <c r="Q146" s="6">
        <f t="shared" si="337"/>
        <v>6040208</v>
      </c>
      <c r="R146" s="6">
        <f t="shared" si="338"/>
        <v>50</v>
      </c>
      <c r="S146" s="6">
        <f t="shared" si="339"/>
        <v>6040309</v>
      </c>
      <c r="T146" s="6">
        <f t="shared" si="340"/>
        <v>50</v>
      </c>
      <c r="U146" s="6">
        <f t="shared" si="341"/>
        <v>6040310</v>
      </c>
      <c r="V146" s="6">
        <f t="shared" si="342"/>
        <v>50</v>
      </c>
      <c r="W146" s="6">
        <f t="shared" si="343"/>
        <v>6040411</v>
      </c>
      <c r="X146" s="6">
        <f t="shared" si="344"/>
        <v>100</v>
      </c>
      <c r="Y146" s="6">
        <f t="shared" si="345"/>
        <v>6040512</v>
      </c>
      <c r="Z146" s="6">
        <f t="shared" si="346"/>
        <v>100</v>
      </c>
      <c r="AA146" s="6">
        <f t="shared" si="347"/>
        <v>6040613</v>
      </c>
      <c r="AB146" s="6">
        <f t="shared" si="348"/>
        <v>100</v>
      </c>
    </row>
    <row r="147" spans="1:28" ht="12" customHeight="1">
      <c r="A147" s="134">
        <v>200126</v>
      </c>
      <c r="B147" s="55" t="s">
        <v>1476</v>
      </c>
      <c r="C147" s="6">
        <f t="shared" si="323"/>
        <v>6050101</v>
      </c>
      <c r="D147" s="6">
        <f t="shared" si="324"/>
        <v>100</v>
      </c>
      <c r="E147" s="6">
        <f t="shared" si="325"/>
        <v>6050102</v>
      </c>
      <c r="F147" s="6">
        <f t="shared" si="326"/>
        <v>100</v>
      </c>
      <c r="G147" s="6">
        <f t="shared" si="327"/>
        <v>6050103</v>
      </c>
      <c r="H147" s="6">
        <f t="shared" si="328"/>
        <v>100</v>
      </c>
      <c r="I147" s="6">
        <f t="shared" si="329"/>
        <v>6050104</v>
      </c>
      <c r="J147" s="6">
        <f t="shared" si="330"/>
        <v>100</v>
      </c>
      <c r="K147" s="6">
        <f t="shared" si="331"/>
        <v>6050105</v>
      </c>
      <c r="L147" s="6">
        <f t="shared" si="332"/>
        <v>100</v>
      </c>
      <c r="M147" s="6">
        <f t="shared" si="333"/>
        <v>6050106</v>
      </c>
      <c r="N147" s="6">
        <f t="shared" si="334"/>
        <v>100</v>
      </c>
      <c r="O147" s="6">
        <f t="shared" si="335"/>
        <v>6050207</v>
      </c>
      <c r="P147" s="6">
        <f t="shared" si="336"/>
        <v>50</v>
      </c>
      <c r="Q147" s="6">
        <f t="shared" si="337"/>
        <v>6050208</v>
      </c>
      <c r="R147" s="6">
        <f t="shared" si="338"/>
        <v>50</v>
      </c>
      <c r="S147" s="6">
        <f t="shared" si="339"/>
        <v>6050309</v>
      </c>
      <c r="T147" s="6">
        <f t="shared" si="340"/>
        <v>50</v>
      </c>
      <c r="U147" s="6">
        <f t="shared" si="341"/>
        <v>6050310</v>
      </c>
      <c r="V147" s="6">
        <f t="shared" si="342"/>
        <v>50</v>
      </c>
      <c r="W147" s="6">
        <f t="shared" si="343"/>
        <v>6050411</v>
      </c>
      <c r="X147" s="6">
        <f t="shared" si="344"/>
        <v>100</v>
      </c>
      <c r="Y147" s="6">
        <f t="shared" si="345"/>
        <v>6050512</v>
      </c>
      <c r="Z147" s="6">
        <f t="shared" si="346"/>
        <v>100</v>
      </c>
      <c r="AA147" s="6">
        <f t="shared" si="347"/>
        <v>6050613</v>
      </c>
      <c r="AB147" s="6">
        <f t="shared" si="348"/>
        <v>100</v>
      </c>
    </row>
    <row r="148" spans="1:28" ht="12" customHeight="1">
      <c r="A148" s="134">
        <v>200127</v>
      </c>
      <c r="B148" s="55" t="s">
        <v>1477</v>
      </c>
      <c r="C148" s="6">
        <f t="shared" si="323"/>
        <v>6060101</v>
      </c>
      <c r="D148" s="6">
        <f t="shared" si="324"/>
        <v>100</v>
      </c>
      <c r="E148" s="6">
        <f t="shared" si="325"/>
        <v>6060102</v>
      </c>
      <c r="F148" s="6">
        <f t="shared" si="326"/>
        <v>100</v>
      </c>
      <c r="G148" s="6">
        <f t="shared" si="327"/>
        <v>6060103</v>
      </c>
      <c r="H148" s="6">
        <f t="shared" si="328"/>
        <v>100</v>
      </c>
      <c r="I148" s="6">
        <f t="shared" si="329"/>
        <v>6060104</v>
      </c>
      <c r="J148" s="6">
        <f t="shared" si="330"/>
        <v>100</v>
      </c>
      <c r="K148" s="6">
        <f t="shared" si="331"/>
        <v>6060105</v>
      </c>
      <c r="L148" s="6">
        <f t="shared" si="332"/>
        <v>100</v>
      </c>
      <c r="M148" s="6">
        <f t="shared" si="333"/>
        <v>6060106</v>
      </c>
      <c r="N148" s="6">
        <f t="shared" si="334"/>
        <v>100</v>
      </c>
      <c r="O148" s="6">
        <f t="shared" si="335"/>
        <v>6060207</v>
      </c>
      <c r="P148" s="6">
        <f t="shared" si="336"/>
        <v>50</v>
      </c>
      <c r="Q148" s="6">
        <f t="shared" si="337"/>
        <v>6060208</v>
      </c>
      <c r="R148" s="6">
        <f t="shared" si="338"/>
        <v>50</v>
      </c>
      <c r="S148" s="6">
        <f t="shared" si="339"/>
        <v>6060309</v>
      </c>
      <c r="T148" s="6">
        <f t="shared" si="340"/>
        <v>50</v>
      </c>
      <c r="U148" s="6">
        <f t="shared" si="341"/>
        <v>6060310</v>
      </c>
      <c r="V148" s="6">
        <f t="shared" si="342"/>
        <v>50</v>
      </c>
      <c r="W148" s="6">
        <f t="shared" si="343"/>
        <v>6060411</v>
      </c>
      <c r="X148" s="6">
        <f t="shared" si="344"/>
        <v>100</v>
      </c>
      <c r="Y148" s="6">
        <f t="shared" si="345"/>
        <v>6060512</v>
      </c>
      <c r="Z148" s="6">
        <f t="shared" si="346"/>
        <v>100</v>
      </c>
      <c r="AA148" s="6">
        <f t="shared" si="347"/>
        <v>6060613</v>
      </c>
      <c r="AB148" s="6">
        <f t="shared" si="348"/>
        <v>100</v>
      </c>
    </row>
    <row r="149" spans="1:28" ht="12" customHeight="1">
      <c r="A149" s="134">
        <v>200128</v>
      </c>
      <c r="B149" s="55" t="s">
        <v>1478</v>
      </c>
      <c r="C149" s="6">
        <f t="shared" si="323"/>
        <v>6070101</v>
      </c>
      <c r="D149" s="6">
        <f t="shared" si="324"/>
        <v>100</v>
      </c>
      <c r="E149" s="6">
        <f t="shared" si="325"/>
        <v>6070102</v>
      </c>
      <c r="F149" s="6">
        <f t="shared" si="326"/>
        <v>100</v>
      </c>
      <c r="G149" s="6">
        <f t="shared" si="327"/>
        <v>6070103</v>
      </c>
      <c r="H149" s="6">
        <f t="shared" si="328"/>
        <v>100</v>
      </c>
      <c r="I149" s="6">
        <f t="shared" si="329"/>
        <v>6070104</v>
      </c>
      <c r="J149" s="6">
        <f t="shared" si="330"/>
        <v>100</v>
      </c>
      <c r="K149" s="6">
        <f t="shared" si="331"/>
        <v>6070105</v>
      </c>
      <c r="L149" s="6">
        <f t="shared" si="332"/>
        <v>100</v>
      </c>
      <c r="M149" s="6">
        <f t="shared" si="333"/>
        <v>6070106</v>
      </c>
      <c r="N149" s="6">
        <f t="shared" si="334"/>
        <v>100</v>
      </c>
      <c r="O149" s="6">
        <f t="shared" si="335"/>
        <v>6070207</v>
      </c>
      <c r="P149" s="6">
        <f t="shared" si="336"/>
        <v>50</v>
      </c>
      <c r="Q149" s="6">
        <f t="shared" si="337"/>
        <v>6070208</v>
      </c>
      <c r="R149" s="6">
        <f t="shared" si="338"/>
        <v>50</v>
      </c>
      <c r="S149" s="6">
        <f t="shared" si="339"/>
        <v>6070309</v>
      </c>
      <c r="T149" s="6">
        <f t="shared" si="340"/>
        <v>50</v>
      </c>
      <c r="U149" s="6">
        <f t="shared" si="341"/>
        <v>6070310</v>
      </c>
      <c r="V149" s="6">
        <f t="shared" si="342"/>
        <v>50</v>
      </c>
      <c r="W149" s="6">
        <f t="shared" si="343"/>
        <v>6070411</v>
      </c>
      <c r="X149" s="6">
        <f t="shared" si="344"/>
        <v>100</v>
      </c>
      <c r="Y149" s="6">
        <f t="shared" si="345"/>
        <v>6070512</v>
      </c>
      <c r="Z149" s="6">
        <f t="shared" si="346"/>
        <v>100</v>
      </c>
      <c r="AA149" s="6">
        <f t="shared" si="347"/>
        <v>6070613</v>
      </c>
      <c r="AB149" s="6">
        <f t="shared" si="348"/>
        <v>100</v>
      </c>
    </row>
    <row r="150" spans="1:28" ht="12" customHeight="1">
      <c r="A150" s="134">
        <v>200129</v>
      </c>
      <c r="B150" s="55" t="s">
        <v>1479</v>
      </c>
      <c r="C150" s="6">
        <f t="shared" si="323"/>
        <v>6080101</v>
      </c>
      <c r="D150" s="6">
        <f t="shared" si="324"/>
        <v>100</v>
      </c>
      <c r="E150" s="6">
        <f t="shared" si="325"/>
        <v>6080102</v>
      </c>
      <c r="F150" s="6">
        <f t="shared" si="326"/>
        <v>100</v>
      </c>
      <c r="G150" s="6">
        <f t="shared" si="327"/>
        <v>6080103</v>
      </c>
      <c r="H150" s="6">
        <f t="shared" si="328"/>
        <v>100</v>
      </c>
      <c r="I150" s="6">
        <f t="shared" si="329"/>
        <v>6080104</v>
      </c>
      <c r="J150" s="6">
        <f t="shared" si="330"/>
        <v>100</v>
      </c>
      <c r="K150" s="6">
        <f t="shared" si="331"/>
        <v>6080105</v>
      </c>
      <c r="L150" s="6">
        <f t="shared" si="332"/>
        <v>100</v>
      </c>
      <c r="M150" s="6">
        <f t="shared" si="333"/>
        <v>6080106</v>
      </c>
      <c r="N150" s="6">
        <f t="shared" si="334"/>
        <v>100</v>
      </c>
      <c r="O150" s="6">
        <f t="shared" si="335"/>
        <v>6080207</v>
      </c>
      <c r="P150" s="6">
        <f t="shared" si="336"/>
        <v>50</v>
      </c>
      <c r="Q150" s="6">
        <f t="shared" si="337"/>
        <v>6080208</v>
      </c>
      <c r="R150" s="6">
        <f t="shared" si="338"/>
        <v>50</v>
      </c>
      <c r="S150" s="6">
        <f t="shared" si="339"/>
        <v>6080309</v>
      </c>
      <c r="T150" s="6">
        <f t="shared" si="340"/>
        <v>50</v>
      </c>
      <c r="U150" s="6">
        <f t="shared" si="341"/>
        <v>6080310</v>
      </c>
      <c r="V150" s="6">
        <f t="shared" si="342"/>
        <v>50</v>
      </c>
      <c r="W150" s="6">
        <f t="shared" si="343"/>
        <v>6080411</v>
      </c>
      <c r="X150" s="6">
        <f t="shared" si="344"/>
        <v>100</v>
      </c>
      <c r="Y150" s="6">
        <f t="shared" si="345"/>
        <v>6080512</v>
      </c>
      <c r="Z150" s="6">
        <f t="shared" si="346"/>
        <v>100</v>
      </c>
      <c r="AA150" s="6">
        <f t="shared" si="347"/>
        <v>6080613</v>
      </c>
      <c r="AB150" s="6">
        <f t="shared" si="348"/>
        <v>100</v>
      </c>
    </row>
    <row r="151" spans="1:28" ht="12" customHeight="1">
      <c r="A151" s="134">
        <v>200130</v>
      </c>
      <c r="B151" s="55" t="s">
        <v>1480</v>
      </c>
      <c r="C151" s="6">
        <f t="shared" si="323"/>
        <v>6090101</v>
      </c>
      <c r="D151" s="6">
        <f t="shared" si="324"/>
        <v>100</v>
      </c>
      <c r="E151" s="6">
        <f t="shared" si="325"/>
        <v>6090102</v>
      </c>
      <c r="F151" s="6">
        <f t="shared" si="326"/>
        <v>100</v>
      </c>
      <c r="G151" s="6">
        <f t="shared" si="327"/>
        <v>6090103</v>
      </c>
      <c r="H151" s="6">
        <f t="shared" si="328"/>
        <v>100</v>
      </c>
      <c r="I151" s="6">
        <f t="shared" si="329"/>
        <v>6090104</v>
      </c>
      <c r="J151" s="6">
        <f t="shared" si="330"/>
        <v>100</v>
      </c>
      <c r="K151" s="6">
        <f t="shared" si="331"/>
        <v>6090105</v>
      </c>
      <c r="L151" s="6">
        <f t="shared" si="332"/>
        <v>100</v>
      </c>
      <c r="M151" s="6">
        <f t="shared" si="333"/>
        <v>6090106</v>
      </c>
      <c r="N151" s="6">
        <f t="shared" si="334"/>
        <v>100</v>
      </c>
      <c r="O151" s="6">
        <f t="shared" si="335"/>
        <v>6090207</v>
      </c>
      <c r="P151" s="6">
        <f t="shared" si="336"/>
        <v>50</v>
      </c>
      <c r="Q151" s="6">
        <f t="shared" si="337"/>
        <v>6090208</v>
      </c>
      <c r="R151" s="6">
        <f t="shared" si="338"/>
        <v>50</v>
      </c>
      <c r="S151" s="6">
        <f t="shared" si="339"/>
        <v>6090309</v>
      </c>
      <c r="T151" s="6">
        <f t="shared" si="340"/>
        <v>50</v>
      </c>
      <c r="U151" s="6">
        <f t="shared" si="341"/>
        <v>6090310</v>
      </c>
      <c r="V151" s="6">
        <f t="shared" si="342"/>
        <v>50</v>
      </c>
      <c r="W151" s="6">
        <f t="shared" si="343"/>
        <v>6090411</v>
      </c>
      <c r="X151" s="6">
        <f t="shared" si="344"/>
        <v>100</v>
      </c>
      <c r="Y151" s="6">
        <f t="shared" si="345"/>
        <v>6090512</v>
      </c>
      <c r="Z151" s="6">
        <f t="shared" si="346"/>
        <v>100</v>
      </c>
      <c r="AA151" s="6">
        <f t="shared" si="347"/>
        <v>6090613</v>
      </c>
      <c r="AB151" s="6">
        <f t="shared" si="348"/>
        <v>100</v>
      </c>
    </row>
    <row r="152" spans="1:28" ht="12" customHeight="1">
      <c r="A152" s="134">
        <v>200131</v>
      </c>
      <c r="B152" s="55" t="s">
        <v>1481</v>
      </c>
      <c r="C152" s="6">
        <f t="shared" si="323"/>
        <v>6100101</v>
      </c>
      <c r="D152" s="6">
        <f t="shared" si="324"/>
        <v>100</v>
      </c>
      <c r="E152" s="6">
        <f t="shared" si="325"/>
        <v>6100102</v>
      </c>
      <c r="F152" s="6">
        <f t="shared" si="326"/>
        <v>100</v>
      </c>
      <c r="G152" s="6">
        <f t="shared" si="327"/>
        <v>6100103</v>
      </c>
      <c r="H152" s="6">
        <f t="shared" si="328"/>
        <v>100</v>
      </c>
      <c r="I152" s="6">
        <f t="shared" si="329"/>
        <v>6100104</v>
      </c>
      <c r="J152" s="6">
        <f t="shared" si="330"/>
        <v>100</v>
      </c>
      <c r="K152" s="6">
        <f t="shared" si="331"/>
        <v>6100105</v>
      </c>
      <c r="L152" s="6">
        <f t="shared" si="332"/>
        <v>100</v>
      </c>
      <c r="M152" s="6">
        <f t="shared" si="333"/>
        <v>6100106</v>
      </c>
      <c r="N152" s="6">
        <f t="shared" si="334"/>
        <v>100</v>
      </c>
      <c r="O152" s="6">
        <f t="shared" si="335"/>
        <v>6100207</v>
      </c>
      <c r="P152" s="6">
        <f t="shared" si="336"/>
        <v>50</v>
      </c>
      <c r="Q152" s="6">
        <f t="shared" si="337"/>
        <v>6100208</v>
      </c>
      <c r="R152" s="6">
        <f t="shared" si="338"/>
        <v>50</v>
      </c>
      <c r="S152" s="6">
        <f t="shared" si="339"/>
        <v>6100309</v>
      </c>
      <c r="T152" s="6">
        <f t="shared" si="340"/>
        <v>50</v>
      </c>
      <c r="U152" s="6">
        <f t="shared" si="341"/>
        <v>6100310</v>
      </c>
      <c r="V152" s="6">
        <f t="shared" si="342"/>
        <v>50</v>
      </c>
      <c r="W152" s="6">
        <f t="shared" si="343"/>
        <v>6100411</v>
      </c>
      <c r="X152" s="6">
        <f t="shared" si="344"/>
        <v>100</v>
      </c>
      <c r="Y152" s="6">
        <f t="shared" si="345"/>
        <v>6100512</v>
      </c>
      <c r="Z152" s="6">
        <f t="shared" si="346"/>
        <v>100</v>
      </c>
      <c r="AA152" s="6">
        <f t="shared" si="347"/>
        <v>6100613</v>
      </c>
      <c r="AB152" s="6">
        <f t="shared" si="348"/>
        <v>100</v>
      </c>
    </row>
    <row r="153" spans="1:28" ht="12" customHeight="1">
      <c r="A153" s="134">
        <v>200132</v>
      </c>
      <c r="B153" s="55" t="s">
        <v>1482</v>
      </c>
      <c r="C153" s="6">
        <f t="shared" si="323"/>
        <v>6110101</v>
      </c>
      <c r="D153" s="6">
        <f t="shared" si="324"/>
        <v>100</v>
      </c>
      <c r="E153" s="6">
        <f t="shared" si="325"/>
        <v>6110102</v>
      </c>
      <c r="F153" s="6">
        <f t="shared" si="326"/>
        <v>100</v>
      </c>
      <c r="G153" s="6">
        <f t="shared" si="327"/>
        <v>6110103</v>
      </c>
      <c r="H153" s="6">
        <f t="shared" si="328"/>
        <v>100</v>
      </c>
      <c r="I153" s="6">
        <f t="shared" si="329"/>
        <v>6110104</v>
      </c>
      <c r="J153" s="6">
        <f t="shared" si="330"/>
        <v>100</v>
      </c>
      <c r="K153" s="6">
        <f t="shared" si="331"/>
        <v>6110105</v>
      </c>
      <c r="L153" s="6">
        <f t="shared" si="332"/>
        <v>100</v>
      </c>
      <c r="M153" s="6">
        <f t="shared" si="333"/>
        <v>6110106</v>
      </c>
      <c r="N153" s="6">
        <f t="shared" si="334"/>
        <v>100</v>
      </c>
      <c r="O153" s="6">
        <f t="shared" si="335"/>
        <v>6110207</v>
      </c>
      <c r="P153" s="6">
        <f t="shared" si="336"/>
        <v>50</v>
      </c>
      <c r="Q153" s="6">
        <f t="shared" si="337"/>
        <v>6110208</v>
      </c>
      <c r="R153" s="6">
        <f t="shared" si="338"/>
        <v>50</v>
      </c>
      <c r="S153" s="6">
        <f t="shared" si="339"/>
        <v>6110309</v>
      </c>
      <c r="T153" s="6">
        <f t="shared" si="340"/>
        <v>50</v>
      </c>
      <c r="U153" s="6">
        <f t="shared" si="341"/>
        <v>6110310</v>
      </c>
      <c r="V153" s="6">
        <f t="shared" si="342"/>
        <v>50</v>
      </c>
      <c r="W153" s="6">
        <f t="shared" si="343"/>
        <v>6110411</v>
      </c>
      <c r="X153" s="6">
        <f t="shared" si="344"/>
        <v>100</v>
      </c>
      <c r="Y153" s="6">
        <f t="shared" si="345"/>
        <v>6110512</v>
      </c>
      <c r="Z153" s="6">
        <f t="shared" si="346"/>
        <v>100</v>
      </c>
      <c r="AA153" s="6">
        <f t="shared" si="347"/>
        <v>6110613</v>
      </c>
      <c r="AB153" s="6">
        <f t="shared" si="348"/>
        <v>100</v>
      </c>
    </row>
    <row r="154" spans="1:28" ht="12" customHeight="1">
      <c r="A154" s="134">
        <v>200133</v>
      </c>
      <c r="B154" s="55" t="s">
        <v>1483</v>
      </c>
      <c r="C154" s="6">
        <f t="shared" si="323"/>
        <v>6120101</v>
      </c>
      <c r="D154" s="6">
        <f t="shared" si="324"/>
        <v>100</v>
      </c>
      <c r="E154" s="6">
        <f t="shared" si="325"/>
        <v>6120102</v>
      </c>
      <c r="F154" s="6">
        <f t="shared" si="326"/>
        <v>100</v>
      </c>
      <c r="G154" s="6">
        <f t="shared" si="327"/>
        <v>6120103</v>
      </c>
      <c r="H154" s="6">
        <f t="shared" si="328"/>
        <v>100</v>
      </c>
      <c r="I154" s="6">
        <f t="shared" si="329"/>
        <v>6120104</v>
      </c>
      <c r="J154" s="6">
        <f t="shared" si="330"/>
        <v>100</v>
      </c>
      <c r="K154" s="6">
        <f t="shared" si="331"/>
        <v>6120105</v>
      </c>
      <c r="L154" s="6">
        <f t="shared" si="332"/>
        <v>100</v>
      </c>
      <c r="M154" s="6">
        <f t="shared" si="333"/>
        <v>6120106</v>
      </c>
      <c r="N154" s="6">
        <f t="shared" si="334"/>
        <v>100</v>
      </c>
      <c r="O154" s="6">
        <f t="shared" si="335"/>
        <v>6120207</v>
      </c>
      <c r="P154" s="6">
        <f t="shared" si="336"/>
        <v>50</v>
      </c>
      <c r="Q154" s="6">
        <f t="shared" si="337"/>
        <v>6120208</v>
      </c>
      <c r="R154" s="6">
        <f t="shared" si="338"/>
        <v>50</v>
      </c>
      <c r="S154" s="6">
        <f t="shared" si="339"/>
        <v>6120309</v>
      </c>
      <c r="T154" s="6">
        <f t="shared" si="340"/>
        <v>50</v>
      </c>
      <c r="U154" s="6">
        <f t="shared" si="341"/>
        <v>6120310</v>
      </c>
      <c r="V154" s="6">
        <f t="shared" si="342"/>
        <v>50</v>
      </c>
      <c r="W154" s="6">
        <f t="shared" si="343"/>
        <v>6120411</v>
      </c>
      <c r="X154" s="6">
        <f t="shared" si="344"/>
        <v>100</v>
      </c>
      <c r="Y154" s="6">
        <f t="shared" si="345"/>
        <v>6120512</v>
      </c>
      <c r="Z154" s="6">
        <f t="shared" si="346"/>
        <v>100</v>
      </c>
      <c r="AA154" s="6">
        <f t="shared" si="347"/>
        <v>6120613</v>
      </c>
      <c r="AB154" s="6">
        <f t="shared" si="348"/>
        <v>100</v>
      </c>
    </row>
    <row r="155" spans="1:28" ht="12" customHeight="1">
      <c r="A155" s="134">
        <v>200134</v>
      </c>
      <c r="B155" s="55" t="s">
        <v>1484</v>
      </c>
      <c r="C155" s="6">
        <f t="shared" si="323"/>
        <v>6130101</v>
      </c>
      <c r="D155" s="6">
        <f t="shared" si="324"/>
        <v>100</v>
      </c>
      <c r="E155" s="6">
        <f t="shared" si="325"/>
        <v>6130102</v>
      </c>
      <c r="F155" s="6">
        <f t="shared" si="326"/>
        <v>100</v>
      </c>
      <c r="G155" s="6">
        <f t="shared" si="327"/>
        <v>6130103</v>
      </c>
      <c r="H155" s="6">
        <f t="shared" si="328"/>
        <v>100</v>
      </c>
      <c r="I155" s="6">
        <f t="shared" si="329"/>
        <v>6130104</v>
      </c>
      <c r="J155" s="6">
        <f t="shared" si="330"/>
        <v>100</v>
      </c>
      <c r="K155" s="6">
        <f t="shared" si="331"/>
        <v>6130105</v>
      </c>
      <c r="L155" s="6">
        <f t="shared" si="332"/>
        <v>100</v>
      </c>
      <c r="M155" s="6">
        <f t="shared" si="333"/>
        <v>6130106</v>
      </c>
      <c r="N155" s="6">
        <f t="shared" si="334"/>
        <v>100</v>
      </c>
      <c r="O155" s="6">
        <f t="shared" si="335"/>
        <v>6130207</v>
      </c>
      <c r="P155" s="6">
        <f t="shared" si="336"/>
        <v>50</v>
      </c>
      <c r="Q155" s="6">
        <f t="shared" si="337"/>
        <v>6130208</v>
      </c>
      <c r="R155" s="6">
        <f t="shared" si="338"/>
        <v>50</v>
      </c>
      <c r="S155" s="6">
        <f t="shared" si="339"/>
        <v>6130309</v>
      </c>
      <c r="T155" s="6">
        <f t="shared" si="340"/>
        <v>50</v>
      </c>
      <c r="U155" s="6">
        <f t="shared" si="341"/>
        <v>6130310</v>
      </c>
      <c r="V155" s="6">
        <f t="shared" si="342"/>
        <v>50</v>
      </c>
      <c r="W155" s="6">
        <f t="shared" si="343"/>
        <v>6130411</v>
      </c>
      <c r="X155" s="6">
        <f t="shared" si="344"/>
        <v>100</v>
      </c>
      <c r="Y155" s="6">
        <f t="shared" si="345"/>
        <v>6130512</v>
      </c>
      <c r="Z155" s="6">
        <f t="shared" si="346"/>
        <v>100</v>
      </c>
      <c r="AA155" s="6">
        <f t="shared" si="347"/>
        <v>6130613</v>
      </c>
      <c r="AB155" s="6">
        <f t="shared" si="348"/>
        <v>100</v>
      </c>
    </row>
    <row r="156" spans="1:28" ht="12" customHeight="1">
      <c r="A156" s="134">
        <v>200135</v>
      </c>
      <c r="B156" s="55" t="s">
        <v>1485</v>
      </c>
      <c r="C156" s="6">
        <f t="shared" si="323"/>
        <v>6140101</v>
      </c>
      <c r="D156" s="6">
        <f t="shared" si="324"/>
        <v>100</v>
      </c>
      <c r="E156" s="6">
        <f t="shared" si="325"/>
        <v>6140102</v>
      </c>
      <c r="F156" s="6">
        <f t="shared" si="326"/>
        <v>100</v>
      </c>
      <c r="G156" s="6">
        <f t="shared" si="327"/>
        <v>6140103</v>
      </c>
      <c r="H156" s="6">
        <f t="shared" si="328"/>
        <v>100</v>
      </c>
      <c r="I156" s="6">
        <f t="shared" si="329"/>
        <v>6140104</v>
      </c>
      <c r="J156" s="6">
        <f t="shared" si="330"/>
        <v>100</v>
      </c>
      <c r="K156" s="6">
        <f t="shared" si="331"/>
        <v>6140105</v>
      </c>
      <c r="L156" s="6">
        <f t="shared" si="332"/>
        <v>100</v>
      </c>
      <c r="M156" s="6">
        <f t="shared" si="333"/>
        <v>6140106</v>
      </c>
      <c r="N156" s="6">
        <f t="shared" si="334"/>
        <v>100</v>
      </c>
      <c r="O156" s="6">
        <f t="shared" si="335"/>
        <v>6140207</v>
      </c>
      <c r="P156" s="6">
        <f t="shared" si="336"/>
        <v>50</v>
      </c>
      <c r="Q156" s="6">
        <f t="shared" si="337"/>
        <v>6140208</v>
      </c>
      <c r="R156" s="6">
        <f t="shared" si="338"/>
        <v>50</v>
      </c>
      <c r="S156" s="6">
        <f t="shared" si="339"/>
        <v>6140309</v>
      </c>
      <c r="T156" s="6">
        <f t="shared" si="340"/>
        <v>50</v>
      </c>
      <c r="U156" s="6">
        <f t="shared" si="341"/>
        <v>6140310</v>
      </c>
      <c r="V156" s="6">
        <f t="shared" si="342"/>
        <v>50</v>
      </c>
      <c r="W156" s="6">
        <f t="shared" si="343"/>
        <v>6140411</v>
      </c>
      <c r="X156" s="6">
        <f t="shared" si="344"/>
        <v>100</v>
      </c>
      <c r="Y156" s="6">
        <f t="shared" si="345"/>
        <v>6140512</v>
      </c>
      <c r="Z156" s="6">
        <f t="shared" si="346"/>
        <v>100</v>
      </c>
      <c r="AA156" s="6">
        <f t="shared" si="347"/>
        <v>6140613</v>
      </c>
      <c r="AB156" s="6">
        <f t="shared" si="348"/>
        <v>100</v>
      </c>
    </row>
    <row r="157" spans="1:28" ht="12" customHeight="1">
      <c r="A157" s="134">
        <v>200136</v>
      </c>
      <c r="B157" s="55" t="s">
        <v>1486</v>
      </c>
      <c r="C157" s="6">
        <f t="shared" si="323"/>
        <v>6150101</v>
      </c>
      <c r="D157" s="6">
        <f t="shared" si="324"/>
        <v>100</v>
      </c>
      <c r="E157" s="6">
        <f t="shared" si="325"/>
        <v>6150102</v>
      </c>
      <c r="F157" s="6">
        <f t="shared" si="326"/>
        <v>100</v>
      </c>
      <c r="G157" s="6">
        <f t="shared" si="327"/>
        <v>6150103</v>
      </c>
      <c r="H157" s="6">
        <f t="shared" si="328"/>
        <v>100</v>
      </c>
      <c r="I157" s="6">
        <f t="shared" si="329"/>
        <v>6150104</v>
      </c>
      <c r="J157" s="6">
        <f t="shared" si="330"/>
        <v>100</v>
      </c>
      <c r="K157" s="6">
        <f t="shared" si="331"/>
        <v>6150105</v>
      </c>
      <c r="L157" s="6">
        <f t="shared" si="332"/>
        <v>100</v>
      </c>
      <c r="M157" s="6">
        <f t="shared" si="333"/>
        <v>6150106</v>
      </c>
      <c r="N157" s="6">
        <f t="shared" si="334"/>
        <v>100</v>
      </c>
      <c r="O157" s="6">
        <f t="shared" si="335"/>
        <v>6150207</v>
      </c>
      <c r="P157" s="6">
        <f t="shared" si="336"/>
        <v>50</v>
      </c>
      <c r="Q157" s="6">
        <f t="shared" si="337"/>
        <v>6150208</v>
      </c>
      <c r="R157" s="6">
        <f t="shared" si="338"/>
        <v>50</v>
      </c>
      <c r="S157" s="6">
        <f t="shared" si="339"/>
        <v>6150309</v>
      </c>
      <c r="T157" s="6">
        <f t="shared" si="340"/>
        <v>50</v>
      </c>
      <c r="U157" s="6">
        <f t="shared" si="341"/>
        <v>6150310</v>
      </c>
      <c r="V157" s="6">
        <f t="shared" si="342"/>
        <v>50</v>
      </c>
      <c r="W157" s="6">
        <f t="shared" si="343"/>
        <v>6150411</v>
      </c>
      <c r="X157" s="6">
        <f t="shared" si="344"/>
        <v>100</v>
      </c>
      <c r="Y157" s="6">
        <f t="shared" si="345"/>
        <v>6150512</v>
      </c>
      <c r="Z157" s="6">
        <f t="shared" si="346"/>
        <v>100</v>
      </c>
      <c r="AA157" s="6">
        <f t="shared" si="347"/>
        <v>6150613</v>
      </c>
      <c r="AB157" s="6">
        <f t="shared" si="348"/>
        <v>100</v>
      </c>
    </row>
    <row r="158" spans="1:28" ht="12" customHeight="1">
      <c r="A158" s="134">
        <v>200137</v>
      </c>
      <c r="B158" s="56" t="s">
        <v>1487</v>
      </c>
      <c r="C158" s="6">
        <f t="shared" si="323"/>
        <v>7010101</v>
      </c>
      <c r="D158" s="6">
        <f t="shared" si="324"/>
        <v>100</v>
      </c>
      <c r="E158" s="6">
        <f t="shared" si="325"/>
        <v>7010102</v>
      </c>
      <c r="F158" s="6">
        <f t="shared" si="326"/>
        <v>100</v>
      </c>
      <c r="G158" s="6">
        <f t="shared" si="327"/>
        <v>7010103</v>
      </c>
      <c r="H158" s="6">
        <f t="shared" si="328"/>
        <v>100</v>
      </c>
      <c r="I158" s="6">
        <f t="shared" si="329"/>
        <v>7010104</v>
      </c>
      <c r="J158" s="6">
        <f t="shared" si="330"/>
        <v>100</v>
      </c>
      <c r="K158" s="6">
        <f t="shared" si="331"/>
        <v>7010105</v>
      </c>
      <c r="L158" s="6">
        <f t="shared" si="332"/>
        <v>100</v>
      </c>
      <c r="M158" s="6">
        <f t="shared" si="333"/>
        <v>7010106</v>
      </c>
      <c r="N158" s="6">
        <f t="shared" si="334"/>
        <v>100</v>
      </c>
      <c r="O158" s="6">
        <f t="shared" si="335"/>
        <v>7010207</v>
      </c>
      <c r="P158" s="6">
        <f t="shared" si="336"/>
        <v>50</v>
      </c>
      <c r="Q158" s="6">
        <f t="shared" si="337"/>
        <v>7010208</v>
      </c>
      <c r="R158" s="6">
        <f t="shared" si="338"/>
        <v>50</v>
      </c>
      <c r="S158" s="6">
        <f t="shared" si="339"/>
        <v>7010309</v>
      </c>
      <c r="T158" s="6">
        <f t="shared" si="340"/>
        <v>50</v>
      </c>
      <c r="U158" s="6">
        <f t="shared" si="341"/>
        <v>7010310</v>
      </c>
      <c r="V158" s="6">
        <f t="shared" si="342"/>
        <v>50</v>
      </c>
      <c r="W158" s="6">
        <f t="shared" si="343"/>
        <v>7010411</v>
      </c>
      <c r="X158" s="6">
        <f t="shared" si="344"/>
        <v>100</v>
      </c>
      <c r="Y158" s="6">
        <f t="shared" si="345"/>
        <v>7010512</v>
      </c>
      <c r="Z158" s="6">
        <f t="shared" si="346"/>
        <v>100</v>
      </c>
      <c r="AA158" s="6">
        <f t="shared" si="347"/>
        <v>7010613</v>
      </c>
      <c r="AB158" s="6">
        <f t="shared" si="348"/>
        <v>100</v>
      </c>
    </row>
    <row r="159" spans="1:28" ht="12" customHeight="1">
      <c r="A159" s="134">
        <v>200138</v>
      </c>
      <c r="B159" s="56" t="s">
        <v>1488</v>
      </c>
      <c r="C159" s="6">
        <f t="shared" si="323"/>
        <v>7020101</v>
      </c>
      <c r="D159" s="6">
        <f t="shared" si="324"/>
        <v>100</v>
      </c>
      <c r="E159" s="6">
        <f t="shared" si="325"/>
        <v>7020102</v>
      </c>
      <c r="F159" s="6">
        <f t="shared" si="326"/>
        <v>100</v>
      </c>
      <c r="G159" s="6">
        <f t="shared" si="327"/>
        <v>7020103</v>
      </c>
      <c r="H159" s="6">
        <f t="shared" si="328"/>
        <v>100</v>
      </c>
      <c r="I159" s="6">
        <f t="shared" si="329"/>
        <v>7020104</v>
      </c>
      <c r="J159" s="6">
        <f t="shared" si="330"/>
        <v>100</v>
      </c>
      <c r="K159" s="6">
        <f t="shared" si="331"/>
        <v>7020105</v>
      </c>
      <c r="L159" s="6">
        <f t="shared" si="332"/>
        <v>100</v>
      </c>
      <c r="M159" s="6">
        <f t="shared" si="333"/>
        <v>7020106</v>
      </c>
      <c r="N159" s="6">
        <f t="shared" si="334"/>
        <v>100</v>
      </c>
      <c r="O159" s="6">
        <f t="shared" si="335"/>
        <v>7020207</v>
      </c>
      <c r="P159" s="6">
        <f t="shared" si="336"/>
        <v>50</v>
      </c>
      <c r="Q159" s="6">
        <f t="shared" si="337"/>
        <v>7020208</v>
      </c>
      <c r="R159" s="6">
        <f t="shared" si="338"/>
        <v>50</v>
      </c>
      <c r="S159" s="6">
        <f t="shared" si="339"/>
        <v>7020309</v>
      </c>
      <c r="T159" s="6">
        <f t="shared" si="340"/>
        <v>50</v>
      </c>
      <c r="U159" s="6">
        <f t="shared" si="341"/>
        <v>7020310</v>
      </c>
      <c r="V159" s="6">
        <f t="shared" si="342"/>
        <v>50</v>
      </c>
      <c r="W159" s="6">
        <f t="shared" si="343"/>
        <v>7020411</v>
      </c>
      <c r="X159" s="6">
        <f t="shared" si="344"/>
        <v>100</v>
      </c>
      <c r="Y159" s="6">
        <f t="shared" si="345"/>
        <v>7020512</v>
      </c>
      <c r="Z159" s="6">
        <f t="shared" si="346"/>
        <v>100</v>
      </c>
      <c r="AA159" s="6">
        <f t="shared" si="347"/>
        <v>7020613</v>
      </c>
      <c r="AB159" s="6">
        <f t="shared" si="348"/>
        <v>100</v>
      </c>
    </row>
    <row r="160" spans="1:28" ht="12" customHeight="1">
      <c r="A160" s="134">
        <v>200139</v>
      </c>
      <c r="B160" s="56" t="s">
        <v>1489</v>
      </c>
      <c r="C160" s="6">
        <f t="shared" si="323"/>
        <v>7030101</v>
      </c>
      <c r="D160" s="6">
        <f t="shared" si="324"/>
        <v>100</v>
      </c>
      <c r="E160" s="6">
        <f t="shared" si="325"/>
        <v>7030102</v>
      </c>
      <c r="F160" s="6">
        <f t="shared" si="326"/>
        <v>100</v>
      </c>
      <c r="G160" s="6">
        <f t="shared" si="327"/>
        <v>7030103</v>
      </c>
      <c r="H160" s="6">
        <f t="shared" si="328"/>
        <v>100</v>
      </c>
      <c r="I160" s="6">
        <f t="shared" si="329"/>
        <v>7030104</v>
      </c>
      <c r="J160" s="6">
        <f t="shared" si="330"/>
        <v>100</v>
      </c>
      <c r="K160" s="6">
        <f t="shared" si="331"/>
        <v>7030105</v>
      </c>
      <c r="L160" s="6">
        <f t="shared" si="332"/>
        <v>100</v>
      </c>
      <c r="M160" s="6">
        <f t="shared" si="333"/>
        <v>7030106</v>
      </c>
      <c r="N160" s="6">
        <f t="shared" si="334"/>
        <v>100</v>
      </c>
      <c r="O160" s="6">
        <f t="shared" si="335"/>
        <v>7030207</v>
      </c>
      <c r="P160" s="6">
        <f t="shared" si="336"/>
        <v>50</v>
      </c>
      <c r="Q160" s="6">
        <f t="shared" si="337"/>
        <v>7030208</v>
      </c>
      <c r="R160" s="6">
        <f t="shared" si="338"/>
        <v>50</v>
      </c>
      <c r="S160" s="6">
        <f t="shared" si="339"/>
        <v>7030309</v>
      </c>
      <c r="T160" s="6">
        <f t="shared" si="340"/>
        <v>50</v>
      </c>
      <c r="U160" s="6">
        <f t="shared" si="341"/>
        <v>7030310</v>
      </c>
      <c r="V160" s="6">
        <f t="shared" si="342"/>
        <v>50</v>
      </c>
      <c r="W160" s="6">
        <f t="shared" si="343"/>
        <v>7030411</v>
      </c>
      <c r="X160" s="6">
        <f t="shared" si="344"/>
        <v>100</v>
      </c>
      <c r="Y160" s="6">
        <f t="shared" si="345"/>
        <v>7030512</v>
      </c>
      <c r="Z160" s="6">
        <f t="shared" si="346"/>
        <v>100</v>
      </c>
      <c r="AA160" s="6">
        <f t="shared" si="347"/>
        <v>7030613</v>
      </c>
      <c r="AB160" s="6">
        <f t="shared" si="348"/>
        <v>100</v>
      </c>
    </row>
    <row r="161" spans="1:28" ht="12" customHeight="1">
      <c r="A161" s="134">
        <v>200140</v>
      </c>
      <c r="B161" s="56" t="s">
        <v>1490</v>
      </c>
      <c r="C161" s="6">
        <f t="shared" si="323"/>
        <v>7040101</v>
      </c>
      <c r="D161" s="6">
        <f t="shared" si="324"/>
        <v>100</v>
      </c>
      <c r="E161" s="6">
        <f t="shared" si="325"/>
        <v>7040102</v>
      </c>
      <c r="F161" s="6">
        <f t="shared" si="326"/>
        <v>100</v>
      </c>
      <c r="G161" s="6">
        <f t="shared" si="327"/>
        <v>7040103</v>
      </c>
      <c r="H161" s="6">
        <f t="shared" si="328"/>
        <v>100</v>
      </c>
      <c r="I161" s="6">
        <f t="shared" si="329"/>
        <v>7040104</v>
      </c>
      <c r="J161" s="6">
        <f t="shared" si="330"/>
        <v>100</v>
      </c>
      <c r="K161" s="6">
        <f t="shared" si="331"/>
        <v>7040105</v>
      </c>
      <c r="L161" s="6">
        <f t="shared" si="332"/>
        <v>100</v>
      </c>
      <c r="M161" s="6">
        <f t="shared" si="333"/>
        <v>7040106</v>
      </c>
      <c r="N161" s="6">
        <f t="shared" si="334"/>
        <v>100</v>
      </c>
      <c r="O161" s="6">
        <f t="shared" si="335"/>
        <v>7040207</v>
      </c>
      <c r="P161" s="6">
        <f t="shared" si="336"/>
        <v>50</v>
      </c>
      <c r="Q161" s="6">
        <f t="shared" si="337"/>
        <v>7040208</v>
      </c>
      <c r="R161" s="6">
        <f t="shared" si="338"/>
        <v>50</v>
      </c>
      <c r="S161" s="6">
        <f t="shared" si="339"/>
        <v>7040309</v>
      </c>
      <c r="T161" s="6">
        <f t="shared" si="340"/>
        <v>50</v>
      </c>
      <c r="U161" s="6">
        <f t="shared" si="341"/>
        <v>7040310</v>
      </c>
      <c r="V161" s="6">
        <f t="shared" si="342"/>
        <v>50</v>
      </c>
      <c r="W161" s="6">
        <f t="shared" si="343"/>
        <v>7040411</v>
      </c>
      <c r="X161" s="6">
        <f t="shared" si="344"/>
        <v>100</v>
      </c>
      <c r="Y161" s="6">
        <f t="shared" si="345"/>
        <v>7040512</v>
      </c>
      <c r="Z161" s="6">
        <f t="shared" si="346"/>
        <v>100</v>
      </c>
      <c r="AA161" s="6">
        <f t="shared" si="347"/>
        <v>7040613</v>
      </c>
      <c r="AB161" s="6">
        <f t="shared" si="348"/>
        <v>100</v>
      </c>
    </row>
    <row r="162" spans="1:28" ht="12" customHeight="1">
      <c r="A162" s="134">
        <v>200141</v>
      </c>
      <c r="B162" s="56" t="s">
        <v>1491</v>
      </c>
      <c r="C162" s="6">
        <f t="shared" ref="C162" si="349">C147+1000000</f>
        <v>7050101</v>
      </c>
      <c r="D162" s="6">
        <f t="shared" ref="D162" si="350">D147</f>
        <v>100</v>
      </c>
      <c r="E162" s="6">
        <f t="shared" ref="E162" si="351">E147+1000000</f>
        <v>7050102</v>
      </c>
      <c r="F162" s="6">
        <f t="shared" ref="F162" si="352">F147</f>
        <v>100</v>
      </c>
      <c r="G162" s="6">
        <f t="shared" ref="G162" si="353">G147+1000000</f>
        <v>7050103</v>
      </c>
      <c r="H162" s="6">
        <f t="shared" ref="H162" si="354">H147</f>
        <v>100</v>
      </c>
      <c r="I162" s="6">
        <f t="shared" ref="I162" si="355">I147+1000000</f>
        <v>7050104</v>
      </c>
      <c r="J162" s="6">
        <f t="shared" ref="J162" si="356">J147</f>
        <v>100</v>
      </c>
      <c r="K162" s="6">
        <f t="shared" ref="K162" si="357">K147+1000000</f>
        <v>7050105</v>
      </c>
      <c r="L162" s="6">
        <f t="shared" ref="L162" si="358">L147</f>
        <v>100</v>
      </c>
      <c r="M162" s="6">
        <f t="shared" ref="M162" si="359">M147+1000000</f>
        <v>7050106</v>
      </c>
      <c r="N162" s="6">
        <f t="shared" ref="N162" si="360">N147</f>
        <v>100</v>
      </c>
      <c r="O162" s="6">
        <f t="shared" ref="O162" si="361">O147+1000000</f>
        <v>7050207</v>
      </c>
      <c r="P162" s="6">
        <f t="shared" ref="P162" si="362">P147</f>
        <v>50</v>
      </c>
      <c r="Q162" s="6">
        <f t="shared" ref="Q162" si="363">Q147+1000000</f>
        <v>7050208</v>
      </c>
      <c r="R162" s="6">
        <f t="shared" ref="R162" si="364">R147</f>
        <v>50</v>
      </c>
      <c r="S162" s="6">
        <f t="shared" ref="S162" si="365">S147+1000000</f>
        <v>7050309</v>
      </c>
      <c r="T162" s="6">
        <f t="shared" ref="T162" si="366">T147</f>
        <v>50</v>
      </c>
      <c r="U162" s="6">
        <f t="shared" ref="U162" si="367">U147+1000000</f>
        <v>7050310</v>
      </c>
      <c r="V162" s="6">
        <f t="shared" ref="V162" si="368">V147</f>
        <v>50</v>
      </c>
      <c r="W162" s="6">
        <f t="shared" ref="W162" si="369">W147+1000000</f>
        <v>7050411</v>
      </c>
      <c r="X162" s="6">
        <f t="shared" ref="X162" si="370">X147</f>
        <v>100</v>
      </c>
      <c r="Y162" s="6">
        <f t="shared" ref="Y162" si="371">Y147+1000000</f>
        <v>7050512</v>
      </c>
      <c r="Z162" s="6">
        <f t="shared" ref="Z162" si="372">Z147</f>
        <v>100</v>
      </c>
      <c r="AA162" s="6">
        <f t="shared" ref="AA162" si="373">AA147+1000000</f>
        <v>7050613</v>
      </c>
      <c r="AB162" s="6">
        <f t="shared" ref="AB162" si="374">AB147</f>
        <v>100</v>
      </c>
    </row>
    <row r="163" spans="1:28" ht="12" customHeight="1">
      <c r="A163" s="134">
        <v>200142</v>
      </c>
      <c r="B163" s="56" t="s">
        <v>1492</v>
      </c>
      <c r="C163" s="6">
        <f t="shared" ref="C163:C187" si="375">C148+1000000</f>
        <v>7060101</v>
      </c>
      <c r="D163" s="6">
        <f t="shared" ref="D163:D187" si="376">D148</f>
        <v>100</v>
      </c>
      <c r="E163" s="6">
        <f t="shared" ref="E163:E187" si="377">E148+1000000</f>
        <v>7060102</v>
      </c>
      <c r="F163" s="6">
        <f t="shared" ref="F163:F187" si="378">F148</f>
        <v>100</v>
      </c>
      <c r="G163" s="6">
        <f t="shared" ref="G163:G187" si="379">G148+1000000</f>
        <v>7060103</v>
      </c>
      <c r="H163" s="6">
        <f t="shared" ref="H163:H187" si="380">H148</f>
        <v>100</v>
      </c>
      <c r="I163" s="6">
        <f t="shared" ref="I163:I187" si="381">I148+1000000</f>
        <v>7060104</v>
      </c>
      <c r="J163" s="6">
        <f t="shared" ref="J163:J187" si="382">J148</f>
        <v>100</v>
      </c>
      <c r="K163" s="6">
        <f t="shared" ref="K163:K187" si="383">K148+1000000</f>
        <v>7060105</v>
      </c>
      <c r="L163" s="6">
        <f t="shared" ref="L163:L187" si="384">L148</f>
        <v>100</v>
      </c>
      <c r="M163" s="6">
        <f t="shared" ref="M163:M187" si="385">M148+1000000</f>
        <v>7060106</v>
      </c>
      <c r="N163" s="6">
        <f t="shared" ref="N163:N187" si="386">N148</f>
        <v>100</v>
      </c>
      <c r="O163" s="6">
        <f t="shared" ref="O163:O187" si="387">O148+1000000</f>
        <v>7060207</v>
      </c>
      <c r="P163" s="6">
        <f t="shared" ref="P163:P187" si="388">P148</f>
        <v>50</v>
      </c>
      <c r="Q163" s="6">
        <f t="shared" ref="Q163:Q187" si="389">Q148+1000000</f>
        <v>7060208</v>
      </c>
      <c r="R163" s="6">
        <f t="shared" ref="R163:R187" si="390">R148</f>
        <v>50</v>
      </c>
      <c r="S163" s="6">
        <f t="shared" ref="S163:S187" si="391">S148+1000000</f>
        <v>7060309</v>
      </c>
      <c r="T163" s="6">
        <f t="shared" ref="T163:T187" si="392">T148</f>
        <v>50</v>
      </c>
      <c r="U163" s="6">
        <f t="shared" ref="U163:U187" si="393">U148+1000000</f>
        <v>7060310</v>
      </c>
      <c r="V163" s="6">
        <f t="shared" ref="V163:V187" si="394">V148</f>
        <v>50</v>
      </c>
      <c r="W163" s="6">
        <f t="shared" ref="W163:W187" si="395">W148+1000000</f>
        <v>7060411</v>
      </c>
      <c r="X163" s="6">
        <f t="shared" ref="X163:X187" si="396">X148</f>
        <v>100</v>
      </c>
      <c r="Y163" s="6">
        <f t="shared" ref="Y163:Y187" si="397">Y148+1000000</f>
        <v>7060512</v>
      </c>
      <c r="Z163" s="6">
        <f t="shared" ref="Z163:Z187" si="398">Z148</f>
        <v>100</v>
      </c>
      <c r="AA163" s="6">
        <f t="shared" ref="AA163:AA187" si="399">AA148+1000000</f>
        <v>7060613</v>
      </c>
      <c r="AB163" s="6">
        <f t="shared" ref="AB163:AB187" si="400">AB148</f>
        <v>100</v>
      </c>
    </row>
    <row r="164" spans="1:28" ht="12" customHeight="1">
      <c r="A164" s="134">
        <v>200143</v>
      </c>
      <c r="B164" s="56" t="s">
        <v>1493</v>
      </c>
      <c r="C164" s="6">
        <f t="shared" si="375"/>
        <v>7070101</v>
      </c>
      <c r="D164" s="6">
        <f t="shared" si="376"/>
        <v>100</v>
      </c>
      <c r="E164" s="6">
        <f t="shared" si="377"/>
        <v>7070102</v>
      </c>
      <c r="F164" s="6">
        <f t="shared" si="378"/>
        <v>100</v>
      </c>
      <c r="G164" s="6">
        <f t="shared" si="379"/>
        <v>7070103</v>
      </c>
      <c r="H164" s="6">
        <f t="shared" si="380"/>
        <v>100</v>
      </c>
      <c r="I164" s="6">
        <f t="shared" si="381"/>
        <v>7070104</v>
      </c>
      <c r="J164" s="6">
        <f t="shared" si="382"/>
        <v>100</v>
      </c>
      <c r="K164" s="6">
        <f t="shared" si="383"/>
        <v>7070105</v>
      </c>
      <c r="L164" s="6">
        <f t="shared" si="384"/>
        <v>100</v>
      </c>
      <c r="M164" s="6">
        <f t="shared" si="385"/>
        <v>7070106</v>
      </c>
      <c r="N164" s="6">
        <f t="shared" si="386"/>
        <v>100</v>
      </c>
      <c r="O164" s="6">
        <f t="shared" si="387"/>
        <v>7070207</v>
      </c>
      <c r="P164" s="6">
        <f t="shared" si="388"/>
        <v>50</v>
      </c>
      <c r="Q164" s="6">
        <f t="shared" si="389"/>
        <v>7070208</v>
      </c>
      <c r="R164" s="6">
        <f t="shared" si="390"/>
        <v>50</v>
      </c>
      <c r="S164" s="6">
        <f t="shared" si="391"/>
        <v>7070309</v>
      </c>
      <c r="T164" s="6">
        <f t="shared" si="392"/>
        <v>50</v>
      </c>
      <c r="U164" s="6">
        <f t="shared" si="393"/>
        <v>7070310</v>
      </c>
      <c r="V164" s="6">
        <f t="shared" si="394"/>
        <v>50</v>
      </c>
      <c r="W164" s="6">
        <f t="shared" si="395"/>
        <v>7070411</v>
      </c>
      <c r="X164" s="6">
        <f t="shared" si="396"/>
        <v>100</v>
      </c>
      <c r="Y164" s="6">
        <f t="shared" si="397"/>
        <v>7070512</v>
      </c>
      <c r="Z164" s="6">
        <f t="shared" si="398"/>
        <v>100</v>
      </c>
      <c r="AA164" s="6">
        <f t="shared" si="399"/>
        <v>7070613</v>
      </c>
      <c r="AB164" s="6">
        <f t="shared" si="400"/>
        <v>100</v>
      </c>
    </row>
    <row r="165" spans="1:28" ht="12" customHeight="1">
      <c r="A165" s="134">
        <v>200144</v>
      </c>
      <c r="B165" s="56" t="s">
        <v>1494</v>
      </c>
      <c r="C165" s="6">
        <f t="shared" si="375"/>
        <v>7080101</v>
      </c>
      <c r="D165" s="6">
        <f t="shared" si="376"/>
        <v>100</v>
      </c>
      <c r="E165" s="6">
        <f t="shared" si="377"/>
        <v>7080102</v>
      </c>
      <c r="F165" s="6">
        <f t="shared" si="378"/>
        <v>100</v>
      </c>
      <c r="G165" s="6">
        <f t="shared" si="379"/>
        <v>7080103</v>
      </c>
      <c r="H165" s="6">
        <f t="shared" si="380"/>
        <v>100</v>
      </c>
      <c r="I165" s="6">
        <f t="shared" si="381"/>
        <v>7080104</v>
      </c>
      <c r="J165" s="6">
        <f t="shared" si="382"/>
        <v>100</v>
      </c>
      <c r="K165" s="6">
        <f t="shared" si="383"/>
        <v>7080105</v>
      </c>
      <c r="L165" s="6">
        <f t="shared" si="384"/>
        <v>100</v>
      </c>
      <c r="M165" s="6">
        <f t="shared" si="385"/>
        <v>7080106</v>
      </c>
      <c r="N165" s="6">
        <f t="shared" si="386"/>
        <v>100</v>
      </c>
      <c r="O165" s="6">
        <f t="shared" si="387"/>
        <v>7080207</v>
      </c>
      <c r="P165" s="6">
        <f t="shared" si="388"/>
        <v>50</v>
      </c>
      <c r="Q165" s="6">
        <f t="shared" si="389"/>
        <v>7080208</v>
      </c>
      <c r="R165" s="6">
        <f t="shared" si="390"/>
        <v>50</v>
      </c>
      <c r="S165" s="6">
        <f t="shared" si="391"/>
        <v>7080309</v>
      </c>
      <c r="T165" s="6">
        <f t="shared" si="392"/>
        <v>50</v>
      </c>
      <c r="U165" s="6">
        <f t="shared" si="393"/>
        <v>7080310</v>
      </c>
      <c r="V165" s="6">
        <f t="shared" si="394"/>
        <v>50</v>
      </c>
      <c r="W165" s="6">
        <f t="shared" si="395"/>
        <v>7080411</v>
      </c>
      <c r="X165" s="6">
        <f t="shared" si="396"/>
        <v>100</v>
      </c>
      <c r="Y165" s="6">
        <f t="shared" si="397"/>
        <v>7080512</v>
      </c>
      <c r="Z165" s="6">
        <f t="shared" si="398"/>
        <v>100</v>
      </c>
      <c r="AA165" s="6">
        <f t="shared" si="399"/>
        <v>7080613</v>
      </c>
      <c r="AB165" s="6">
        <f t="shared" si="400"/>
        <v>100</v>
      </c>
    </row>
    <row r="166" spans="1:28" ht="12" customHeight="1">
      <c r="A166" s="134">
        <v>200145</v>
      </c>
      <c r="B166" s="56" t="s">
        <v>1495</v>
      </c>
      <c r="C166" s="6">
        <f t="shared" si="375"/>
        <v>7090101</v>
      </c>
      <c r="D166" s="6">
        <f t="shared" si="376"/>
        <v>100</v>
      </c>
      <c r="E166" s="6">
        <f t="shared" si="377"/>
        <v>7090102</v>
      </c>
      <c r="F166" s="6">
        <f t="shared" si="378"/>
        <v>100</v>
      </c>
      <c r="G166" s="6">
        <f t="shared" si="379"/>
        <v>7090103</v>
      </c>
      <c r="H166" s="6">
        <f t="shared" si="380"/>
        <v>100</v>
      </c>
      <c r="I166" s="6">
        <f t="shared" si="381"/>
        <v>7090104</v>
      </c>
      <c r="J166" s="6">
        <f t="shared" si="382"/>
        <v>100</v>
      </c>
      <c r="K166" s="6">
        <f t="shared" si="383"/>
        <v>7090105</v>
      </c>
      <c r="L166" s="6">
        <f t="shared" si="384"/>
        <v>100</v>
      </c>
      <c r="M166" s="6">
        <f t="shared" si="385"/>
        <v>7090106</v>
      </c>
      <c r="N166" s="6">
        <f t="shared" si="386"/>
        <v>100</v>
      </c>
      <c r="O166" s="6">
        <f t="shared" si="387"/>
        <v>7090207</v>
      </c>
      <c r="P166" s="6">
        <f t="shared" si="388"/>
        <v>50</v>
      </c>
      <c r="Q166" s="6">
        <f t="shared" si="389"/>
        <v>7090208</v>
      </c>
      <c r="R166" s="6">
        <f t="shared" si="390"/>
        <v>50</v>
      </c>
      <c r="S166" s="6">
        <f t="shared" si="391"/>
        <v>7090309</v>
      </c>
      <c r="T166" s="6">
        <f t="shared" si="392"/>
        <v>50</v>
      </c>
      <c r="U166" s="6">
        <f t="shared" si="393"/>
        <v>7090310</v>
      </c>
      <c r="V166" s="6">
        <f t="shared" si="394"/>
        <v>50</v>
      </c>
      <c r="W166" s="6">
        <f t="shared" si="395"/>
        <v>7090411</v>
      </c>
      <c r="X166" s="6">
        <f t="shared" si="396"/>
        <v>100</v>
      </c>
      <c r="Y166" s="6">
        <f t="shared" si="397"/>
        <v>7090512</v>
      </c>
      <c r="Z166" s="6">
        <f t="shared" si="398"/>
        <v>100</v>
      </c>
      <c r="AA166" s="6">
        <f t="shared" si="399"/>
        <v>7090613</v>
      </c>
      <c r="AB166" s="6">
        <f t="shared" si="400"/>
        <v>100</v>
      </c>
    </row>
    <row r="167" spans="1:28" ht="12" customHeight="1">
      <c r="A167" s="134">
        <v>200146</v>
      </c>
      <c r="B167" s="56" t="s">
        <v>1496</v>
      </c>
      <c r="C167" s="6">
        <f t="shared" si="375"/>
        <v>7100101</v>
      </c>
      <c r="D167" s="6">
        <f t="shared" si="376"/>
        <v>100</v>
      </c>
      <c r="E167" s="6">
        <f t="shared" si="377"/>
        <v>7100102</v>
      </c>
      <c r="F167" s="6">
        <f t="shared" si="378"/>
        <v>100</v>
      </c>
      <c r="G167" s="6">
        <f t="shared" si="379"/>
        <v>7100103</v>
      </c>
      <c r="H167" s="6">
        <f t="shared" si="380"/>
        <v>100</v>
      </c>
      <c r="I167" s="6">
        <f t="shared" si="381"/>
        <v>7100104</v>
      </c>
      <c r="J167" s="6">
        <f t="shared" si="382"/>
        <v>100</v>
      </c>
      <c r="K167" s="6">
        <f t="shared" si="383"/>
        <v>7100105</v>
      </c>
      <c r="L167" s="6">
        <f t="shared" si="384"/>
        <v>100</v>
      </c>
      <c r="M167" s="6">
        <f t="shared" si="385"/>
        <v>7100106</v>
      </c>
      <c r="N167" s="6">
        <f t="shared" si="386"/>
        <v>100</v>
      </c>
      <c r="O167" s="6">
        <f t="shared" si="387"/>
        <v>7100207</v>
      </c>
      <c r="P167" s="6">
        <f t="shared" si="388"/>
        <v>50</v>
      </c>
      <c r="Q167" s="6">
        <f t="shared" si="389"/>
        <v>7100208</v>
      </c>
      <c r="R167" s="6">
        <f t="shared" si="390"/>
        <v>50</v>
      </c>
      <c r="S167" s="6">
        <f t="shared" si="391"/>
        <v>7100309</v>
      </c>
      <c r="T167" s="6">
        <f t="shared" si="392"/>
        <v>50</v>
      </c>
      <c r="U167" s="6">
        <f t="shared" si="393"/>
        <v>7100310</v>
      </c>
      <c r="V167" s="6">
        <f t="shared" si="394"/>
        <v>50</v>
      </c>
      <c r="W167" s="6">
        <f t="shared" si="395"/>
        <v>7100411</v>
      </c>
      <c r="X167" s="6">
        <f t="shared" si="396"/>
        <v>100</v>
      </c>
      <c r="Y167" s="6">
        <f t="shared" si="397"/>
        <v>7100512</v>
      </c>
      <c r="Z167" s="6">
        <f t="shared" si="398"/>
        <v>100</v>
      </c>
      <c r="AA167" s="6">
        <f t="shared" si="399"/>
        <v>7100613</v>
      </c>
      <c r="AB167" s="6">
        <f t="shared" si="400"/>
        <v>100</v>
      </c>
    </row>
    <row r="168" spans="1:28" ht="12" customHeight="1">
      <c r="A168" s="134">
        <v>200147</v>
      </c>
      <c r="B168" s="56" t="s">
        <v>1497</v>
      </c>
      <c r="C168" s="6">
        <f t="shared" si="375"/>
        <v>7110101</v>
      </c>
      <c r="D168" s="6">
        <f t="shared" si="376"/>
        <v>100</v>
      </c>
      <c r="E168" s="6">
        <f t="shared" si="377"/>
        <v>7110102</v>
      </c>
      <c r="F168" s="6">
        <f t="shared" si="378"/>
        <v>100</v>
      </c>
      <c r="G168" s="6">
        <f t="shared" si="379"/>
        <v>7110103</v>
      </c>
      <c r="H168" s="6">
        <f t="shared" si="380"/>
        <v>100</v>
      </c>
      <c r="I168" s="6">
        <f t="shared" si="381"/>
        <v>7110104</v>
      </c>
      <c r="J168" s="6">
        <f t="shared" si="382"/>
        <v>100</v>
      </c>
      <c r="K168" s="6">
        <f t="shared" si="383"/>
        <v>7110105</v>
      </c>
      <c r="L168" s="6">
        <f t="shared" si="384"/>
        <v>100</v>
      </c>
      <c r="M168" s="6">
        <f t="shared" si="385"/>
        <v>7110106</v>
      </c>
      <c r="N168" s="6">
        <f t="shared" si="386"/>
        <v>100</v>
      </c>
      <c r="O168" s="6">
        <f t="shared" si="387"/>
        <v>7110207</v>
      </c>
      <c r="P168" s="6">
        <f t="shared" si="388"/>
        <v>50</v>
      </c>
      <c r="Q168" s="6">
        <f t="shared" si="389"/>
        <v>7110208</v>
      </c>
      <c r="R168" s="6">
        <f t="shared" si="390"/>
        <v>50</v>
      </c>
      <c r="S168" s="6">
        <f t="shared" si="391"/>
        <v>7110309</v>
      </c>
      <c r="T168" s="6">
        <f t="shared" si="392"/>
        <v>50</v>
      </c>
      <c r="U168" s="6">
        <f t="shared" si="393"/>
        <v>7110310</v>
      </c>
      <c r="V168" s="6">
        <f t="shared" si="394"/>
        <v>50</v>
      </c>
      <c r="W168" s="6">
        <f t="shared" si="395"/>
        <v>7110411</v>
      </c>
      <c r="X168" s="6">
        <f t="shared" si="396"/>
        <v>100</v>
      </c>
      <c r="Y168" s="6">
        <f t="shared" si="397"/>
        <v>7110512</v>
      </c>
      <c r="Z168" s="6">
        <f t="shared" si="398"/>
        <v>100</v>
      </c>
      <c r="AA168" s="6">
        <f t="shared" si="399"/>
        <v>7110613</v>
      </c>
      <c r="AB168" s="6">
        <f t="shared" si="400"/>
        <v>100</v>
      </c>
    </row>
    <row r="169" spans="1:28" ht="12" customHeight="1">
      <c r="A169" s="134">
        <v>200148</v>
      </c>
      <c r="B169" s="56" t="s">
        <v>1498</v>
      </c>
      <c r="C169" s="6">
        <f t="shared" si="375"/>
        <v>7120101</v>
      </c>
      <c r="D169" s="6">
        <f t="shared" si="376"/>
        <v>100</v>
      </c>
      <c r="E169" s="6">
        <f t="shared" si="377"/>
        <v>7120102</v>
      </c>
      <c r="F169" s="6">
        <f t="shared" si="378"/>
        <v>100</v>
      </c>
      <c r="G169" s="6">
        <f t="shared" si="379"/>
        <v>7120103</v>
      </c>
      <c r="H169" s="6">
        <f t="shared" si="380"/>
        <v>100</v>
      </c>
      <c r="I169" s="6">
        <f t="shared" si="381"/>
        <v>7120104</v>
      </c>
      <c r="J169" s="6">
        <f t="shared" si="382"/>
        <v>100</v>
      </c>
      <c r="K169" s="6">
        <f t="shared" si="383"/>
        <v>7120105</v>
      </c>
      <c r="L169" s="6">
        <f t="shared" si="384"/>
        <v>100</v>
      </c>
      <c r="M169" s="6">
        <f t="shared" si="385"/>
        <v>7120106</v>
      </c>
      <c r="N169" s="6">
        <f t="shared" si="386"/>
        <v>100</v>
      </c>
      <c r="O169" s="6">
        <f t="shared" si="387"/>
        <v>7120207</v>
      </c>
      <c r="P169" s="6">
        <f t="shared" si="388"/>
        <v>50</v>
      </c>
      <c r="Q169" s="6">
        <f t="shared" si="389"/>
        <v>7120208</v>
      </c>
      <c r="R169" s="6">
        <f t="shared" si="390"/>
        <v>50</v>
      </c>
      <c r="S169" s="6">
        <f t="shared" si="391"/>
        <v>7120309</v>
      </c>
      <c r="T169" s="6">
        <f t="shared" si="392"/>
        <v>50</v>
      </c>
      <c r="U169" s="6">
        <f t="shared" si="393"/>
        <v>7120310</v>
      </c>
      <c r="V169" s="6">
        <f t="shared" si="394"/>
        <v>50</v>
      </c>
      <c r="W169" s="6">
        <f t="shared" si="395"/>
        <v>7120411</v>
      </c>
      <c r="X169" s="6">
        <f t="shared" si="396"/>
        <v>100</v>
      </c>
      <c r="Y169" s="6">
        <f t="shared" si="397"/>
        <v>7120512</v>
      </c>
      <c r="Z169" s="6">
        <f t="shared" si="398"/>
        <v>100</v>
      </c>
      <c r="AA169" s="6">
        <f t="shared" si="399"/>
        <v>7120613</v>
      </c>
      <c r="AB169" s="6">
        <f t="shared" si="400"/>
        <v>100</v>
      </c>
    </row>
    <row r="170" spans="1:28" ht="12" customHeight="1">
      <c r="A170" s="134">
        <v>200149</v>
      </c>
      <c r="B170" s="56" t="s">
        <v>1499</v>
      </c>
      <c r="C170" s="6">
        <f t="shared" si="375"/>
        <v>7130101</v>
      </c>
      <c r="D170" s="6">
        <f t="shared" si="376"/>
        <v>100</v>
      </c>
      <c r="E170" s="6">
        <f t="shared" si="377"/>
        <v>7130102</v>
      </c>
      <c r="F170" s="6">
        <f t="shared" si="378"/>
        <v>100</v>
      </c>
      <c r="G170" s="6">
        <f t="shared" si="379"/>
        <v>7130103</v>
      </c>
      <c r="H170" s="6">
        <f t="shared" si="380"/>
        <v>100</v>
      </c>
      <c r="I170" s="6">
        <f t="shared" si="381"/>
        <v>7130104</v>
      </c>
      <c r="J170" s="6">
        <f t="shared" si="382"/>
        <v>100</v>
      </c>
      <c r="K170" s="6">
        <f t="shared" si="383"/>
        <v>7130105</v>
      </c>
      <c r="L170" s="6">
        <f t="shared" si="384"/>
        <v>100</v>
      </c>
      <c r="M170" s="6">
        <f t="shared" si="385"/>
        <v>7130106</v>
      </c>
      <c r="N170" s="6">
        <f t="shared" si="386"/>
        <v>100</v>
      </c>
      <c r="O170" s="6">
        <f t="shared" si="387"/>
        <v>7130207</v>
      </c>
      <c r="P170" s="6">
        <f t="shared" si="388"/>
        <v>50</v>
      </c>
      <c r="Q170" s="6">
        <f t="shared" si="389"/>
        <v>7130208</v>
      </c>
      <c r="R170" s="6">
        <f t="shared" si="390"/>
        <v>50</v>
      </c>
      <c r="S170" s="6">
        <f t="shared" si="391"/>
        <v>7130309</v>
      </c>
      <c r="T170" s="6">
        <f t="shared" si="392"/>
        <v>50</v>
      </c>
      <c r="U170" s="6">
        <f t="shared" si="393"/>
        <v>7130310</v>
      </c>
      <c r="V170" s="6">
        <f t="shared" si="394"/>
        <v>50</v>
      </c>
      <c r="W170" s="6">
        <f t="shared" si="395"/>
        <v>7130411</v>
      </c>
      <c r="X170" s="6">
        <f t="shared" si="396"/>
        <v>100</v>
      </c>
      <c r="Y170" s="6">
        <f t="shared" si="397"/>
        <v>7130512</v>
      </c>
      <c r="Z170" s="6">
        <f t="shared" si="398"/>
        <v>100</v>
      </c>
      <c r="AA170" s="6">
        <f t="shared" si="399"/>
        <v>7130613</v>
      </c>
      <c r="AB170" s="6">
        <f t="shared" si="400"/>
        <v>100</v>
      </c>
    </row>
    <row r="171" spans="1:28" ht="12" customHeight="1">
      <c r="A171" s="134">
        <v>200150</v>
      </c>
      <c r="B171" s="56" t="s">
        <v>1500</v>
      </c>
      <c r="C171" s="6">
        <f t="shared" si="375"/>
        <v>7140101</v>
      </c>
      <c r="D171" s="6">
        <f t="shared" si="376"/>
        <v>100</v>
      </c>
      <c r="E171" s="6">
        <f t="shared" si="377"/>
        <v>7140102</v>
      </c>
      <c r="F171" s="6">
        <f t="shared" si="378"/>
        <v>100</v>
      </c>
      <c r="G171" s="6">
        <f t="shared" si="379"/>
        <v>7140103</v>
      </c>
      <c r="H171" s="6">
        <f t="shared" si="380"/>
        <v>100</v>
      </c>
      <c r="I171" s="6">
        <f t="shared" si="381"/>
        <v>7140104</v>
      </c>
      <c r="J171" s="6">
        <f t="shared" si="382"/>
        <v>100</v>
      </c>
      <c r="K171" s="6">
        <f t="shared" si="383"/>
        <v>7140105</v>
      </c>
      <c r="L171" s="6">
        <f t="shared" si="384"/>
        <v>100</v>
      </c>
      <c r="M171" s="6">
        <f t="shared" si="385"/>
        <v>7140106</v>
      </c>
      <c r="N171" s="6">
        <f t="shared" si="386"/>
        <v>100</v>
      </c>
      <c r="O171" s="6">
        <f t="shared" si="387"/>
        <v>7140207</v>
      </c>
      <c r="P171" s="6">
        <f t="shared" si="388"/>
        <v>50</v>
      </c>
      <c r="Q171" s="6">
        <f t="shared" si="389"/>
        <v>7140208</v>
      </c>
      <c r="R171" s="6">
        <f t="shared" si="390"/>
        <v>50</v>
      </c>
      <c r="S171" s="6">
        <f t="shared" si="391"/>
        <v>7140309</v>
      </c>
      <c r="T171" s="6">
        <f t="shared" si="392"/>
        <v>50</v>
      </c>
      <c r="U171" s="6">
        <f t="shared" si="393"/>
        <v>7140310</v>
      </c>
      <c r="V171" s="6">
        <f t="shared" si="394"/>
        <v>50</v>
      </c>
      <c r="W171" s="6">
        <f t="shared" si="395"/>
        <v>7140411</v>
      </c>
      <c r="X171" s="6">
        <f t="shared" si="396"/>
        <v>100</v>
      </c>
      <c r="Y171" s="6">
        <f t="shared" si="397"/>
        <v>7140512</v>
      </c>
      <c r="Z171" s="6">
        <f t="shared" si="398"/>
        <v>100</v>
      </c>
      <c r="AA171" s="6">
        <f t="shared" si="399"/>
        <v>7140613</v>
      </c>
      <c r="AB171" s="6">
        <f t="shared" si="400"/>
        <v>100</v>
      </c>
    </row>
    <row r="172" spans="1:28" ht="12" customHeight="1">
      <c r="A172" s="134">
        <v>200151</v>
      </c>
      <c r="B172" s="56" t="s">
        <v>1501</v>
      </c>
      <c r="C172" s="6">
        <f t="shared" si="375"/>
        <v>7150101</v>
      </c>
      <c r="D172" s="6">
        <f t="shared" si="376"/>
        <v>100</v>
      </c>
      <c r="E172" s="6">
        <f t="shared" si="377"/>
        <v>7150102</v>
      </c>
      <c r="F172" s="6">
        <f t="shared" si="378"/>
        <v>100</v>
      </c>
      <c r="G172" s="6">
        <f t="shared" si="379"/>
        <v>7150103</v>
      </c>
      <c r="H172" s="6">
        <f t="shared" si="380"/>
        <v>100</v>
      </c>
      <c r="I172" s="6">
        <f t="shared" si="381"/>
        <v>7150104</v>
      </c>
      <c r="J172" s="6">
        <f t="shared" si="382"/>
        <v>100</v>
      </c>
      <c r="K172" s="6">
        <f t="shared" si="383"/>
        <v>7150105</v>
      </c>
      <c r="L172" s="6">
        <f t="shared" si="384"/>
        <v>100</v>
      </c>
      <c r="M172" s="6">
        <f t="shared" si="385"/>
        <v>7150106</v>
      </c>
      <c r="N172" s="6">
        <f t="shared" si="386"/>
        <v>100</v>
      </c>
      <c r="O172" s="6">
        <f t="shared" si="387"/>
        <v>7150207</v>
      </c>
      <c r="P172" s="6">
        <f t="shared" si="388"/>
        <v>50</v>
      </c>
      <c r="Q172" s="6">
        <f t="shared" si="389"/>
        <v>7150208</v>
      </c>
      <c r="R172" s="6">
        <f t="shared" si="390"/>
        <v>50</v>
      </c>
      <c r="S172" s="6">
        <f t="shared" si="391"/>
        <v>7150309</v>
      </c>
      <c r="T172" s="6">
        <f t="shared" si="392"/>
        <v>50</v>
      </c>
      <c r="U172" s="6">
        <f t="shared" si="393"/>
        <v>7150310</v>
      </c>
      <c r="V172" s="6">
        <f t="shared" si="394"/>
        <v>50</v>
      </c>
      <c r="W172" s="6">
        <f t="shared" si="395"/>
        <v>7150411</v>
      </c>
      <c r="X172" s="6">
        <f t="shared" si="396"/>
        <v>100</v>
      </c>
      <c r="Y172" s="6">
        <f t="shared" si="397"/>
        <v>7150512</v>
      </c>
      <c r="Z172" s="6">
        <f t="shared" si="398"/>
        <v>100</v>
      </c>
      <c r="AA172" s="6">
        <f t="shared" si="399"/>
        <v>7150613</v>
      </c>
      <c r="AB172" s="6">
        <f t="shared" si="400"/>
        <v>100</v>
      </c>
    </row>
    <row r="173" spans="1:28" ht="12" customHeight="1">
      <c r="A173" s="134">
        <v>200152</v>
      </c>
      <c r="B173" s="59" t="s">
        <v>1502</v>
      </c>
      <c r="C173" s="6">
        <f t="shared" si="375"/>
        <v>8010101</v>
      </c>
      <c r="D173" s="6">
        <f t="shared" si="376"/>
        <v>100</v>
      </c>
      <c r="E173" s="6">
        <f t="shared" si="377"/>
        <v>8010102</v>
      </c>
      <c r="F173" s="6">
        <f t="shared" si="378"/>
        <v>100</v>
      </c>
      <c r="G173" s="6">
        <f t="shared" si="379"/>
        <v>8010103</v>
      </c>
      <c r="H173" s="6">
        <f t="shared" si="380"/>
        <v>100</v>
      </c>
      <c r="I173" s="6">
        <f t="shared" si="381"/>
        <v>8010104</v>
      </c>
      <c r="J173" s="6">
        <f t="shared" si="382"/>
        <v>100</v>
      </c>
      <c r="K173" s="6">
        <f t="shared" si="383"/>
        <v>8010105</v>
      </c>
      <c r="L173" s="6">
        <f t="shared" si="384"/>
        <v>100</v>
      </c>
      <c r="M173" s="6">
        <f t="shared" si="385"/>
        <v>8010106</v>
      </c>
      <c r="N173" s="6">
        <f t="shared" si="386"/>
        <v>100</v>
      </c>
      <c r="O173" s="6">
        <f t="shared" si="387"/>
        <v>8010207</v>
      </c>
      <c r="P173" s="6">
        <f t="shared" si="388"/>
        <v>50</v>
      </c>
      <c r="Q173" s="6">
        <f t="shared" si="389"/>
        <v>8010208</v>
      </c>
      <c r="R173" s="6">
        <f t="shared" si="390"/>
        <v>50</v>
      </c>
      <c r="S173" s="6">
        <f t="shared" si="391"/>
        <v>8010309</v>
      </c>
      <c r="T173" s="6">
        <f t="shared" si="392"/>
        <v>50</v>
      </c>
      <c r="U173" s="6">
        <f t="shared" si="393"/>
        <v>8010310</v>
      </c>
      <c r="V173" s="6">
        <f t="shared" si="394"/>
        <v>50</v>
      </c>
      <c r="W173" s="6">
        <f t="shared" si="395"/>
        <v>8010411</v>
      </c>
      <c r="X173" s="6">
        <f t="shared" si="396"/>
        <v>100</v>
      </c>
      <c r="Y173" s="6">
        <f t="shared" si="397"/>
        <v>8010512</v>
      </c>
      <c r="Z173" s="6">
        <f t="shared" si="398"/>
        <v>100</v>
      </c>
      <c r="AA173" s="6">
        <f t="shared" si="399"/>
        <v>8010613</v>
      </c>
      <c r="AB173" s="6">
        <f t="shared" si="400"/>
        <v>100</v>
      </c>
    </row>
    <row r="174" spans="1:28" ht="12" customHeight="1">
      <c r="A174" s="134">
        <v>200153</v>
      </c>
      <c r="B174" s="59" t="s">
        <v>1502</v>
      </c>
      <c r="C174" s="6">
        <f t="shared" si="375"/>
        <v>8020101</v>
      </c>
      <c r="D174" s="6">
        <f t="shared" si="376"/>
        <v>100</v>
      </c>
      <c r="E174" s="6">
        <f t="shared" si="377"/>
        <v>8020102</v>
      </c>
      <c r="F174" s="6">
        <f t="shared" si="378"/>
        <v>100</v>
      </c>
      <c r="G174" s="6">
        <f t="shared" si="379"/>
        <v>8020103</v>
      </c>
      <c r="H174" s="6">
        <f t="shared" si="380"/>
        <v>100</v>
      </c>
      <c r="I174" s="6">
        <f t="shared" si="381"/>
        <v>8020104</v>
      </c>
      <c r="J174" s="6">
        <f t="shared" si="382"/>
        <v>100</v>
      </c>
      <c r="K174" s="6">
        <f t="shared" si="383"/>
        <v>8020105</v>
      </c>
      <c r="L174" s="6">
        <f t="shared" si="384"/>
        <v>100</v>
      </c>
      <c r="M174" s="6">
        <f t="shared" si="385"/>
        <v>8020106</v>
      </c>
      <c r="N174" s="6">
        <f t="shared" si="386"/>
        <v>100</v>
      </c>
      <c r="O174" s="6">
        <f t="shared" si="387"/>
        <v>8020207</v>
      </c>
      <c r="P174" s="6">
        <f t="shared" si="388"/>
        <v>50</v>
      </c>
      <c r="Q174" s="6">
        <f t="shared" si="389"/>
        <v>8020208</v>
      </c>
      <c r="R174" s="6">
        <f t="shared" si="390"/>
        <v>50</v>
      </c>
      <c r="S174" s="6">
        <f t="shared" si="391"/>
        <v>8020309</v>
      </c>
      <c r="T174" s="6">
        <f t="shared" si="392"/>
        <v>50</v>
      </c>
      <c r="U174" s="6">
        <f t="shared" si="393"/>
        <v>8020310</v>
      </c>
      <c r="V174" s="6">
        <f t="shared" si="394"/>
        <v>50</v>
      </c>
      <c r="W174" s="6">
        <f t="shared" si="395"/>
        <v>8020411</v>
      </c>
      <c r="X174" s="6">
        <f t="shared" si="396"/>
        <v>100</v>
      </c>
      <c r="Y174" s="6">
        <f t="shared" si="397"/>
        <v>8020512</v>
      </c>
      <c r="Z174" s="6">
        <f t="shared" si="398"/>
        <v>100</v>
      </c>
      <c r="AA174" s="6">
        <f t="shared" si="399"/>
        <v>8020613</v>
      </c>
      <c r="AB174" s="6">
        <f t="shared" si="400"/>
        <v>100</v>
      </c>
    </row>
    <row r="175" spans="1:28" ht="12" customHeight="1">
      <c r="A175" s="134">
        <v>200154</v>
      </c>
      <c r="B175" s="59" t="s">
        <v>1502</v>
      </c>
      <c r="C175" s="6">
        <f t="shared" si="375"/>
        <v>8030101</v>
      </c>
      <c r="D175" s="6">
        <f t="shared" si="376"/>
        <v>100</v>
      </c>
      <c r="E175" s="6">
        <f t="shared" si="377"/>
        <v>8030102</v>
      </c>
      <c r="F175" s="6">
        <f t="shared" si="378"/>
        <v>100</v>
      </c>
      <c r="G175" s="6">
        <f t="shared" si="379"/>
        <v>8030103</v>
      </c>
      <c r="H175" s="6">
        <f t="shared" si="380"/>
        <v>100</v>
      </c>
      <c r="I175" s="6">
        <f t="shared" si="381"/>
        <v>8030104</v>
      </c>
      <c r="J175" s="6">
        <f t="shared" si="382"/>
        <v>100</v>
      </c>
      <c r="K175" s="6">
        <f t="shared" si="383"/>
        <v>8030105</v>
      </c>
      <c r="L175" s="6">
        <f t="shared" si="384"/>
        <v>100</v>
      </c>
      <c r="M175" s="6">
        <f t="shared" si="385"/>
        <v>8030106</v>
      </c>
      <c r="N175" s="6">
        <f t="shared" si="386"/>
        <v>100</v>
      </c>
      <c r="O175" s="6">
        <f t="shared" si="387"/>
        <v>8030207</v>
      </c>
      <c r="P175" s="6">
        <f t="shared" si="388"/>
        <v>50</v>
      </c>
      <c r="Q175" s="6">
        <f t="shared" si="389"/>
        <v>8030208</v>
      </c>
      <c r="R175" s="6">
        <f t="shared" si="390"/>
        <v>50</v>
      </c>
      <c r="S175" s="6">
        <f t="shared" si="391"/>
        <v>8030309</v>
      </c>
      <c r="T175" s="6">
        <f t="shared" si="392"/>
        <v>50</v>
      </c>
      <c r="U175" s="6">
        <f t="shared" si="393"/>
        <v>8030310</v>
      </c>
      <c r="V175" s="6">
        <f t="shared" si="394"/>
        <v>50</v>
      </c>
      <c r="W175" s="6">
        <f t="shared" si="395"/>
        <v>8030411</v>
      </c>
      <c r="X175" s="6">
        <f t="shared" si="396"/>
        <v>100</v>
      </c>
      <c r="Y175" s="6">
        <f t="shared" si="397"/>
        <v>8030512</v>
      </c>
      <c r="Z175" s="6">
        <f t="shared" si="398"/>
        <v>100</v>
      </c>
      <c r="AA175" s="6">
        <f t="shared" si="399"/>
        <v>8030613</v>
      </c>
      <c r="AB175" s="6">
        <f t="shared" si="400"/>
        <v>100</v>
      </c>
    </row>
    <row r="176" spans="1:28" ht="12" customHeight="1">
      <c r="A176" s="134">
        <v>200155</v>
      </c>
      <c r="B176" s="59" t="s">
        <v>1502</v>
      </c>
      <c r="C176" s="6">
        <f t="shared" si="375"/>
        <v>8040101</v>
      </c>
      <c r="D176" s="6">
        <f t="shared" si="376"/>
        <v>100</v>
      </c>
      <c r="E176" s="6">
        <f t="shared" si="377"/>
        <v>8040102</v>
      </c>
      <c r="F176" s="6">
        <f t="shared" si="378"/>
        <v>100</v>
      </c>
      <c r="G176" s="6">
        <f t="shared" si="379"/>
        <v>8040103</v>
      </c>
      <c r="H176" s="6">
        <f t="shared" si="380"/>
        <v>100</v>
      </c>
      <c r="I176" s="6">
        <f t="shared" si="381"/>
        <v>8040104</v>
      </c>
      <c r="J176" s="6">
        <f t="shared" si="382"/>
        <v>100</v>
      </c>
      <c r="K176" s="6">
        <f t="shared" si="383"/>
        <v>8040105</v>
      </c>
      <c r="L176" s="6">
        <f t="shared" si="384"/>
        <v>100</v>
      </c>
      <c r="M176" s="6">
        <f t="shared" si="385"/>
        <v>8040106</v>
      </c>
      <c r="N176" s="6">
        <f t="shared" si="386"/>
        <v>100</v>
      </c>
      <c r="O176" s="6">
        <f t="shared" si="387"/>
        <v>8040207</v>
      </c>
      <c r="P176" s="6">
        <f t="shared" si="388"/>
        <v>50</v>
      </c>
      <c r="Q176" s="6">
        <f t="shared" si="389"/>
        <v>8040208</v>
      </c>
      <c r="R176" s="6">
        <f t="shared" si="390"/>
        <v>50</v>
      </c>
      <c r="S176" s="6">
        <f t="shared" si="391"/>
        <v>8040309</v>
      </c>
      <c r="T176" s="6">
        <f t="shared" si="392"/>
        <v>50</v>
      </c>
      <c r="U176" s="6">
        <f t="shared" si="393"/>
        <v>8040310</v>
      </c>
      <c r="V176" s="6">
        <f t="shared" si="394"/>
        <v>50</v>
      </c>
      <c r="W176" s="6">
        <f t="shared" si="395"/>
        <v>8040411</v>
      </c>
      <c r="X176" s="6">
        <f t="shared" si="396"/>
        <v>100</v>
      </c>
      <c r="Y176" s="6">
        <f t="shared" si="397"/>
        <v>8040512</v>
      </c>
      <c r="Z176" s="6">
        <f t="shared" si="398"/>
        <v>100</v>
      </c>
      <c r="AA176" s="6">
        <f t="shared" si="399"/>
        <v>8040613</v>
      </c>
      <c r="AB176" s="6">
        <f t="shared" si="400"/>
        <v>100</v>
      </c>
    </row>
    <row r="177" spans="1:28" ht="12" customHeight="1">
      <c r="A177" s="134">
        <v>200156</v>
      </c>
      <c r="B177" s="59" t="s">
        <v>1502</v>
      </c>
      <c r="C177" s="6">
        <f t="shared" si="375"/>
        <v>8050101</v>
      </c>
      <c r="D177" s="6">
        <f t="shared" si="376"/>
        <v>100</v>
      </c>
      <c r="E177" s="6">
        <f t="shared" si="377"/>
        <v>8050102</v>
      </c>
      <c r="F177" s="6">
        <f t="shared" si="378"/>
        <v>100</v>
      </c>
      <c r="G177" s="6">
        <f t="shared" si="379"/>
        <v>8050103</v>
      </c>
      <c r="H177" s="6">
        <f t="shared" si="380"/>
        <v>100</v>
      </c>
      <c r="I177" s="6">
        <f t="shared" si="381"/>
        <v>8050104</v>
      </c>
      <c r="J177" s="6">
        <f t="shared" si="382"/>
        <v>100</v>
      </c>
      <c r="K177" s="6">
        <f t="shared" si="383"/>
        <v>8050105</v>
      </c>
      <c r="L177" s="6">
        <f t="shared" si="384"/>
        <v>100</v>
      </c>
      <c r="M177" s="6">
        <f t="shared" si="385"/>
        <v>8050106</v>
      </c>
      <c r="N177" s="6">
        <f t="shared" si="386"/>
        <v>100</v>
      </c>
      <c r="O177" s="6">
        <f t="shared" si="387"/>
        <v>8050207</v>
      </c>
      <c r="P177" s="6">
        <f t="shared" si="388"/>
        <v>50</v>
      </c>
      <c r="Q177" s="6">
        <f t="shared" si="389"/>
        <v>8050208</v>
      </c>
      <c r="R177" s="6">
        <f t="shared" si="390"/>
        <v>50</v>
      </c>
      <c r="S177" s="6">
        <f t="shared" si="391"/>
        <v>8050309</v>
      </c>
      <c r="T177" s="6">
        <f t="shared" si="392"/>
        <v>50</v>
      </c>
      <c r="U177" s="6">
        <f t="shared" si="393"/>
        <v>8050310</v>
      </c>
      <c r="V177" s="6">
        <f t="shared" si="394"/>
        <v>50</v>
      </c>
      <c r="W177" s="6">
        <f t="shared" si="395"/>
        <v>8050411</v>
      </c>
      <c r="X177" s="6">
        <f t="shared" si="396"/>
        <v>100</v>
      </c>
      <c r="Y177" s="6">
        <f t="shared" si="397"/>
        <v>8050512</v>
      </c>
      <c r="Z177" s="6">
        <f t="shared" si="398"/>
        <v>100</v>
      </c>
      <c r="AA177" s="6">
        <f t="shared" si="399"/>
        <v>8050613</v>
      </c>
      <c r="AB177" s="6">
        <f t="shared" si="400"/>
        <v>100</v>
      </c>
    </row>
    <row r="178" spans="1:28" ht="12" customHeight="1">
      <c r="A178" s="134">
        <v>200157</v>
      </c>
      <c r="B178" s="59" t="s">
        <v>1502</v>
      </c>
      <c r="C178" s="6">
        <f t="shared" si="375"/>
        <v>8060101</v>
      </c>
      <c r="D178" s="6">
        <f t="shared" si="376"/>
        <v>100</v>
      </c>
      <c r="E178" s="6">
        <f t="shared" si="377"/>
        <v>8060102</v>
      </c>
      <c r="F178" s="6">
        <f t="shared" si="378"/>
        <v>100</v>
      </c>
      <c r="G178" s="6">
        <f t="shared" si="379"/>
        <v>8060103</v>
      </c>
      <c r="H178" s="6">
        <f t="shared" si="380"/>
        <v>100</v>
      </c>
      <c r="I178" s="6">
        <f t="shared" si="381"/>
        <v>8060104</v>
      </c>
      <c r="J178" s="6">
        <f t="shared" si="382"/>
        <v>100</v>
      </c>
      <c r="K178" s="6">
        <f t="shared" si="383"/>
        <v>8060105</v>
      </c>
      <c r="L178" s="6">
        <f t="shared" si="384"/>
        <v>100</v>
      </c>
      <c r="M178" s="6">
        <f t="shared" si="385"/>
        <v>8060106</v>
      </c>
      <c r="N178" s="6">
        <f t="shared" si="386"/>
        <v>100</v>
      </c>
      <c r="O178" s="6">
        <f t="shared" si="387"/>
        <v>8060207</v>
      </c>
      <c r="P178" s="6">
        <f t="shared" si="388"/>
        <v>50</v>
      </c>
      <c r="Q178" s="6">
        <f t="shared" si="389"/>
        <v>8060208</v>
      </c>
      <c r="R178" s="6">
        <f t="shared" si="390"/>
        <v>50</v>
      </c>
      <c r="S178" s="6">
        <f t="shared" si="391"/>
        <v>8060309</v>
      </c>
      <c r="T178" s="6">
        <f t="shared" si="392"/>
        <v>50</v>
      </c>
      <c r="U178" s="6">
        <f t="shared" si="393"/>
        <v>8060310</v>
      </c>
      <c r="V178" s="6">
        <f t="shared" si="394"/>
        <v>50</v>
      </c>
      <c r="W178" s="6">
        <f t="shared" si="395"/>
        <v>8060411</v>
      </c>
      <c r="X178" s="6">
        <f t="shared" si="396"/>
        <v>100</v>
      </c>
      <c r="Y178" s="6">
        <f t="shared" si="397"/>
        <v>8060512</v>
      </c>
      <c r="Z178" s="6">
        <f t="shared" si="398"/>
        <v>100</v>
      </c>
      <c r="AA178" s="6">
        <f t="shared" si="399"/>
        <v>8060613</v>
      </c>
      <c r="AB178" s="6">
        <f t="shared" si="400"/>
        <v>100</v>
      </c>
    </row>
    <row r="179" spans="1:28" ht="12" customHeight="1">
      <c r="A179" s="134">
        <v>200158</v>
      </c>
      <c r="B179" s="59" t="s">
        <v>1502</v>
      </c>
      <c r="C179" s="6">
        <f t="shared" si="375"/>
        <v>8070101</v>
      </c>
      <c r="D179" s="6">
        <f t="shared" si="376"/>
        <v>100</v>
      </c>
      <c r="E179" s="6">
        <f t="shared" si="377"/>
        <v>8070102</v>
      </c>
      <c r="F179" s="6">
        <f t="shared" si="378"/>
        <v>100</v>
      </c>
      <c r="G179" s="6">
        <f t="shared" si="379"/>
        <v>8070103</v>
      </c>
      <c r="H179" s="6">
        <f t="shared" si="380"/>
        <v>100</v>
      </c>
      <c r="I179" s="6">
        <f t="shared" si="381"/>
        <v>8070104</v>
      </c>
      <c r="J179" s="6">
        <f t="shared" si="382"/>
        <v>100</v>
      </c>
      <c r="K179" s="6">
        <f t="shared" si="383"/>
        <v>8070105</v>
      </c>
      <c r="L179" s="6">
        <f t="shared" si="384"/>
        <v>100</v>
      </c>
      <c r="M179" s="6">
        <f t="shared" si="385"/>
        <v>8070106</v>
      </c>
      <c r="N179" s="6">
        <f t="shared" si="386"/>
        <v>100</v>
      </c>
      <c r="O179" s="6">
        <f t="shared" si="387"/>
        <v>8070207</v>
      </c>
      <c r="P179" s="6">
        <f t="shared" si="388"/>
        <v>50</v>
      </c>
      <c r="Q179" s="6">
        <f t="shared" si="389"/>
        <v>8070208</v>
      </c>
      <c r="R179" s="6">
        <f t="shared" si="390"/>
        <v>50</v>
      </c>
      <c r="S179" s="6">
        <f t="shared" si="391"/>
        <v>8070309</v>
      </c>
      <c r="T179" s="6">
        <f t="shared" si="392"/>
        <v>50</v>
      </c>
      <c r="U179" s="6">
        <f t="shared" si="393"/>
        <v>8070310</v>
      </c>
      <c r="V179" s="6">
        <f t="shared" si="394"/>
        <v>50</v>
      </c>
      <c r="W179" s="6">
        <f t="shared" si="395"/>
        <v>8070411</v>
      </c>
      <c r="X179" s="6">
        <f t="shared" si="396"/>
        <v>100</v>
      </c>
      <c r="Y179" s="6">
        <f t="shared" si="397"/>
        <v>8070512</v>
      </c>
      <c r="Z179" s="6">
        <f t="shared" si="398"/>
        <v>100</v>
      </c>
      <c r="AA179" s="6">
        <f t="shared" si="399"/>
        <v>8070613</v>
      </c>
      <c r="AB179" s="6">
        <f t="shared" si="400"/>
        <v>100</v>
      </c>
    </row>
    <row r="180" spans="1:28" ht="12" customHeight="1">
      <c r="A180" s="134">
        <v>200159</v>
      </c>
      <c r="B180" s="59" t="s">
        <v>1502</v>
      </c>
      <c r="C180" s="6">
        <f t="shared" si="375"/>
        <v>8080101</v>
      </c>
      <c r="D180" s="6">
        <f t="shared" si="376"/>
        <v>100</v>
      </c>
      <c r="E180" s="6">
        <f t="shared" si="377"/>
        <v>8080102</v>
      </c>
      <c r="F180" s="6">
        <f t="shared" si="378"/>
        <v>100</v>
      </c>
      <c r="G180" s="6">
        <f t="shared" si="379"/>
        <v>8080103</v>
      </c>
      <c r="H180" s="6">
        <f t="shared" si="380"/>
        <v>100</v>
      </c>
      <c r="I180" s="6">
        <f t="shared" si="381"/>
        <v>8080104</v>
      </c>
      <c r="J180" s="6">
        <f t="shared" si="382"/>
        <v>100</v>
      </c>
      <c r="K180" s="6">
        <f t="shared" si="383"/>
        <v>8080105</v>
      </c>
      <c r="L180" s="6">
        <f t="shared" si="384"/>
        <v>100</v>
      </c>
      <c r="M180" s="6">
        <f t="shared" si="385"/>
        <v>8080106</v>
      </c>
      <c r="N180" s="6">
        <f t="shared" si="386"/>
        <v>100</v>
      </c>
      <c r="O180" s="6">
        <f t="shared" si="387"/>
        <v>8080207</v>
      </c>
      <c r="P180" s="6">
        <f t="shared" si="388"/>
        <v>50</v>
      </c>
      <c r="Q180" s="6">
        <f t="shared" si="389"/>
        <v>8080208</v>
      </c>
      <c r="R180" s="6">
        <f t="shared" si="390"/>
        <v>50</v>
      </c>
      <c r="S180" s="6">
        <f t="shared" si="391"/>
        <v>8080309</v>
      </c>
      <c r="T180" s="6">
        <f t="shared" si="392"/>
        <v>50</v>
      </c>
      <c r="U180" s="6">
        <f t="shared" si="393"/>
        <v>8080310</v>
      </c>
      <c r="V180" s="6">
        <f t="shared" si="394"/>
        <v>50</v>
      </c>
      <c r="W180" s="6">
        <f t="shared" si="395"/>
        <v>8080411</v>
      </c>
      <c r="X180" s="6">
        <f t="shared" si="396"/>
        <v>100</v>
      </c>
      <c r="Y180" s="6">
        <f t="shared" si="397"/>
        <v>8080512</v>
      </c>
      <c r="Z180" s="6">
        <f t="shared" si="398"/>
        <v>100</v>
      </c>
      <c r="AA180" s="6">
        <f t="shared" si="399"/>
        <v>8080613</v>
      </c>
      <c r="AB180" s="6">
        <f t="shared" si="400"/>
        <v>100</v>
      </c>
    </row>
    <row r="181" spans="1:28" ht="12" customHeight="1">
      <c r="A181" s="134">
        <v>200160</v>
      </c>
      <c r="B181" s="59" t="s">
        <v>1502</v>
      </c>
      <c r="C181" s="6">
        <f t="shared" si="375"/>
        <v>8090101</v>
      </c>
      <c r="D181" s="6">
        <f t="shared" si="376"/>
        <v>100</v>
      </c>
      <c r="E181" s="6">
        <f t="shared" si="377"/>
        <v>8090102</v>
      </c>
      <c r="F181" s="6">
        <f t="shared" si="378"/>
        <v>100</v>
      </c>
      <c r="G181" s="6">
        <f t="shared" si="379"/>
        <v>8090103</v>
      </c>
      <c r="H181" s="6">
        <f t="shared" si="380"/>
        <v>100</v>
      </c>
      <c r="I181" s="6">
        <f t="shared" si="381"/>
        <v>8090104</v>
      </c>
      <c r="J181" s="6">
        <f t="shared" si="382"/>
        <v>100</v>
      </c>
      <c r="K181" s="6">
        <f t="shared" si="383"/>
        <v>8090105</v>
      </c>
      <c r="L181" s="6">
        <f t="shared" si="384"/>
        <v>100</v>
      </c>
      <c r="M181" s="6">
        <f t="shared" si="385"/>
        <v>8090106</v>
      </c>
      <c r="N181" s="6">
        <f t="shared" si="386"/>
        <v>100</v>
      </c>
      <c r="O181" s="6">
        <f t="shared" si="387"/>
        <v>8090207</v>
      </c>
      <c r="P181" s="6">
        <f t="shared" si="388"/>
        <v>50</v>
      </c>
      <c r="Q181" s="6">
        <f t="shared" si="389"/>
        <v>8090208</v>
      </c>
      <c r="R181" s="6">
        <f t="shared" si="390"/>
        <v>50</v>
      </c>
      <c r="S181" s="6">
        <f t="shared" si="391"/>
        <v>8090309</v>
      </c>
      <c r="T181" s="6">
        <f t="shared" si="392"/>
        <v>50</v>
      </c>
      <c r="U181" s="6">
        <f t="shared" si="393"/>
        <v>8090310</v>
      </c>
      <c r="V181" s="6">
        <f t="shared" si="394"/>
        <v>50</v>
      </c>
      <c r="W181" s="6">
        <f t="shared" si="395"/>
        <v>8090411</v>
      </c>
      <c r="X181" s="6">
        <f t="shared" si="396"/>
        <v>100</v>
      </c>
      <c r="Y181" s="6">
        <f t="shared" si="397"/>
        <v>8090512</v>
      </c>
      <c r="Z181" s="6">
        <f t="shared" si="398"/>
        <v>100</v>
      </c>
      <c r="AA181" s="6">
        <f t="shared" si="399"/>
        <v>8090613</v>
      </c>
      <c r="AB181" s="6">
        <f t="shared" si="400"/>
        <v>100</v>
      </c>
    </row>
    <row r="182" spans="1:28" ht="12" customHeight="1">
      <c r="A182" s="134">
        <v>200161</v>
      </c>
      <c r="B182" s="59" t="s">
        <v>1502</v>
      </c>
      <c r="C182" s="6">
        <f t="shared" si="375"/>
        <v>8100101</v>
      </c>
      <c r="D182" s="6">
        <f t="shared" si="376"/>
        <v>100</v>
      </c>
      <c r="E182" s="6">
        <f t="shared" si="377"/>
        <v>8100102</v>
      </c>
      <c r="F182" s="6">
        <f t="shared" si="378"/>
        <v>100</v>
      </c>
      <c r="G182" s="6">
        <f t="shared" si="379"/>
        <v>8100103</v>
      </c>
      <c r="H182" s="6">
        <f t="shared" si="380"/>
        <v>100</v>
      </c>
      <c r="I182" s="6">
        <f t="shared" si="381"/>
        <v>8100104</v>
      </c>
      <c r="J182" s="6">
        <f t="shared" si="382"/>
        <v>100</v>
      </c>
      <c r="K182" s="6">
        <f t="shared" si="383"/>
        <v>8100105</v>
      </c>
      <c r="L182" s="6">
        <f t="shared" si="384"/>
        <v>100</v>
      </c>
      <c r="M182" s="6">
        <f t="shared" si="385"/>
        <v>8100106</v>
      </c>
      <c r="N182" s="6">
        <f t="shared" si="386"/>
        <v>100</v>
      </c>
      <c r="O182" s="6">
        <f t="shared" si="387"/>
        <v>8100207</v>
      </c>
      <c r="P182" s="6">
        <f t="shared" si="388"/>
        <v>50</v>
      </c>
      <c r="Q182" s="6">
        <f t="shared" si="389"/>
        <v>8100208</v>
      </c>
      <c r="R182" s="6">
        <f t="shared" si="390"/>
        <v>50</v>
      </c>
      <c r="S182" s="6">
        <f t="shared" si="391"/>
        <v>8100309</v>
      </c>
      <c r="T182" s="6">
        <f t="shared" si="392"/>
        <v>50</v>
      </c>
      <c r="U182" s="6">
        <f t="shared" si="393"/>
        <v>8100310</v>
      </c>
      <c r="V182" s="6">
        <f t="shared" si="394"/>
        <v>50</v>
      </c>
      <c r="W182" s="6">
        <f t="shared" si="395"/>
        <v>8100411</v>
      </c>
      <c r="X182" s="6">
        <f t="shared" si="396"/>
        <v>100</v>
      </c>
      <c r="Y182" s="6">
        <f t="shared" si="397"/>
        <v>8100512</v>
      </c>
      <c r="Z182" s="6">
        <f t="shared" si="398"/>
        <v>100</v>
      </c>
      <c r="AA182" s="6">
        <f t="shared" si="399"/>
        <v>8100613</v>
      </c>
      <c r="AB182" s="6">
        <f t="shared" si="400"/>
        <v>100</v>
      </c>
    </row>
    <row r="183" spans="1:28" ht="12" customHeight="1">
      <c r="A183" s="134">
        <v>200162</v>
      </c>
      <c r="B183" s="59" t="s">
        <v>1502</v>
      </c>
      <c r="C183" s="6">
        <f t="shared" si="375"/>
        <v>8110101</v>
      </c>
      <c r="D183" s="6">
        <f t="shared" si="376"/>
        <v>100</v>
      </c>
      <c r="E183" s="6">
        <f t="shared" si="377"/>
        <v>8110102</v>
      </c>
      <c r="F183" s="6">
        <f t="shared" si="378"/>
        <v>100</v>
      </c>
      <c r="G183" s="6">
        <f t="shared" si="379"/>
        <v>8110103</v>
      </c>
      <c r="H183" s="6">
        <f t="shared" si="380"/>
        <v>100</v>
      </c>
      <c r="I183" s="6">
        <f t="shared" si="381"/>
        <v>8110104</v>
      </c>
      <c r="J183" s="6">
        <f t="shared" si="382"/>
        <v>100</v>
      </c>
      <c r="K183" s="6">
        <f t="shared" si="383"/>
        <v>8110105</v>
      </c>
      <c r="L183" s="6">
        <f t="shared" si="384"/>
        <v>100</v>
      </c>
      <c r="M183" s="6">
        <f t="shared" si="385"/>
        <v>8110106</v>
      </c>
      <c r="N183" s="6">
        <f t="shared" si="386"/>
        <v>100</v>
      </c>
      <c r="O183" s="6">
        <f t="shared" si="387"/>
        <v>8110207</v>
      </c>
      <c r="P183" s="6">
        <f t="shared" si="388"/>
        <v>50</v>
      </c>
      <c r="Q183" s="6">
        <f t="shared" si="389"/>
        <v>8110208</v>
      </c>
      <c r="R183" s="6">
        <f t="shared" si="390"/>
        <v>50</v>
      </c>
      <c r="S183" s="6">
        <f t="shared" si="391"/>
        <v>8110309</v>
      </c>
      <c r="T183" s="6">
        <f t="shared" si="392"/>
        <v>50</v>
      </c>
      <c r="U183" s="6">
        <f t="shared" si="393"/>
        <v>8110310</v>
      </c>
      <c r="V183" s="6">
        <f t="shared" si="394"/>
        <v>50</v>
      </c>
      <c r="W183" s="6">
        <f t="shared" si="395"/>
        <v>8110411</v>
      </c>
      <c r="X183" s="6">
        <f t="shared" si="396"/>
        <v>100</v>
      </c>
      <c r="Y183" s="6">
        <f t="shared" si="397"/>
        <v>8110512</v>
      </c>
      <c r="Z183" s="6">
        <f t="shared" si="398"/>
        <v>100</v>
      </c>
      <c r="AA183" s="6">
        <f t="shared" si="399"/>
        <v>8110613</v>
      </c>
      <c r="AB183" s="6">
        <f t="shared" si="400"/>
        <v>100</v>
      </c>
    </row>
    <row r="184" spans="1:28" ht="12" customHeight="1">
      <c r="A184" s="134">
        <v>200163</v>
      </c>
      <c r="B184" s="59" t="s">
        <v>1502</v>
      </c>
      <c r="C184" s="6">
        <f t="shared" si="375"/>
        <v>8120101</v>
      </c>
      <c r="D184" s="6">
        <f t="shared" si="376"/>
        <v>100</v>
      </c>
      <c r="E184" s="6">
        <f t="shared" si="377"/>
        <v>8120102</v>
      </c>
      <c r="F184" s="6">
        <f t="shared" si="378"/>
        <v>100</v>
      </c>
      <c r="G184" s="6">
        <f t="shared" si="379"/>
        <v>8120103</v>
      </c>
      <c r="H184" s="6">
        <f t="shared" si="380"/>
        <v>100</v>
      </c>
      <c r="I184" s="6">
        <f t="shared" si="381"/>
        <v>8120104</v>
      </c>
      <c r="J184" s="6">
        <f t="shared" si="382"/>
        <v>100</v>
      </c>
      <c r="K184" s="6">
        <f t="shared" si="383"/>
        <v>8120105</v>
      </c>
      <c r="L184" s="6">
        <f t="shared" si="384"/>
        <v>100</v>
      </c>
      <c r="M184" s="6">
        <f t="shared" si="385"/>
        <v>8120106</v>
      </c>
      <c r="N184" s="6">
        <f t="shared" si="386"/>
        <v>100</v>
      </c>
      <c r="O184" s="6">
        <f t="shared" si="387"/>
        <v>8120207</v>
      </c>
      <c r="P184" s="6">
        <f t="shared" si="388"/>
        <v>50</v>
      </c>
      <c r="Q184" s="6">
        <f t="shared" si="389"/>
        <v>8120208</v>
      </c>
      <c r="R184" s="6">
        <f t="shared" si="390"/>
        <v>50</v>
      </c>
      <c r="S184" s="6">
        <f t="shared" si="391"/>
        <v>8120309</v>
      </c>
      <c r="T184" s="6">
        <f t="shared" si="392"/>
        <v>50</v>
      </c>
      <c r="U184" s="6">
        <f t="shared" si="393"/>
        <v>8120310</v>
      </c>
      <c r="V184" s="6">
        <f t="shared" si="394"/>
        <v>50</v>
      </c>
      <c r="W184" s="6">
        <f t="shared" si="395"/>
        <v>8120411</v>
      </c>
      <c r="X184" s="6">
        <f t="shared" si="396"/>
        <v>100</v>
      </c>
      <c r="Y184" s="6">
        <f t="shared" si="397"/>
        <v>8120512</v>
      </c>
      <c r="Z184" s="6">
        <f t="shared" si="398"/>
        <v>100</v>
      </c>
      <c r="AA184" s="6">
        <f t="shared" si="399"/>
        <v>8120613</v>
      </c>
      <c r="AB184" s="6">
        <f t="shared" si="400"/>
        <v>100</v>
      </c>
    </row>
    <row r="185" spans="1:28" ht="12" customHeight="1">
      <c r="A185" s="134">
        <v>200164</v>
      </c>
      <c r="B185" s="59" t="s">
        <v>1502</v>
      </c>
      <c r="C185" s="6">
        <f t="shared" si="375"/>
        <v>8130101</v>
      </c>
      <c r="D185" s="6">
        <f t="shared" si="376"/>
        <v>100</v>
      </c>
      <c r="E185" s="6">
        <f t="shared" si="377"/>
        <v>8130102</v>
      </c>
      <c r="F185" s="6">
        <f t="shared" si="378"/>
        <v>100</v>
      </c>
      <c r="G185" s="6">
        <f t="shared" si="379"/>
        <v>8130103</v>
      </c>
      <c r="H185" s="6">
        <f t="shared" si="380"/>
        <v>100</v>
      </c>
      <c r="I185" s="6">
        <f t="shared" si="381"/>
        <v>8130104</v>
      </c>
      <c r="J185" s="6">
        <f t="shared" si="382"/>
        <v>100</v>
      </c>
      <c r="K185" s="6">
        <f t="shared" si="383"/>
        <v>8130105</v>
      </c>
      <c r="L185" s="6">
        <f t="shared" si="384"/>
        <v>100</v>
      </c>
      <c r="M185" s="6">
        <f t="shared" si="385"/>
        <v>8130106</v>
      </c>
      <c r="N185" s="6">
        <f t="shared" si="386"/>
        <v>100</v>
      </c>
      <c r="O185" s="6">
        <f t="shared" si="387"/>
        <v>8130207</v>
      </c>
      <c r="P185" s="6">
        <f t="shared" si="388"/>
        <v>50</v>
      </c>
      <c r="Q185" s="6">
        <f t="shared" si="389"/>
        <v>8130208</v>
      </c>
      <c r="R185" s="6">
        <f t="shared" si="390"/>
        <v>50</v>
      </c>
      <c r="S185" s="6">
        <f t="shared" si="391"/>
        <v>8130309</v>
      </c>
      <c r="T185" s="6">
        <f t="shared" si="392"/>
        <v>50</v>
      </c>
      <c r="U185" s="6">
        <f t="shared" si="393"/>
        <v>8130310</v>
      </c>
      <c r="V185" s="6">
        <f t="shared" si="394"/>
        <v>50</v>
      </c>
      <c r="W185" s="6">
        <f t="shared" si="395"/>
        <v>8130411</v>
      </c>
      <c r="X185" s="6">
        <f t="shared" si="396"/>
        <v>100</v>
      </c>
      <c r="Y185" s="6">
        <f t="shared" si="397"/>
        <v>8130512</v>
      </c>
      <c r="Z185" s="6">
        <f t="shared" si="398"/>
        <v>100</v>
      </c>
      <c r="AA185" s="6">
        <f t="shared" si="399"/>
        <v>8130613</v>
      </c>
      <c r="AB185" s="6">
        <f t="shared" si="400"/>
        <v>100</v>
      </c>
    </row>
    <row r="186" spans="1:28" ht="12" customHeight="1">
      <c r="A186" s="134">
        <v>200165</v>
      </c>
      <c r="B186" s="59" t="s">
        <v>1502</v>
      </c>
      <c r="C186" s="6">
        <f t="shared" si="375"/>
        <v>8140101</v>
      </c>
      <c r="D186" s="6">
        <f t="shared" si="376"/>
        <v>100</v>
      </c>
      <c r="E186" s="6">
        <f t="shared" si="377"/>
        <v>8140102</v>
      </c>
      <c r="F186" s="6">
        <f t="shared" si="378"/>
        <v>100</v>
      </c>
      <c r="G186" s="6">
        <f t="shared" si="379"/>
        <v>8140103</v>
      </c>
      <c r="H186" s="6">
        <f t="shared" si="380"/>
        <v>100</v>
      </c>
      <c r="I186" s="6">
        <f t="shared" si="381"/>
        <v>8140104</v>
      </c>
      <c r="J186" s="6">
        <f t="shared" si="382"/>
        <v>100</v>
      </c>
      <c r="K186" s="6">
        <f t="shared" si="383"/>
        <v>8140105</v>
      </c>
      <c r="L186" s="6">
        <f t="shared" si="384"/>
        <v>100</v>
      </c>
      <c r="M186" s="6">
        <f t="shared" si="385"/>
        <v>8140106</v>
      </c>
      <c r="N186" s="6">
        <f t="shared" si="386"/>
        <v>100</v>
      </c>
      <c r="O186" s="6">
        <f t="shared" si="387"/>
        <v>8140207</v>
      </c>
      <c r="P186" s="6">
        <f t="shared" si="388"/>
        <v>50</v>
      </c>
      <c r="Q186" s="6">
        <f t="shared" si="389"/>
        <v>8140208</v>
      </c>
      <c r="R186" s="6">
        <f t="shared" si="390"/>
        <v>50</v>
      </c>
      <c r="S186" s="6">
        <f t="shared" si="391"/>
        <v>8140309</v>
      </c>
      <c r="T186" s="6">
        <f t="shared" si="392"/>
        <v>50</v>
      </c>
      <c r="U186" s="6">
        <f t="shared" si="393"/>
        <v>8140310</v>
      </c>
      <c r="V186" s="6">
        <f t="shared" si="394"/>
        <v>50</v>
      </c>
      <c r="W186" s="6">
        <f t="shared" si="395"/>
        <v>8140411</v>
      </c>
      <c r="X186" s="6">
        <f t="shared" si="396"/>
        <v>100</v>
      </c>
      <c r="Y186" s="6">
        <f t="shared" si="397"/>
        <v>8140512</v>
      </c>
      <c r="Z186" s="6">
        <f t="shared" si="398"/>
        <v>100</v>
      </c>
      <c r="AA186" s="6">
        <f t="shared" si="399"/>
        <v>8140613</v>
      </c>
      <c r="AB186" s="6">
        <f t="shared" si="400"/>
        <v>100</v>
      </c>
    </row>
    <row r="187" spans="1:28" ht="12" customHeight="1">
      <c r="A187" s="134">
        <v>200166</v>
      </c>
      <c r="B187" s="59" t="s">
        <v>1502</v>
      </c>
      <c r="C187" s="6">
        <f t="shared" si="375"/>
        <v>8150101</v>
      </c>
      <c r="D187" s="6">
        <f t="shared" si="376"/>
        <v>100</v>
      </c>
      <c r="E187" s="6">
        <f t="shared" si="377"/>
        <v>8150102</v>
      </c>
      <c r="F187" s="6">
        <f t="shared" si="378"/>
        <v>100</v>
      </c>
      <c r="G187" s="6">
        <f t="shared" si="379"/>
        <v>8150103</v>
      </c>
      <c r="H187" s="6">
        <f t="shared" si="380"/>
        <v>100</v>
      </c>
      <c r="I187" s="6">
        <f t="shared" si="381"/>
        <v>8150104</v>
      </c>
      <c r="J187" s="6">
        <f t="shared" si="382"/>
        <v>100</v>
      </c>
      <c r="K187" s="6">
        <f t="shared" si="383"/>
        <v>8150105</v>
      </c>
      <c r="L187" s="6">
        <f t="shared" si="384"/>
        <v>100</v>
      </c>
      <c r="M187" s="6">
        <f t="shared" si="385"/>
        <v>8150106</v>
      </c>
      <c r="N187" s="6">
        <f t="shared" si="386"/>
        <v>100</v>
      </c>
      <c r="O187" s="6">
        <f t="shared" si="387"/>
        <v>8150207</v>
      </c>
      <c r="P187" s="6">
        <f t="shared" si="388"/>
        <v>50</v>
      </c>
      <c r="Q187" s="6">
        <f t="shared" si="389"/>
        <v>8150208</v>
      </c>
      <c r="R187" s="6">
        <f t="shared" si="390"/>
        <v>50</v>
      </c>
      <c r="S187" s="6">
        <f t="shared" si="391"/>
        <v>8150309</v>
      </c>
      <c r="T187" s="6">
        <f t="shared" si="392"/>
        <v>50</v>
      </c>
      <c r="U187" s="6">
        <f t="shared" si="393"/>
        <v>8150310</v>
      </c>
      <c r="V187" s="6">
        <f t="shared" si="394"/>
        <v>50</v>
      </c>
      <c r="W187" s="6">
        <f t="shared" si="395"/>
        <v>8150411</v>
      </c>
      <c r="X187" s="6">
        <f t="shared" si="396"/>
        <v>100</v>
      </c>
      <c r="Y187" s="6">
        <f t="shared" si="397"/>
        <v>8150512</v>
      </c>
      <c r="Z187" s="6">
        <f t="shared" si="398"/>
        <v>100</v>
      </c>
      <c r="AA187" s="6">
        <f t="shared" si="399"/>
        <v>8150613</v>
      </c>
      <c r="AB187" s="6">
        <f t="shared" si="400"/>
        <v>100</v>
      </c>
    </row>
    <row r="188" spans="1:28" ht="12" customHeight="1">
      <c r="J188" s="139"/>
      <c r="L188" s="139"/>
      <c r="N188" s="139"/>
      <c r="Q188" s="139"/>
      <c r="T188" s="140"/>
    </row>
    <row r="189" spans="1:28" ht="12" customHeight="1">
      <c r="J189" s="139"/>
      <c r="L189" s="139"/>
      <c r="N189" s="139"/>
      <c r="Q189" s="139"/>
      <c r="T189" s="140"/>
    </row>
    <row r="190" spans="1:28" ht="13.5">
      <c r="J190" s="139"/>
      <c r="L190" s="139"/>
      <c r="N190" s="139"/>
      <c r="Q190" s="140"/>
      <c r="T190" s="140"/>
    </row>
    <row r="191" spans="1:28" ht="13.5">
      <c r="J191" s="139"/>
      <c r="L191" s="139"/>
      <c r="N191" s="139"/>
      <c r="Q191" s="140"/>
      <c r="T191" s="140"/>
    </row>
    <row r="192" spans="1:28" ht="13.5">
      <c r="J192" s="139"/>
      <c r="L192" s="139"/>
      <c r="N192" s="139"/>
      <c r="Q192" s="140"/>
      <c r="T192" s="140"/>
    </row>
    <row r="193" spans="10:20" ht="13.5">
      <c r="J193" s="139"/>
      <c r="L193" s="139"/>
      <c r="N193" s="139"/>
      <c r="Q193" s="140"/>
      <c r="T193" s="140"/>
    </row>
    <row r="194" spans="10:20" ht="13.5">
      <c r="J194" s="139"/>
      <c r="L194" s="139"/>
      <c r="N194" s="139"/>
      <c r="Q194" s="140"/>
      <c r="T194" s="140"/>
    </row>
    <row r="195" spans="10:20" ht="13.5">
      <c r="J195" s="139"/>
      <c r="L195" s="139"/>
      <c r="N195" s="139"/>
      <c r="Q195" s="140"/>
      <c r="T195" s="140"/>
    </row>
    <row r="196" spans="10:20" ht="13.5">
      <c r="J196" s="139"/>
      <c r="L196" s="139"/>
      <c r="N196" s="139"/>
      <c r="Q196" s="140"/>
      <c r="T196" s="140"/>
    </row>
    <row r="197" spans="10:20" ht="13.5">
      <c r="J197" s="139"/>
      <c r="L197" s="139"/>
      <c r="N197" s="139"/>
      <c r="Q197" s="140"/>
      <c r="T197" s="140"/>
    </row>
    <row r="198" spans="10:20" ht="13.5">
      <c r="J198" s="139"/>
      <c r="L198" s="139"/>
      <c r="N198" s="139"/>
      <c r="Q198" s="140"/>
      <c r="T198" s="140"/>
    </row>
    <row r="199" spans="10:20" ht="13.5">
      <c r="J199" s="139"/>
      <c r="L199" s="139"/>
      <c r="N199" s="139"/>
      <c r="Q199" s="140"/>
      <c r="T199" s="140"/>
    </row>
    <row r="200" spans="10:20" ht="13.5">
      <c r="J200" s="139"/>
      <c r="L200" s="139"/>
      <c r="N200" s="139"/>
      <c r="Q200" s="140"/>
      <c r="T200" s="140"/>
    </row>
    <row r="201" spans="10:20" ht="13.5">
      <c r="J201" s="139"/>
      <c r="L201" s="139"/>
      <c r="N201" s="139"/>
      <c r="Q201" s="140"/>
      <c r="T201" s="140"/>
    </row>
    <row r="202" spans="10:20" ht="13.5">
      <c r="J202" s="139"/>
      <c r="L202" s="139"/>
      <c r="N202" s="139"/>
      <c r="Q202" s="140"/>
      <c r="T202" s="140"/>
    </row>
    <row r="203" spans="10:20" ht="13.5">
      <c r="J203" s="139"/>
      <c r="L203" s="139"/>
      <c r="N203" s="139"/>
      <c r="Q203" s="140"/>
      <c r="T203" s="140"/>
    </row>
    <row r="204" spans="10:20" ht="13.5">
      <c r="J204" s="139"/>
      <c r="L204" s="139"/>
      <c r="N204" s="139"/>
      <c r="Q204" s="140"/>
      <c r="T204" s="140"/>
    </row>
    <row r="205" spans="10:20" ht="13.5">
      <c r="J205" s="139"/>
      <c r="L205" s="139"/>
      <c r="N205" s="139"/>
      <c r="Q205" s="140"/>
      <c r="T205" s="140"/>
    </row>
    <row r="206" spans="10:20" ht="13.5">
      <c r="J206" s="139"/>
      <c r="L206" s="139"/>
      <c r="N206" s="139"/>
      <c r="Q206" s="140"/>
      <c r="T206" s="140"/>
    </row>
    <row r="207" spans="10:20" ht="13.5">
      <c r="J207" s="139"/>
      <c r="L207" s="139"/>
      <c r="N207" s="139"/>
      <c r="Q207" s="140"/>
      <c r="T207" s="140"/>
    </row>
    <row r="208" spans="10:20" ht="13.5">
      <c r="J208" s="139"/>
      <c r="L208" s="139"/>
      <c r="N208" s="139"/>
      <c r="Q208" s="140"/>
      <c r="T208" s="140"/>
    </row>
    <row r="209" spans="10:20" ht="13.5">
      <c r="J209" s="139"/>
      <c r="L209" s="139"/>
      <c r="N209" s="139"/>
      <c r="Q209" s="140"/>
      <c r="T209" s="140"/>
    </row>
    <row r="210" spans="10:20" ht="13.5">
      <c r="J210" s="139"/>
      <c r="L210" s="139"/>
      <c r="N210" s="139"/>
      <c r="Q210" s="140"/>
      <c r="T210" s="140"/>
    </row>
    <row r="211" spans="10:20" ht="13.5">
      <c r="J211" s="139"/>
      <c r="L211" s="139"/>
      <c r="N211" s="139"/>
      <c r="Q211" s="140"/>
      <c r="T211" s="140"/>
    </row>
    <row r="212" spans="10:20" ht="13.5">
      <c r="J212" s="139"/>
      <c r="L212" s="139"/>
      <c r="N212" s="139"/>
      <c r="Q212" s="140"/>
      <c r="T212" s="140"/>
    </row>
    <row r="213" spans="10:20" ht="13.5">
      <c r="J213" s="139"/>
      <c r="L213" s="139"/>
      <c r="N213" s="139"/>
      <c r="Q213" s="140"/>
      <c r="T213" s="140"/>
    </row>
    <row r="214" spans="10:20" ht="13.5">
      <c r="J214" s="139"/>
      <c r="L214" s="139"/>
      <c r="N214" s="139"/>
      <c r="Q214" s="140"/>
      <c r="T214" s="140"/>
    </row>
    <row r="215" spans="10:20" ht="13.5">
      <c r="J215" s="139"/>
      <c r="L215" s="139"/>
      <c r="N215" s="139"/>
      <c r="Q215" s="140"/>
      <c r="T215" s="140"/>
    </row>
    <row r="216" spans="10:20" ht="13.5">
      <c r="J216" s="139"/>
      <c r="L216" s="139"/>
      <c r="N216" s="139"/>
      <c r="Q216" s="140"/>
      <c r="T216" s="140"/>
    </row>
    <row r="217" spans="10:20" ht="13.5">
      <c r="J217" s="139"/>
      <c r="L217" s="139"/>
      <c r="N217" s="139"/>
      <c r="Q217" s="140"/>
      <c r="T217" s="140"/>
    </row>
    <row r="218" spans="10:20" ht="13.5">
      <c r="J218" s="139"/>
      <c r="L218" s="139"/>
      <c r="N218" s="139"/>
      <c r="Q218" s="140"/>
      <c r="T218" s="140"/>
    </row>
    <row r="219" spans="10:20" ht="13.5">
      <c r="J219" s="139"/>
      <c r="L219" s="139"/>
      <c r="N219" s="139"/>
      <c r="Q219" s="140"/>
      <c r="T219" s="140"/>
    </row>
    <row r="220" spans="10:20" ht="13.5">
      <c r="J220" s="139"/>
      <c r="L220" s="139"/>
      <c r="N220" s="139"/>
      <c r="Q220" s="140"/>
      <c r="T220" s="140"/>
    </row>
    <row r="221" spans="10:20" ht="13.5">
      <c r="J221" s="139"/>
      <c r="L221" s="139"/>
      <c r="N221" s="139"/>
      <c r="Q221" s="140"/>
      <c r="T221" s="140"/>
    </row>
    <row r="222" spans="10:20" ht="13.5">
      <c r="J222" s="139"/>
      <c r="L222" s="139"/>
      <c r="N222" s="139"/>
      <c r="Q222" s="140"/>
      <c r="T222" s="140"/>
    </row>
    <row r="223" spans="10:20" ht="13.5">
      <c r="J223" s="139"/>
      <c r="L223" s="139"/>
      <c r="N223" s="139"/>
      <c r="Q223" s="140"/>
      <c r="T223" s="140"/>
    </row>
    <row r="224" spans="10:20" ht="13.5">
      <c r="J224" s="139"/>
      <c r="L224" s="139"/>
      <c r="N224" s="139"/>
      <c r="Q224" s="140"/>
      <c r="T224" s="140"/>
    </row>
    <row r="225" spans="10:20" ht="13.5">
      <c r="J225" s="139"/>
      <c r="L225" s="139"/>
      <c r="N225" s="139"/>
      <c r="Q225" s="140"/>
      <c r="T225" s="140"/>
    </row>
    <row r="226" spans="10:20" ht="13.5">
      <c r="J226" s="139"/>
      <c r="L226" s="139"/>
      <c r="N226" s="139"/>
      <c r="Q226" s="140"/>
      <c r="T226" s="140"/>
    </row>
    <row r="227" spans="10:20" ht="13.5">
      <c r="J227" s="139"/>
      <c r="L227" s="139"/>
      <c r="N227" s="139"/>
      <c r="Q227" s="140"/>
      <c r="T227" s="140"/>
    </row>
    <row r="228" spans="10:20" ht="13.5">
      <c r="J228" s="139"/>
      <c r="L228" s="139"/>
      <c r="N228" s="139"/>
      <c r="Q228" s="140"/>
      <c r="T228" s="140"/>
    </row>
    <row r="229" spans="10:20" ht="13.5">
      <c r="J229" s="139"/>
      <c r="L229" s="139"/>
      <c r="N229" s="139"/>
      <c r="Q229" s="140"/>
      <c r="T229" s="140"/>
    </row>
    <row r="230" spans="10:20" ht="13.5">
      <c r="J230" s="139"/>
      <c r="L230" s="139"/>
      <c r="N230" s="139"/>
      <c r="Q230" s="140"/>
      <c r="T230" s="140"/>
    </row>
    <row r="231" spans="10:20" ht="13.5">
      <c r="J231" s="139"/>
      <c r="L231" s="139"/>
      <c r="N231" s="139"/>
      <c r="Q231" s="140"/>
      <c r="T231" s="140"/>
    </row>
    <row r="232" spans="10:20" ht="13.5">
      <c r="J232" s="139"/>
      <c r="L232" s="139"/>
      <c r="N232" s="139"/>
      <c r="Q232" s="140"/>
      <c r="T232" s="140"/>
    </row>
    <row r="233" spans="10:20" ht="13.5">
      <c r="J233" s="139"/>
      <c r="L233" s="139"/>
      <c r="N233" s="139"/>
      <c r="Q233" s="140"/>
      <c r="T233" s="140"/>
    </row>
    <row r="234" spans="10:20" ht="13.5">
      <c r="J234" s="139"/>
      <c r="L234" s="139"/>
      <c r="N234" s="139"/>
      <c r="Q234" s="140"/>
      <c r="T234" s="140"/>
    </row>
    <row r="235" spans="10:20" ht="13.5">
      <c r="J235" s="139"/>
      <c r="L235" s="139"/>
      <c r="N235" s="139"/>
      <c r="Q235" s="140"/>
      <c r="T235" s="140"/>
    </row>
    <row r="236" spans="10:20" ht="13.5">
      <c r="J236" s="139"/>
      <c r="L236" s="139"/>
      <c r="N236" s="139"/>
      <c r="Q236" s="140"/>
      <c r="T236" s="140"/>
    </row>
    <row r="237" spans="10:20" ht="13.5">
      <c r="J237" s="139"/>
      <c r="L237" s="139"/>
      <c r="N237" s="139"/>
      <c r="Q237" s="140"/>
      <c r="T237" s="140"/>
    </row>
    <row r="238" spans="10:20" ht="13.5">
      <c r="J238" s="139"/>
      <c r="L238" s="139"/>
      <c r="N238" s="139"/>
      <c r="Q238" s="140"/>
      <c r="T238" s="140"/>
    </row>
    <row r="239" spans="10:20" ht="13.5">
      <c r="J239" s="139"/>
      <c r="L239" s="139"/>
      <c r="N239" s="139"/>
      <c r="Q239" s="140"/>
      <c r="T239" s="140"/>
    </row>
    <row r="240" spans="10:20" ht="13.5">
      <c r="J240" s="139"/>
      <c r="L240" s="139"/>
      <c r="N240" s="139"/>
      <c r="Q240" s="140"/>
      <c r="T240" s="140"/>
    </row>
    <row r="241" spans="10:20" ht="13.5">
      <c r="J241" s="139"/>
      <c r="L241" s="139"/>
      <c r="N241" s="139"/>
      <c r="Q241" s="140"/>
      <c r="T241" s="140"/>
    </row>
    <row r="242" spans="10:20" ht="13.5">
      <c r="J242" s="139"/>
      <c r="L242" s="139"/>
      <c r="N242" s="139"/>
      <c r="Q242" s="140"/>
      <c r="T242" s="140"/>
    </row>
    <row r="243" spans="10:20" ht="13.5">
      <c r="J243" s="139"/>
      <c r="L243" s="139"/>
      <c r="N243" s="139"/>
      <c r="Q243" s="140"/>
      <c r="T243" s="140"/>
    </row>
    <row r="244" spans="10:20" ht="13.5">
      <c r="J244" s="139"/>
      <c r="L244" s="139"/>
      <c r="N244" s="139"/>
      <c r="Q244" s="140"/>
      <c r="T244" s="140"/>
    </row>
    <row r="245" spans="10:20" ht="13.5">
      <c r="J245" s="139"/>
      <c r="L245" s="139"/>
      <c r="N245" s="139"/>
      <c r="Q245" s="140"/>
      <c r="T245" s="140"/>
    </row>
    <row r="246" spans="10:20" ht="13.5">
      <c r="J246" s="139"/>
      <c r="L246" s="139"/>
      <c r="N246" s="139"/>
      <c r="Q246" s="140"/>
      <c r="T246" s="140"/>
    </row>
    <row r="247" spans="10:20" ht="13.5">
      <c r="J247" s="139"/>
      <c r="L247" s="139"/>
      <c r="N247" s="139"/>
      <c r="Q247" s="140"/>
      <c r="T247" s="140"/>
    </row>
    <row r="248" spans="10:20" ht="13.5">
      <c r="J248" s="139"/>
      <c r="L248" s="139"/>
      <c r="N248" s="139"/>
      <c r="Q248" s="140"/>
      <c r="T248" s="140"/>
    </row>
    <row r="249" spans="10:20" ht="13.5">
      <c r="J249" s="139"/>
      <c r="L249" s="139"/>
      <c r="N249" s="139"/>
      <c r="Q249" s="140"/>
      <c r="T249" s="140"/>
    </row>
    <row r="250" spans="10:20" ht="13.5">
      <c r="J250" s="139"/>
      <c r="L250" s="139"/>
      <c r="N250" s="139"/>
      <c r="Q250" s="140"/>
      <c r="T250" s="140"/>
    </row>
    <row r="251" spans="10:20" ht="13.5">
      <c r="J251" s="139"/>
      <c r="L251" s="139"/>
      <c r="N251" s="139"/>
      <c r="Q251" s="140"/>
      <c r="T251" s="140"/>
    </row>
    <row r="252" spans="10:20" ht="13.5">
      <c r="J252" s="139"/>
      <c r="L252" s="139"/>
      <c r="N252" s="139"/>
      <c r="Q252" s="140"/>
      <c r="T252" s="140"/>
    </row>
    <row r="253" spans="10:20" ht="13.5">
      <c r="J253" s="139"/>
      <c r="L253" s="139"/>
      <c r="N253" s="139"/>
      <c r="Q253" s="140"/>
      <c r="T253" s="140"/>
    </row>
    <row r="254" spans="10:20" ht="13.5">
      <c r="J254" s="139"/>
      <c r="L254" s="139"/>
      <c r="N254" s="139"/>
      <c r="Q254" s="140"/>
      <c r="T254" s="140"/>
    </row>
    <row r="255" spans="10:20" ht="13.5">
      <c r="J255" s="139"/>
      <c r="L255" s="139"/>
      <c r="N255" s="139"/>
      <c r="Q255" s="140"/>
      <c r="T255" s="140"/>
    </row>
    <row r="256" spans="10:20" ht="13.5">
      <c r="J256" s="139"/>
      <c r="L256" s="139"/>
      <c r="N256" s="139"/>
      <c r="Q256" s="140"/>
      <c r="T256" s="140"/>
    </row>
    <row r="257" spans="10:20" ht="13.5">
      <c r="J257" s="139"/>
      <c r="L257" s="139"/>
      <c r="N257" s="139"/>
      <c r="Q257" s="140"/>
      <c r="T257" s="140"/>
    </row>
    <row r="258" spans="10:20" ht="13.5">
      <c r="J258" s="139"/>
      <c r="L258" s="139"/>
      <c r="N258" s="139"/>
      <c r="Q258" s="140"/>
      <c r="T258" s="140"/>
    </row>
    <row r="259" spans="10:20" ht="13.5">
      <c r="J259" s="139"/>
      <c r="L259" s="139"/>
      <c r="N259" s="139"/>
      <c r="Q259" s="140"/>
      <c r="T259" s="140"/>
    </row>
    <row r="260" spans="10:20" ht="13.5">
      <c r="J260" s="139"/>
      <c r="L260" s="139"/>
      <c r="N260" s="139"/>
      <c r="Q260" s="140"/>
      <c r="T260" s="140"/>
    </row>
    <row r="261" spans="10:20" ht="13.5">
      <c r="J261" s="139"/>
      <c r="L261" s="139"/>
      <c r="N261" s="139"/>
      <c r="Q261" s="140"/>
      <c r="T261" s="140"/>
    </row>
    <row r="262" spans="10:20" ht="13.5">
      <c r="J262" s="139"/>
      <c r="L262" s="139"/>
      <c r="N262" s="139"/>
      <c r="Q262" s="140"/>
      <c r="T262" s="140"/>
    </row>
    <row r="263" spans="10:20" ht="13.5">
      <c r="J263" s="139"/>
      <c r="L263" s="139"/>
      <c r="N263" s="139"/>
      <c r="Q263" s="140"/>
      <c r="T263" s="140"/>
    </row>
    <row r="264" spans="10:20" ht="13.5">
      <c r="J264" s="139"/>
      <c r="L264" s="139"/>
      <c r="N264" s="139"/>
      <c r="Q264" s="140"/>
      <c r="T264" s="140"/>
    </row>
    <row r="265" spans="10:20" ht="13.5">
      <c r="J265" s="139"/>
      <c r="L265" s="139"/>
      <c r="N265" s="139"/>
      <c r="Q265" s="140"/>
      <c r="T265" s="140"/>
    </row>
    <row r="266" spans="10:20" ht="13.5">
      <c r="J266" s="139"/>
      <c r="L266" s="139"/>
      <c r="N266" s="139"/>
      <c r="Q266" s="140"/>
      <c r="T266" s="140"/>
    </row>
    <row r="267" spans="10:20" ht="13.5">
      <c r="J267" s="139"/>
      <c r="L267" s="139"/>
      <c r="N267" s="139"/>
      <c r="Q267" s="140"/>
      <c r="T267" s="140"/>
    </row>
    <row r="268" spans="10:20" ht="13.5">
      <c r="J268" s="139"/>
      <c r="L268" s="139"/>
      <c r="N268" s="139"/>
      <c r="Q268" s="140"/>
      <c r="T268" s="140"/>
    </row>
    <row r="269" spans="10:20" ht="13.5">
      <c r="J269" s="139"/>
      <c r="L269" s="139"/>
      <c r="N269" s="139"/>
      <c r="Q269" s="140"/>
      <c r="T269" s="140"/>
    </row>
    <row r="270" spans="10:20" ht="13.5">
      <c r="J270" s="139"/>
      <c r="L270" s="139"/>
      <c r="N270" s="139"/>
      <c r="Q270" s="140"/>
      <c r="T270" s="140"/>
    </row>
    <row r="271" spans="10:20" ht="13.5">
      <c r="J271" s="139"/>
      <c r="L271" s="139"/>
      <c r="N271" s="139"/>
      <c r="Q271" s="140"/>
      <c r="T271" s="140"/>
    </row>
    <row r="272" spans="10:20" ht="13.5">
      <c r="J272" s="139"/>
      <c r="L272" s="139"/>
      <c r="N272" s="139"/>
      <c r="Q272" s="140"/>
      <c r="T272" s="140"/>
    </row>
    <row r="273" spans="10:20" ht="13.5">
      <c r="J273" s="139"/>
      <c r="L273" s="139"/>
      <c r="N273" s="139"/>
      <c r="Q273" s="140"/>
      <c r="T273" s="140"/>
    </row>
    <row r="274" spans="10:20" ht="13.5">
      <c r="J274" s="139"/>
      <c r="L274" s="139"/>
      <c r="N274" s="139"/>
      <c r="Q274" s="140"/>
      <c r="T274" s="140"/>
    </row>
    <row r="275" spans="10:20" ht="13.5">
      <c r="J275" s="139"/>
      <c r="L275" s="139"/>
      <c r="N275" s="139"/>
      <c r="Q275" s="140"/>
      <c r="T275" s="140"/>
    </row>
    <row r="276" spans="10:20" ht="13.5">
      <c r="J276" s="139"/>
      <c r="L276" s="139"/>
      <c r="N276" s="139"/>
      <c r="Q276" s="140"/>
      <c r="T276" s="140"/>
    </row>
    <row r="277" spans="10:20" ht="13.5">
      <c r="J277" s="139"/>
      <c r="L277" s="139"/>
      <c r="N277" s="139"/>
      <c r="Q277" s="140"/>
      <c r="T277" s="140"/>
    </row>
    <row r="278" spans="10:20" ht="13.5">
      <c r="J278" s="139"/>
      <c r="L278" s="139"/>
      <c r="N278" s="139"/>
      <c r="Q278" s="140"/>
      <c r="T278" s="140"/>
    </row>
    <row r="279" spans="10:20" ht="13.5">
      <c r="J279" s="139"/>
      <c r="L279" s="139"/>
      <c r="N279" s="139"/>
      <c r="Q279" s="140"/>
      <c r="T279" s="140"/>
    </row>
    <row r="280" spans="10:20" ht="13.5">
      <c r="J280" s="139"/>
      <c r="L280" s="139"/>
      <c r="N280" s="139"/>
      <c r="Q280" s="140"/>
      <c r="T280" s="140"/>
    </row>
    <row r="281" spans="10:20" ht="13.5">
      <c r="J281" s="139"/>
      <c r="L281" s="139"/>
      <c r="N281" s="139"/>
      <c r="Q281" s="140"/>
      <c r="T281" s="140"/>
    </row>
    <row r="282" spans="10:20" ht="13.5">
      <c r="J282" s="139"/>
      <c r="L282" s="139"/>
      <c r="N282" s="139"/>
      <c r="Q282" s="140"/>
      <c r="T282" s="140"/>
    </row>
    <row r="283" spans="10:20" ht="13.5">
      <c r="J283" s="139"/>
      <c r="L283" s="139"/>
      <c r="N283" s="139"/>
      <c r="Q283" s="140"/>
      <c r="T283" s="140"/>
    </row>
    <row r="284" spans="10:20" ht="13.5">
      <c r="J284" s="139"/>
      <c r="L284" s="139"/>
      <c r="N284" s="139"/>
      <c r="Q284" s="140"/>
      <c r="T284" s="140"/>
    </row>
    <row r="285" spans="10:20" ht="13.5">
      <c r="J285" s="139"/>
      <c r="L285" s="139"/>
      <c r="N285" s="139"/>
      <c r="Q285" s="140"/>
      <c r="T285" s="140"/>
    </row>
    <row r="286" spans="10:20" ht="13.5">
      <c r="J286" s="139"/>
      <c r="L286" s="139"/>
      <c r="N286" s="139"/>
      <c r="Q286" s="140"/>
      <c r="T286" s="140"/>
    </row>
    <row r="287" spans="10:20" ht="13.5">
      <c r="J287" s="139"/>
      <c r="L287" s="139"/>
      <c r="N287" s="139"/>
      <c r="Q287" s="140"/>
      <c r="T287" s="140"/>
    </row>
    <row r="288" spans="10:20" ht="13.5">
      <c r="J288" s="139"/>
      <c r="L288" s="139"/>
      <c r="N288" s="139"/>
      <c r="Q288" s="140"/>
      <c r="T288" s="140"/>
    </row>
    <row r="289" spans="10:20" ht="13.5">
      <c r="J289" s="139"/>
      <c r="L289" s="139"/>
      <c r="N289" s="139"/>
      <c r="Q289" s="140"/>
      <c r="T289" s="140"/>
    </row>
    <row r="290" spans="10:20" ht="13.5">
      <c r="J290" s="139"/>
      <c r="L290" s="139"/>
      <c r="N290" s="139"/>
      <c r="Q290" s="140"/>
      <c r="T290" s="140"/>
    </row>
    <row r="291" spans="10:20" ht="13.5">
      <c r="J291" s="139"/>
      <c r="L291" s="139"/>
      <c r="N291" s="139"/>
      <c r="Q291" s="140"/>
      <c r="T291" s="140"/>
    </row>
    <row r="292" spans="10:20" ht="13.5">
      <c r="J292" s="139"/>
      <c r="L292" s="139"/>
      <c r="N292" s="139"/>
      <c r="Q292" s="140"/>
      <c r="T292" s="140"/>
    </row>
    <row r="293" spans="10:20" ht="13.5">
      <c r="J293" s="139"/>
      <c r="L293" s="139"/>
      <c r="N293" s="139"/>
      <c r="Q293" s="140"/>
      <c r="T293" s="140"/>
    </row>
    <row r="294" spans="10:20" ht="13.5">
      <c r="J294" s="139"/>
      <c r="L294" s="139"/>
      <c r="N294" s="139"/>
      <c r="Q294" s="140"/>
      <c r="T294" s="140"/>
    </row>
    <row r="295" spans="10:20" ht="13.5">
      <c r="J295" s="139"/>
      <c r="L295" s="139"/>
      <c r="N295" s="139"/>
      <c r="Q295" s="140"/>
      <c r="T295" s="140"/>
    </row>
    <row r="296" spans="10:20" ht="13.5">
      <c r="J296" s="139"/>
      <c r="L296" s="139"/>
      <c r="N296" s="139"/>
      <c r="Q296" s="140"/>
      <c r="T296" s="140"/>
    </row>
    <row r="297" spans="10:20" ht="13.5">
      <c r="J297" s="139"/>
      <c r="L297" s="139"/>
      <c r="N297" s="139"/>
      <c r="Q297" s="140"/>
      <c r="T297" s="140"/>
    </row>
    <row r="298" spans="10:20" ht="13.5">
      <c r="J298" s="139"/>
      <c r="L298" s="139"/>
      <c r="N298" s="139"/>
      <c r="Q298" s="140"/>
      <c r="T298" s="140"/>
    </row>
    <row r="299" spans="10:20" ht="13.5">
      <c r="J299" s="139"/>
      <c r="L299" s="139"/>
      <c r="N299" s="139"/>
      <c r="Q299" s="140"/>
      <c r="T299" s="140"/>
    </row>
    <row r="300" spans="10:20" ht="13.5">
      <c r="J300" s="139"/>
      <c r="L300" s="139"/>
      <c r="N300" s="139"/>
      <c r="Q300" s="140"/>
      <c r="T300" s="140"/>
    </row>
    <row r="301" spans="10:20" ht="13.5">
      <c r="J301" s="139"/>
      <c r="L301" s="139"/>
      <c r="N301" s="139"/>
      <c r="Q301" s="140"/>
      <c r="T301" s="140"/>
    </row>
    <row r="302" spans="10:20" ht="13.5">
      <c r="J302" s="139"/>
      <c r="L302" s="139"/>
      <c r="N302" s="139"/>
      <c r="Q302" s="140"/>
      <c r="T302" s="140"/>
    </row>
    <row r="303" spans="10:20" ht="13.5">
      <c r="J303" s="139"/>
      <c r="L303" s="139"/>
      <c r="N303" s="139"/>
      <c r="Q303" s="140"/>
      <c r="T303" s="140"/>
    </row>
    <row r="304" spans="10:20" ht="13.5">
      <c r="J304" s="139"/>
      <c r="L304" s="139"/>
      <c r="N304" s="139"/>
      <c r="Q304" s="140"/>
      <c r="T304" s="140"/>
    </row>
    <row r="305" spans="10:20" ht="13.5">
      <c r="J305" s="139"/>
      <c r="L305" s="139"/>
      <c r="N305" s="139"/>
      <c r="Q305" s="140"/>
      <c r="T305" s="140"/>
    </row>
    <row r="306" spans="10:20" ht="13.5">
      <c r="J306" s="139"/>
      <c r="L306" s="139"/>
      <c r="N306" s="139"/>
      <c r="Q306" s="140"/>
      <c r="T306" s="140"/>
    </row>
    <row r="307" spans="10:20" ht="13.5">
      <c r="J307" s="139"/>
      <c r="L307" s="139"/>
      <c r="N307" s="139"/>
      <c r="Q307" s="140"/>
      <c r="T307" s="140"/>
    </row>
    <row r="308" spans="10:20" ht="13.5">
      <c r="J308" s="139"/>
      <c r="L308" s="139"/>
      <c r="N308" s="139"/>
      <c r="Q308" s="140"/>
      <c r="T308" s="140"/>
    </row>
    <row r="309" spans="10:20" ht="13.5">
      <c r="J309" s="139"/>
      <c r="L309" s="139"/>
      <c r="N309" s="139"/>
      <c r="Q309" s="140"/>
      <c r="T309" s="140"/>
    </row>
    <row r="310" spans="10:20" ht="13.5">
      <c r="J310" s="139"/>
      <c r="L310" s="139"/>
      <c r="N310" s="139"/>
      <c r="Q310" s="140"/>
      <c r="T310" s="140"/>
    </row>
    <row r="311" spans="10:20" ht="13.5">
      <c r="J311" s="139"/>
      <c r="L311" s="139"/>
      <c r="N311" s="139"/>
      <c r="Q311" s="140"/>
      <c r="T311" s="140"/>
    </row>
    <row r="312" spans="10:20" ht="13.5">
      <c r="J312" s="139"/>
      <c r="L312" s="139"/>
      <c r="N312" s="139"/>
      <c r="Q312" s="140"/>
      <c r="T312" s="140"/>
    </row>
    <row r="313" spans="10:20" ht="13.5">
      <c r="J313" s="139"/>
      <c r="L313" s="139"/>
      <c r="N313" s="139"/>
      <c r="Q313" s="140"/>
      <c r="T313" s="140"/>
    </row>
    <row r="314" spans="10:20" ht="13.5">
      <c r="J314" s="139"/>
      <c r="L314" s="139"/>
      <c r="N314" s="139"/>
      <c r="Q314" s="140"/>
      <c r="T314" s="140"/>
    </row>
    <row r="315" spans="10:20" ht="13.5">
      <c r="J315" s="139"/>
      <c r="L315" s="139"/>
      <c r="N315" s="139"/>
      <c r="Q315" s="140"/>
      <c r="T315" s="140"/>
    </row>
    <row r="316" spans="10:20" ht="13.5">
      <c r="J316" s="139"/>
      <c r="L316" s="139"/>
      <c r="N316" s="139"/>
      <c r="Q316" s="140"/>
      <c r="T316" s="140"/>
    </row>
    <row r="317" spans="10:20" ht="13.5">
      <c r="J317" s="139"/>
      <c r="L317" s="139"/>
      <c r="N317" s="139"/>
      <c r="Q317" s="140"/>
      <c r="T317" s="140"/>
    </row>
    <row r="318" spans="10:20" ht="13.5">
      <c r="J318" s="139"/>
      <c r="L318" s="139"/>
      <c r="N318" s="139"/>
      <c r="Q318" s="140"/>
      <c r="T318" s="140"/>
    </row>
    <row r="319" spans="10:20" ht="13.5">
      <c r="J319" s="139"/>
      <c r="L319" s="139"/>
      <c r="N319" s="139"/>
      <c r="Q319" s="140"/>
      <c r="T319" s="140"/>
    </row>
    <row r="320" spans="10:20" ht="13.5">
      <c r="J320" s="139"/>
      <c r="L320" s="139"/>
      <c r="N320" s="139"/>
      <c r="Q320" s="140"/>
      <c r="T320" s="140"/>
    </row>
    <row r="321" spans="10:20" ht="13.5">
      <c r="J321" s="139"/>
      <c r="L321" s="139"/>
      <c r="N321" s="139"/>
      <c r="Q321" s="140"/>
      <c r="T321" s="140"/>
    </row>
    <row r="322" spans="10:20" ht="13.5">
      <c r="J322" s="139"/>
      <c r="L322" s="139"/>
      <c r="N322" s="139"/>
      <c r="Q322" s="140"/>
      <c r="T322" s="140"/>
    </row>
    <row r="323" spans="10:20" ht="13.5">
      <c r="J323" s="139"/>
      <c r="L323" s="139"/>
      <c r="N323" s="139"/>
      <c r="Q323" s="140"/>
      <c r="T323" s="140"/>
    </row>
    <row r="324" spans="10:20" ht="13.5">
      <c r="J324" s="139"/>
      <c r="L324" s="139"/>
      <c r="N324" s="139"/>
      <c r="Q324" s="140"/>
      <c r="T324" s="140"/>
    </row>
    <row r="325" spans="10:20" ht="13.5">
      <c r="J325" s="139"/>
      <c r="L325" s="139"/>
      <c r="N325" s="139"/>
      <c r="Q325" s="140"/>
      <c r="T325" s="140"/>
    </row>
    <row r="326" spans="10:20" ht="13.5">
      <c r="J326" s="139"/>
      <c r="L326" s="139"/>
      <c r="N326" s="139"/>
      <c r="Q326" s="140"/>
      <c r="T326" s="140"/>
    </row>
    <row r="327" spans="10:20" ht="13.5">
      <c r="J327" s="139"/>
      <c r="L327" s="139"/>
      <c r="N327" s="139"/>
      <c r="Q327" s="140"/>
      <c r="T327" s="140"/>
    </row>
    <row r="328" spans="10:20" ht="13.5">
      <c r="J328" s="139"/>
      <c r="L328" s="139"/>
      <c r="N328" s="139"/>
      <c r="Q328" s="140"/>
      <c r="T328" s="140"/>
    </row>
    <row r="329" spans="10:20" ht="13.5">
      <c r="J329" s="139"/>
      <c r="L329" s="139"/>
      <c r="N329" s="139"/>
      <c r="Q329" s="140"/>
      <c r="T329" s="140"/>
    </row>
    <row r="330" spans="10:20" ht="13.5">
      <c r="J330" s="139"/>
      <c r="L330" s="139"/>
      <c r="N330" s="139"/>
      <c r="Q330" s="140"/>
      <c r="T330" s="140"/>
    </row>
    <row r="331" spans="10:20" ht="13.5">
      <c r="J331" s="139"/>
      <c r="L331" s="139"/>
      <c r="N331" s="139"/>
      <c r="Q331" s="140"/>
      <c r="T331" s="140"/>
    </row>
    <row r="332" spans="10:20" ht="13.5">
      <c r="J332" s="139"/>
      <c r="L332" s="139"/>
      <c r="N332" s="139"/>
      <c r="Q332" s="140"/>
      <c r="T332" s="140"/>
    </row>
    <row r="333" spans="10:20" ht="13.5">
      <c r="J333" s="139"/>
      <c r="L333" s="139"/>
      <c r="N333" s="139"/>
      <c r="Q333" s="140"/>
      <c r="T333" s="140"/>
    </row>
    <row r="334" spans="10:20" ht="13.5">
      <c r="J334" s="139"/>
      <c r="L334" s="139"/>
      <c r="N334" s="139"/>
      <c r="Q334" s="140"/>
      <c r="T334" s="140"/>
    </row>
    <row r="335" spans="10:20" ht="13.5">
      <c r="J335" s="139"/>
      <c r="L335" s="139"/>
      <c r="N335" s="139"/>
      <c r="Q335" s="140"/>
      <c r="T335" s="140"/>
    </row>
    <row r="336" spans="10:20" ht="13.5">
      <c r="J336" s="139"/>
      <c r="L336" s="139"/>
      <c r="N336" s="139"/>
      <c r="Q336" s="140"/>
      <c r="T336" s="140"/>
    </row>
    <row r="337" spans="10:20" ht="13.5">
      <c r="J337" s="139"/>
      <c r="L337" s="139"/>
      <c r="N337" s="139"/>
      <c r="Q337" s="140"/>
      <c r="T337" s="140"/>
    </row>
    <row r="338" spans="10:20" ht="13.5">
      <c r="J338" s="139"/>
      <c r="L338" s="139"/>
      <c r="N338" s="139"/>
      <c r="Q338" s="140"/>
      <c r="T338" s="140"/>
    </row>
    <row r="339" spans="10:20" ht="13.5">
      <c r="J339" s="139"/>
      <c r="L339" s="139"/>
      <c r="N339" s="139"/>
      <c r="Q339" s="140"/>
      <c r="T339" s="140"/>
    </row>
    <row r="340" spans="10:20" ht="13.5">
      <c r="J340" s="139"/>
      <c r="L340" s="139"/>
      <c r="N340" s="139"/>
      <c r="Q340" s="140"/>
      <c r="T340" s="140"/>
    </row>
    <row r="341" spans="10:20" ht="13.5">
      <c r="J341" s="139"/>
      <c r="L341" s="139"/>
      <c r="N341" s="139"/>
      <c r="Q341" s="140"/>
      <c r="T341" s="140"/>
    </row>
  </sheetData>
  <phoneticPr fontId="28" type="noConversion"/>
  <dataValidations count="1">
    <dataValidation allowBlank="1" showInputMessage="1" showErrorMessage="1" prompt="id规则&#10;前缀（1位）+装备等级（3位）+装备类型（1位）+装备编号（2位）&#10;前缀格式：4环装；5普通打造；6强化打造&#10;装备类型：0武器；1腰带；2鞋子；3项链；4头盔；5衣服" sqref="C2 C6:C7 E6:E7 G6:G7 I6:I7 K6:K7 M6:M7 O6:O7 Q6:Q7 S6:S7 AF6:AF7 AH6:AH7 AJ6:AJ7 AL6:AL7 AN6:AN7 AP6:AP7 AR6:AR7 AT6:AT7 AV6:AV7 AX6:AX7 AZ6:AZ7 BB6:BB7 BD6:BD7 BF6:BF7 BH6:BH7 BJ6:BJ7 BL6:BL7 BN6:BN7 BP6:BP7 BR6:BR7 BT6:BT7 BV6:BV7 BX6:BX7 BZ6:BZ7 CB6:CB7 CD6:CD7 CF6:CF7 CH6:CH7 CJ6:CJ7 CL6:CL7 CN6:CN7 CP6:CP7 CR6:CR7 CT6:CT7 CV6:CV7 CX6:CX7 CZ6:CZ7 DB6:DB7 DD6:DD7 DF6:DF7 DH6:DH7 DJ6:DJ7"/>
  </dataValidation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0"/>
  </sheetPr>
  <dimension ref="B2:AK153"/>
  <sheetViews>
    <sheetView workbookViewId="0">
      <selection activeCell="Q25" sqref="Q25"/>
    </sheetView>
  </sheetViews>
  <sheetFormatPr defaultColWidth="9" defaultRowHeight="13.5"/>
  <cols>
    <col min="1" max="1" width="5.625" customWidth="1"/>
    <col min="2" max="2" width="16.125" customWidth="1"/>
    <col min="3" max="3" width="8.5" customWidth="1"/>
    <col min="4" max="26" width="5.625" customWidth="1"/>
  </cols>
  <sheetData>
    <row r="2" spans="2:37">
      <c r="B2" s="74" t="s">
        <v>1503</v>
      </c>
      <c r="C2" s="75" t="s">
        <v>1504</v>
      </c>
      <c r="D2" s="76"/>
      <c r="E2" s="76"/>
      <c r="F2" s="76"/>
      <c r="G2" s="77"/>
      <c r="H2" s="77"/>
      <c r="I2" s="77"/>
      <c r="J2" s="77"/>
      <c r="K2" s="77"/>
      <c r="L2" s="76"/>
      <c r="M2" s="76"/>
      <c r="N2" s="86"/>
      <c r="O2" s="87" t="s">
        <v>1505</v>
      </c>
      <c r="P2" s="76"/>
      <c r="Q2" s="77"/>
      <c r="R2" s="77"/>
      <c r="S2" s="77"/>
      <c r="T2" s="77"/>
      <c r="U2" s="77"/>
      <c r="V2" s="77"/>
      <c r="W2" s="6"/>
      <c r="X2" s="6"/>
      <c r="Y2" s="6"/>
      <c r="Z2" s="75"/>
      <c r="AA2" s="95" t="s">
        <v>1506</v>
      </c>
      <c r="AB2" s="76"/>
      <c r="AC2" s="77"/>
      <c r="AD2" s="77"/>
      <c r="AE2" s="77"/>
      <c r="AF2" s="77"/>
      <c r="AG2" s="77"/>
      <c r="AH2" s="77"/>
      <c r="AI2" s="6"/>
      <c r="AJ2" s="6"/>
      <c r="AK2" s="6"/>
    </row>
    <row r="3" spans="2:37" ht="24">
      <c r="B3" s="60" t="s">
        <v>1507</v>
      </c>
      <c r="C3" s="78" t="s">
        <v>1508</v>
      </c>
      <c r="D3" s="79" t="s">
        <v>1509</v>
      </c>
      <c r="E3" s="80" t="s">
        <v>1510</v>
      </c>
      <c r="F3" s="80" t="s">
        <v>1511</v>
      </c>
      <c r="G3" s="80" t="s">
        <v>1512</v>
      </c>
      <c r="H3" s="79" t="s">
        <v>1513</v>
      </c>
      <c r="I3" s="79" t="s">
        <v>1514</v>
      </c>
      <c r="J3" s="79" t="s">
        <v>1515</v>
      </c>
      <c r="K3" s="79" t="s">
        <v>1516</v>
      </c>
      <c r="L3" s="79" t="s">
        <v>1517</v>
      </c>
      <c r="M3" s="88" t="s">
        <v>1518</v>
      </c>
      <c r="N3" s="86"/>
      <c r="O3" s="78" t="s">
        <v>1508</v>
      </c>
      <c r="P3" s="79" t="s">
        <v>1509</v>
      </c>
      <c r="Q3" s="80" t="s">
        <v>1510</v>
      </c>
      <c r="R3" s="80" t="s">
        <v>1511</v>
      </c>
      <c r="S3" s="80" t="s">
        <v>1512</v>
      </c>
      <c r="T3" s="79" t="s">
        <v>1513</v>
      </c>
      <c r="U3" s="79" t="s">
        <v>1514</v>
      </c>
      <c r="V3" s="79" t="s">
        <v>1515</v>
      </c>
      <c r="W3" s="79" t="s">
        <v>1516</v>
      </c>
      <c r="X3" s="79" t="s">
        <v>1517</v>
      </c>
      <c r="Y3" s="88" t="s">
        <v>1518</v>
      </c>
      <c r="Z3" s="96"/>
      <c r="AA3" s="78" t="s">
        <v>1508</v>
      </c>
      <c r="AB3" s="79" t="s">
        <v>1509</v>
      </c>
      <c r="AC3" s="80" t="s">
        <v>1510</v>
      </c>
      <c r="AD3" s="80" t="s">
        <v>1511</v>
      </c>
      <c r="AE3" s="80" t="s">
        <v>1512</v>
      </c>
      <c r="AF3" s="79" t="s">
        <v>1513</v>
      </c>
      <c r="AG3" s="79" t="s">
        <v>1514</v>
      </c>
      <c r="AH3" s="79" t="s">
        <v>1515</v>
      </c>
      <c r="AI3" s="79" t="s">
        <v>1516</v>
      </c>
      <c r="AJ3" s="79" t="s">
        <v>1517</v>
      </c>
      <c r="AK3" s="88" t="s">
        <v>1518</v>
      </c>
    </row>
    <row r="4" spans="2:37">
      <c r="B4" s="6">
        <v>1</v>
      </c>
      <c r="C4" s="81">
        <f t="shared" ref="C4" si="0">B4</f>
        <v>1</v>
      </c>
      <c r="D4" s="82">
        <f t="shared" ref="D4" si="1">IF(B4&lt;10,1,ROUNDDOWN(B4,-1))</f>
        <v>1</v>
      </c>
      <c r="E4" s="83">
        <v>1</v>
      </c>
      <c r="F4" s="83">
        <v>0</v>
      </c>
      <c r="G4" s="84">
        <v>0</v>
      </c>
      <c r="H4" s="85">
        <v>0</v>
      </c>
      <c r="I4" s="85">
        <v>0</v>
      </c>
      <c r="J4" s="86">
        <v>1</v>
      </c>
      <c r="K4" s="86">
        <v>0</v>
      </c>
      <c r="L4" s="86">
        <v>0</v>
      </c>
      <c r="M4" s="89">
        <v>0</v>
      </c>
      <c r="N4" s="86"/>
      <c r="O4" s="90">
        <f t="shared" ref="O4" si="2">C4</f>
        <v>1</v>
      </c>
      <c r="P4" s="91">
        <f t="shared" ref="P4" si="3">D4</f>
        <v>1</v>
      </c>
      <c r="Q4" s="92">
        <f t="shared" ref="Q4" si="4">E4*$D$25</f>
        <v>20</v>
      </c>
      <c r="R4" s="92">
        <f t="shared" ref="R4" si="5">F4*$D$36</f>
        <v>0</v>
      </c>
      <c r="S4" s="93">
        <f t="shared" ref="S4" si="6">G4*$D$27</f>
        <v>0</v>
      </c>
      <c r="T4" s="94">
        <f t="shared" ref="T4" si="7">H4*$D$39</f>
        <v>0</v>
      </c>
      <c r="U4" s="94">
        <f t="shared" ref="U4" si="8">H4*$D$40</f>
        <v>0</v>
      </c>
      <c r="V4" s="12">
        <f t="shared" ref="V4" si="9">J4</f>
        <v>1</v>
      </c>
      <c r="W4" s="12">
        <f t="shared" ref="W4" si="10">K4*0.7</f>
        <v>0</v>
      </c>
      <c r="X4" s="12">
        <v>1</v>
      </c>
      <c r="Y4" s="97">
        <f t="shared" ref="Y4" si="11">ROUND(MAX(M4*0.7,),0)</f>
        <v>0</v>
      </c>
      <c r="Z4" s="98"/>
      <c r="AA4" s="99">
        <f t="shared" ref="AA4" si="12">C4</f>
        <v>1</v>
      </c>
      <c r="AB4" s="91">
        <f t="shared" ref="AB4" si="13">B4</f>
        <v>1</v>
      </c>
      <c r="AC4" s="92">
        <f t="shared" ref="AC4" si="14">$D$25</f>
        <v>20</v>
      </c>
      <c r="AD4" s="92">
        <f t="shared" ref="AD4" si="15">$D$36</f>
        <v>30</v>
      </c>
      <c r="AE4" s="92">
        <f t="shared" ref="AE4" si="16">$D$27</f>
        <v>20</v>
      </c>
      <c r="AF4" s="100">
        <f t="shared" ref="AF4" si="17">B4*0.1*$D$39</f>
        <v>3</v>
      </c>
      <c r="AG4" s="100">
        <f t="shared" ref="AG4" si="18">B4*0.1*$D$40</f>
        <v>3</v>
      </c>
      <c r="AH4" s="91">
        <f t="shared" ref="AH4" si="19">B4</f>
        <v>1</v>
      </c>
      <c r="AI4" s="91">
        <f t="shared" ref="AI4" si="20">B4*$D$26</f>
        <v>20</v>
      </c>
      <c r="AJ4" s="101">
        <v>1</v>
      </c>
      <c r="AK4" s="102">
        <f t="shared" ref="AK4" si="21">MIN(AA4*0.1,20)</f>
        <v>0.1</v>
      </c>
    </row>
    <row r="5" spans="2:37">
      <c r="B5" s="6">
        <v>2</v>
      </c>
      <c r="C5" s="81">
        <f t="shared" ref="C5" si="22">B5</f>
        <v>2</v>
      </c>
      <c r="D5" s="82">
        <f t="shared" ref="D5" si="23">IF(B5&lt;10,1,ROUNDDOWN(B5,-1))</f>
        <v>1</v>
      </c>
      <c r="E5" s="83">
        <v>1</v>
      </c>
      <c r="F5" s="83">
        <v>0</v>
      </c>
      <c r="G5" s="84">
        <v>0</v>
      </c>
      <c r="H5" s="85">
        <v>0</v>
      </c>
      <c r="I5" s="85">
        <v>0</v>
      </c>
      <c r="J5" s="86">
        <v>1</v>
      </c>
      <c r="K5" s="86">
        <v>0</v>
      </c>
      <c r="L5" s="86">
        <v>0</v>
      </c>
      <c r="M5" s="89">
        <v>0</v>
      </c>
      <c r="N5" s="86"/>
      <c r="O5" s="90">
        <f t="shared" ref="O5" si="24">C5</f>
        <v>2</v>
      </c>
      <c r="P5" s="91">
        <f t="shared" ref="P5" si="25">D5</f>
        <v>1</v>
      </c>
      <c r="Q5" s="92">
        <f t="shared" ref="Q5" si="26">E5*$D$25</f>
        <v>20</v>
      </c>
      <c r="R5" s="92">
        <f t="shared" ref="R5" si="27">F5*$D$36</f>
        <v>0</v>
      </c>
      <c r="S5" s="93">
        <f t="shared" ref="S5" si="28">G5*$D$27</f>
        <v>0</v>
      </c>
      <c r="T5" s="94">
        <f t="shared" ref="T5" si="29">H5*$D$39</f>
        <v>0</v>
      </c>
      <c r="U5" s="94">
        <f t="shared" ref="U5" si="30">H5*$D$40</f>
        <v>0</v>
      </c>
      <c r="V5" s="12">
        <f t="shared" ref="V5" si="31">J5</f>
        <v>1</v>
      </c>
      <c r="W5" s="12">
        <f t="shared" ref="W5" si="32">K5*0.7</f>
        <v>0</v>
      </c>
      <c r="X5" s="12">
        <v>1</v>
      </c>
      <c r="Y5" s="97">
        <f t="shared" ref="Y5" si="33">ROUND(MAX(M5*0.7,),0)</f>
        <v>0</v>
      </c>
      <c r="Z5" s="98"/>
      <c r="AA5" s="99">
        <f t="shared" ref="AA5" si="34">C5</f>
        <v>2</v>
      </c>
      <c r="AB5" s="91">
        <f t="shared" ref="AB5" si="35">B5</f>
        <v>2</v>
      </c>
      <c r="AC5" s="92">
        <f t="shared" ref="AC5" si="36">$D$25</f>
        <v>20</v>
      </c>
      <c r="AD5" s="92">
        <f t="shared" ref="AD5" si="37">$D$36</f>
        <v>30</v>
      </c>
      <c r="AE5" s="92">
        <f t="shared" ref="AE5" si="38">$D$27</f>
        <v>20</v>
      </c>
      <c r="AF5" s="100">
        <f t="shared" ref="AF5" si="39">B5*0.1*$D$39</f>
        <v>6</v>
      </c>
      <c r="AG5" s="100">
        <f t="shared" ref="AG5" si="40">B5*0.1*$D$40</f>
        <v>6</v>
      </c>
      <c r="AH5" s="91">
        <f t="shared" ref="AH5" si="41">B5</f>
        <v>2</v>
      </c>
      <c r="AI5" s="91">
        <f t="shared" ref="AI5" si="42">B5*$D$26</f>
        <v>40</v>
      </c>
      <c r="AJ5" s="101">
        <v>1</v>
      </c>
      <c r="AK5" s="102">
        <f t="shared" ref="AK5" si="43">MIN(AA5*0.1,20)</f>
        <v>0.2</v>
      </c>
    </row>
    <row r="6" spans="2:37">
      <c r="B6" s="6">
        <v>3</v>
      </c>
      <c r="C6" s="81">
        <f t="shared" ref="C6:C35" si="44">B6</f>
        <v>3</v>
      </c>
      <c r="D6" s="82">
        <f t="shared" ref="D6:D35" si="45">IF(B6&lt;10,1,ROUNDDOWN(B6,-1))</f>
        <v>1</v>
      </c>
      <c r="E6" s="83">
        <v>1</v>
      </c>
      <c r="F6" s="83">
        <v>0</v>
      </c>
      <c r="G6" s="84">
        <v>0</v>
      </c>
      <c r="H6" s="85">
        <v>0</v>
      </c>
      <c r="I6" s="85">
        <v>0</v>
      </c>
      <c r="J6" s="86">
        <v>1</v>
      </c>
      <c r="K6" s="86">
        <v>0</v>
      </c>
      <c r="L6" s="86">
        <v>0</v>
      </c>
      <c r="M6" s="89">
        <v>0</v>
      </c>
      <c r="N6" s="86"/>
      <c r="O6" s="90">
        <f t="shared" ref="O6:O35" si="46">C6</f>
        <v>3</v>
      </c>
      <c r="P6" s="91">
        <f t="shared" ref="P6:P35" si="47">D6</f>
        <v>1</v>
      </c>
      <c r="Q6" s="92">
        <f t="shared" ref="Q6:Q35" si="48">E6*$D$25</f>
        <v>20</v>
      </c>
      <c r="R6" s="92">
        <f t="shared" ref="R6:R35" si="49">F6*$D$36</f>
        <v>0</v>
      </c>
      <c r="S6" s="93">
        <f t="shared" ref="S6:S35" si="50">G6*$D$27</f>
        <v>0</v>
      </c>
      <c r="T6" s="94">
        <f t="shared" ref="T6:T35" si="51">H6*$D$39</f>
        <v>0</v>
      </c>
      <c r="U6" s="94">
        <f t="shared" ref="U6:U35" si="52">H6*$D$40</f>
        <v>0</v>
      </c>
      <c r="V6" s="12">
        <f t="shared" ref="V6:V35" si="53">J6</f>
        <v>1</v>
      </c>
      <c r="W6" s="12">
        <f t="shared" ref="W6:W35" si="54">K6*0.7</f>
        <v>0</v>
      </c>
      <c r="X6" s="12">
        <v>1</v>
      </c>
      <c r="Y6" s="97">
        <f t="shared" ref="Y6:Y35" si="55">ROUND(MAX(M6*0.7,),0)</f>
        <v>0</v>
      </c>
      <c r="Z6" s="98"/>
      <c r="AA6" s="99">
        <f t="shared" ref="AA6:AA35" si="56">C6</f>
        <v>3</v>
      </c>
      <c r="AB6" s="91">
        <f t="shared" ref="AB6:AB35" si="57">B6</f>
        <v>3</v>
      </c>
      <c r="AC6" s="92">
        <f t="shared" ref="AC6:AC35" si="58">$D$25</f>
        <v>20</v>
      </c>
      <c r="AD6" s="92">
        <f t="shared" ref="AD6:AD35" si="59">$D$36</f>
        <v>30</v>
      </c>
      <c r="AE6" s="92">
        <f t="shared" ref="AE6:AE35" si="60">$D$27</f>
        <v>20</v>
      </c>
      <c r="AF6" s="100">
        <f t="shared" ref="AF6:AF35" si="61">B6*0.1*$D$39</f>
        <v>9.0000000000000018</v>
      </c>
      <c r="AG6" s="100">
        <f t="shared" ref="AG6:AG35" si="62">B6*0.1*$D$40</f>
        <v>9.0000000000000018</v>
      </c>
      <c r="AH6" s="91">
        <f t="shared" ref="AH6:AH35" si="63">B6</f>
        <v>3</v>
      </c>
      <c r="AI6" s="91">
        <f t="shared" ref="AI6:AI35" si="64">B6*$D$26</f>
        <v>60</v>
      </c>
      <c r="AJ6" s="101">
        <v>1</v>
      </c>
      <c r="AK6" s="102">
        <f t="shared" ref="AK6:AK35" si="65">MIN(AA6*0.1,20)</f>
        <v>0.30000000000000004</v>
      </c>
    </row>
    <row r="7" spans="2:37">
      <c r="B7" s="6">
        <v>4</v>
      </c>
      <c r="C7" s="81">
        <f t="shared" si="44"/>
        <v>4</v>
      </c>
      <c r="D7" s="82">
        <f t="shared" si="45"/>
        <v>1</v>
      </c>
      <c r="E7" s="83">
        <v>1</v>
      </c>
      <c r="F7" s="83">
        <v>0</v>
      </c>
      <c r="G7" s="84">
        <v>0</v>
      </c>
      <c r="H7" s="85">
        <v>0</v>
      </c>
      <c r="I7" s="85">
        <v>0</v>
      </c>
      <c r="J7" s="86">
        <v>1</v>
      </c>
      <c r="K7" s="86">
        <v>0</v>
      </c>
      <c r="L7" s="86">
        <v>0</v>
      </c>
      <c r="M7" s="89">
        <v>0</v>
      </c>
      <c r="N7" s="86"/>
      <c r="O7" s="90">
        <f t="shared" si="46"/>
        <v>4</v>
      </c>
      <c r="P7" s="91">
        <f t="shared" si="47"/>
        <v>1</v>
      </c>
      <c r="Q7" s="92">
        <f t="shared" si="48"/>
        <v>20</v>
      </c>
      <c r="R7" s="92">
        <f t="shared" si="49"/>
        <v>0</v>
      </c>
      <c r="S7" s="93">
        <f t="shared" si="50"/>
        <v>0</v>
      </c>
      <c r="T7" s="94">
        <f t="shared" si="51"/>
        <v>0</v>
      </c>
      <c r="U7" s="94">
        <f t="shared" si="52"/>
        <v>0</v>
      </c>
      <c r="V7" s="12">
        <f t="shared" si="53"/>
        <v>1</v>
      </c>
      <c r="W7" s="12">
        <f t="shared" si="54"/>
        <v>0</v>
      </c>
      <c r="X7" s="12">
        <v>1</v>
      </c>
      <c r="Y7" s="97">
        <f t="shared" si="55"/>
        <v>0</v>
      </c>
      <c r="Z7" s="98"/>
      <c r="AA7" s="99">
        <f t="shared" si="56"/>
        <v>4</v>
      </c>
      <c r="AB7" s="91">
        <f t="shared" si="57"/>
        <v>4</v>
      </c>
      <c r="AC7" s="92">
        <f t="shared" si="58"/>
        <v>20</v>
      </c>
      <c r="AD7" s="92">
        <f t="shared" si="59"/>
        <v>30</v>
      </c>
      <c r="AE7" s="92">
        <f t="shared" si="60"/>
        <v>20</v>
      </c>
      <c r="AF7" s="100">
        <f t="shared" si="61"/>
        <v>12</v>
      </c>
      <c r="AG7" s="100">
        <f t="shared" si="62"/>
        <v>12</v>
      </c>
      <c r="AH7" s="91">
        <f t="shared" si="63"/>
        <v>4</v>
      </c>
      <c r="AI7" s="91">
        <f t="shared" si="64"/>
        <v>80</v>
      </c>
      <c r="AJ7" s="101">
        <v>1</v>
      </c>
      <c r="AK7" s="102">
        <f t="shared" si="65"/>
        <v>0.4</v>
      </c>
    </row>
    <row r="8" spans="2:37">
      <c r="B8" s="6">
        <v>5</v>
      </c>
      <c r="C8" s="81">
        <f t="shared" si="44"/>
        <v>5</v>
      </c>
      <c r="D8" s="82">
        <f t="shared" si="45"/>
        <v>1</v>
      </c>
      <c r="E8" s="83">
        <v>1</v>
      </c>
      <c r="F8" s="83">
        <v>0</v>
      </c>
      <c r="G8" s="84">
        <v>0</v>
      </c>
      <c r="H8" s="85">
        <v>0</v>
      </c>
      <c r="I8" s="85">
        <v>0</v>
      </c>
      <c r="J8" s="86">
        <v>1</v>
      </c>
      <c r="K8" s="86">
        <v>0</v>
      </c>
      <c r="L8" s="86">
        <v>0</v>
      </c>
      <c r="M8" s="89">
        <v>0</v>
      </c>
      <c r="N8" s="86"/>
      <c r="O8" s="90">
        <f t="shared" si="46"/>
        <v>5</v>
      </c>
      <c r="P8" s="91">
        <f t="shared" si="47"/>
        <v>1</v>
      </c>
      <c r="Q8" s="92">
        <f t="shared" si="48"/>
        <v>20</v>
      </c>
      <c r="R8" s="92">
        <f t="shared" si="49"/>
        <v>0</v>
      </c>
      <c r="S8" s="93">
        <f t="shared" si="50"/>
        <v>0</v>
      </c>
      <c r="T8" s="94">
        <f t="shared" si="51"/>
        <v>0</v>
      </c>
      <c r="U8" s="94">
        <f t="shared" si="52"/>
        <v>0</v>
      </c>
      <c r="V8" s="12">
        <f t="shared" si="53"/>
        <v>1</v>
      </c>
      <c r="W8" s="12">
        <f t="shared" si="54"/>
        <v>0</v>
      </c>
      <c r="X8" s="12">
        <v>1</v>
      </c>
      <c r="Y8" s="97">
        <f t="shared" si="55"/>
        <v>0</v>
      </c>
      <c r="Z8" s="98"/>
      <c r="AA8" s="99">
        <f t="shared" si="56"/>
        <v>5</v>
      </c>
      <c r="AB8" s="91">
        <f t="shared" si="57"/>
        <v>5</v>
      </c>
      <c r="AC8" s="92">
        <f t="shared" si="58"/>
        <v>20</v>
      </c>
      <c r="AD8" s="92">
        <f t="shared" si="59"/>
        <v>30</v>
      </c>
      <c r="AE8" s="92">
        <f t="shared" si="60"/>
        <v>20</v>
      </c>
      <c r="AF8" s="100">
        <f t="shared" si="61"/>
        <v>15</v>
      </c>
      <c r="AG8" s="100">
        <f t="shared" si="62"/>
        <v>15</v>
      </c>
      <c r="AH8" s="91">
        <f t="shared" si="63"/>
        <v>5</v>
      </c>
      <c r="AI8" s="91">
        <f t="shared" si="64"/>
        <v>100</v>
      </c>
      <c r="AJ8" s="101">
        <v>1</v>
      </c>
      <c r="AK8" s="102">
        <f t="shared" si="65"/>
        <v>0.5</v>
      </c>
    </row>
    <row r="9" spans="2:37">
      <c r="B9" s="6">
        <v>6</v>
      </c>
      <c r="C9" s="81">
        <f t="shared" si="44"/>
        <v>6</v>
      </c>
      <c r="D9" s="82">
        <f t="shared" si="45"/>
        <v>1</v>
      </c>
      <c r="E9" s="83">
        <v>1</v>
      </c>
      <c r="F9" s="83">
        <v>0</v>
      </c>
      <c r="G9" s="84">
        <v>0</v>
      </c>
      <c r="H9" s="85">
        <v>0</v>
      </c>
      <c r="I9" s="85">
        <v>0</v>
      </c>
      <c r="J9" s="86">
        <v>1</v>
      </c>
      <c r="K9" s="86">
        <v>0</v>
      </c>
      <c r="L9" s="86">
        <v>0</v>
      </c>
      <c r="M9" s="89">
        <v>0</v>
      </c>
      <c r="N9" s="86"/>
      <c r="O9" s="90">
        <f t="shared" si="46"/>
        <v>6</v>
      </c>
      <c r="P9" s="91">
        <f t="shared" si="47"/>
        <v>1</v>
      </c>
      <c r="Q9" s="92">
        <f t="shared" si="48"/>
        <v>20</v>
      </c>
      <c r="R9" s="92">
        <f t="shared" si="49"/>
        <v>0</v>
      </c>
      <c r="S9" s="93">
        <f t="shared" si="50"/>
        <v>0</v>
      </c>
      <c r="T9" s="94">
        <f t="shared" si="51"/>
        <v>0</v>
      </c>
      <c r="U9" s="94">
        <f t="shared" si="52"/>
        <v>0</v>
      </c>
      <c r="V9" s="12">
        <f t="shared" si="53"/>
        <v>1</v>
      </c>
      <c r="W9" s="12">
        <f t="shared" si="54"/>
        <v>0</v>
      </c>
      <c r="X9" s="12">
        <v>1</v>
      </c>
      <c r="Y9" s="97">
        <f t="shared" si="55"/>
        <v>0</v>
      </c>
      <c r="Z9" s="98"/>
      <c r="AA9" s="99">
        <f t="shared" si="56"/>
        <v>6</v>
      </c>
      <c r="AB9" s="91">
        <f t="shared" si="57"/>
        <v>6</v>
      </c>
      <c r="AC9" s="92">
        <f t="shared" si="58"/>
        <v>20</v>
      </c>
      <c r="AD9" s="92">
        <f t="shared" si="59"/>
        <v>30</v>
      </c>
      <c r="AE9" s="92">
        <f t="shared" si="60"/>
        <v>20</v>
      </c>
      <c r="AF9" s="100">
        <f t="shared" si="61"/>
        <v>18.000000000000004</v>
      </c>
      <c r="AG9" s="100">
        <f t="shared" si="62"/>
        <v>18.000000000000004</v>
      </c>
      <c r="AH9" s="91">
        <f t="shared" si="63"/>
        <v>6</v>
      </c>
      <c r="AI9" s="91">
        <f t="shared" si="64"/>
        <v>120</v>
      </c>
      <c r="AJ9" s="101">
        <v>1</v>
      </c>
      <c r="AK9" s="102">
        <f t="shared" si="65"/>
        <v>0.60000000000000009</v>
      </c>
    </row>
    <row r="10" spans="2:37">
      <c r="B10" s="6">
        <v>7</v>
      </c>
      <c r="C10" s="81">
        <f t="shared" si="44"/>
        <v>7</v>
      </c>
      <c r="D10" s="82">
        <f t="shared" si="45"/>
        <v>1</v>
      </c>
      <c r="E10" s="83">
        <v>1</v>
      </c>
      <c r="F10" s="83">
        <v>0</v>
      </c>
      <c r="G10" s="84">
        <v>0</v>
      </c>
      <c r="H10" s="85">
        <v>0</v>
      </c>
      <c r="I10" s="85">
        <v>0</v>
      </c>
      <c r="J10" s="86">
        <v>1</v>
      </c>
      <c r="K10" s="86">
        <v>0</v>
      </c>
      <c r="L10" s="86">
        <v>0</v>
      </c>
      <c r="M10" s="89">
        <v>0</v>
      </c>
      <c r="N10" s="86"/>
      <c r="O10" s="90">
        <f t="shared" si="46"/>
        <v>7</v>
      </c>
      <c r="P10" s="91">
        <f t="shared" si="47"/>
        <v>1</v>
      </c>
      <c r="Q10" s="92">
        <f t="shared" si="48"/>
        <v>20</v>
      </c>
      <c r="R10" s="92">
        <f t="shared" si="49"/>
        <v>0</v>
      </c>
      <c r="S10" s="93">
        <f t="shared" si="50"/>
        <v>0</v>
      </c>
      <c r="T10" s="94">
        <f t="shared" si="51"/>
        <v>0</v>
      </c>
      <c r="U10" s="94">
        <f t="shared" si="52"/>
        <v>0</v>
      </c>
      <c r="V10" s="12">
        <f t="shared" si="53"/>
        <v>1</v>
      </c>
      <c r="W10" s="12">
        <f t="shared" si="54"/>
        <v>0</v>
      </c>
      <c r="X10" s="12">
        <v>1</v>
      </c>
      <c r="Y10" s="97">
        <f t="shared" si="55"/>
        <v>0</v>
      </c>
      <c r="Z10" s="98"/>
      <c r="AA10" s="99">
        <f t="shared" si="56"/>
        <v>7</v>
      </c>
      <c r="AB10" s="91">
        <f t="shared" si="57"/>
        <v>7</v>
      </c>
      <c r="AC10" s="92">
        <f t="shared" si="58"/>
        <v>20</v>
      </c>
      <c r="AD10" s="92">
        <f t="shared" si="59"/>
        <v>30</v>
      </c>
      <c r="AE10" s="92">
        <f t="shared" si="60"/>
        <v>20</v>
      </c>
      <c r="AF10" s="100">
        <f t="shared" si="61"/>
        <v>21.000000000000004</v>
      </c>
      <c r="AG10" s="100">
        <f t="shared" si="62"/>
        <v>21.000000000000004</v>
      </c>
      <c r="AH10" s="91">
        <f t="shared" si="63"/>
        <v>7</v>
      </c>
      <c r="AI10" s="91">
        <f t="shared" si="64"/>
        <v>140</v>
      </c>
      <c r="AJ10" s="101">
        <v>1</v>
      </c>
      <c r="AK10" s="102">
        <f t="shared" si="65"/>
        <v>0.70000000000000007</v>
      </c>
    </row>
    <row r="11" spans="2:37">
      <c r="B11" s="6">
        <v>8</v>
      </c>
      <c r="C11" s="81">
        <f t="shared" si="44"/>
        <v>8</v>
      </c>
      <c r="D11" s="82">
        <f t="shared" si="45"/>
        <v>1</v>
      </c>
      <c r="E11" s="83">
        <v>1</v>
      </c>
      <c r="F11" s="83">
        <v>0</v>
      </c>
      <c r="G11" s="84">
        <v>0</v>
      </c>
      <c r="H11" s="85">
        <v>0</v>
      </c>
      <c r="I11" s="85">
        <v>0</v>
      </c>
      <c r="J11" s="86">
        <v>1</v>
      </c>
      <c r="K11" s="86">
        <v>0</v>
      </c>
      <c r="L11" s="86">
        <v>0</v>
      </c>
      <c r="M11" s="89">
        <v>0</v>
      </c>
      <c r="N11" s="86"/>
      <c r="O11" s="90">
        <f t="shared" si="46"/>
        <v>8</v>
      </c>
      <c r="P11" s="91">
        <f t="shared" si="47"/>
        <v>1</v>
      </c>
      <c r="Q11" s="92">
        <f t="shared" si="48"/>
        <v>20</v>
      </c>
      <c r="R11" s="92">
        <f t="shared" si="49"/>
        <v>0</v>
      </c>
      <c r="S11" s="93">
        <f t="shared" si="50"/>
        <v>0</v>
      </c>
      <c r="T11" s="94">
        <f t="shared" si="51"/>
        <v>0</v>
      </c>
      <c r="U11" s="94">
        <f t="shared" si="52"/>
        <v>0</v>
      </c>
      <c r="V11" s="12">
        <f t="shared" si="53"/>
        <v>1</v>
      </c>
      <c r="W11" s="12">
        <f t="shared" si="54"/>
        <v>0</v>
      </c>
      <c r="X11" s="12">
        <v>1</v>
      </c>
      <c r="Y11" s="97">
        <f t="shared" si="55"/>
        <v>0</v>
      </c>
      <c r="Z11" s="98"/>
      <c r="AA11" s="99">
        <f t="shared" si="56"/>
        <v>8</v>
      </c>
      <c r="AB11" s="91">
        <f t="shared" si="57"/>
        <v>8</v>
      </c>
      <c r="AC11" s="92">
        <f t="shared" si="58"/>
        <v>20</v>
      </c>
      <c r="AD11" s="92">
        <f t="shared" si="59"/>
        <v>30</v>
      </c>
      <c r="AE11" s="92">
        <f t="shared" si="60"/>
        <v>20</v>
      </c>
      <c r="AF11" s="100">
        <f t="shared" si="61"/>
        <v>24</v>
      </c>
      <c r="AG11" s="100">
        <f t="shared" si="62"/>
        <v>24</v>
      </c>
      <c r="AH11" s="91">
        <f t="shared" si="63"/>
        <v>8</v>
      </c>
      <c r="AI11" s="91">
        <f t="shared" si="64"/>
        <v>160</v>
      </c>
      <c r="AJ11" s="101">
        <v>1</v>
      </c>
      <c r="AK11" s="102">
        <f t="shared" si="65"/>
        <v>0.8</v>
      </c>
    </row>
    <row r="12" spans="2:37">
      <c r="B12" s="6">
        <v>9</v>
      </c>
      <c r="C12" s="81">
        <f t="shared" si="44"/>
        <v>9</v>
      </c>
      <c r="D12" s="82">
        <f t="shared" si="45"/>
        <v>1</v>
      </c>
      <c r="E12" s="83">
        <v>1</v>
      </c>
      <c r="F12" s="83">
        <v>0</v>
      </c>
      <c r="G12" s="84">
        <v>0</v>
      </c>
      <c r="H12" s="85">
        <v>0</v>
      </c>
      <c r="I12" s="85">
        <v>0</v>
      </c>
      <c r="J12" s="86">
        <v>1</v>
      </c>
      <c r="K12" s="86">
        <v>0</v>
      </c>
      <c r="L12" s="86">
        <v>0</v>
      </c>
      <c r="M12" s="89">
        <v>0</v>
      </c>
      <c r="N12" s="86"/>
      <c r="O12" s="90">
        <f t="shared" si="46"/>
        <v>9</v>
      </c>
      <c r="P12" s="91">
        <f t="shared" si="47"/>
        <v>1</v>
      </c>
      <c r="Q12" s="92">
        <f t="shared" si="48"/>
        <v>20</v>
      </c>
      <c r="R12" s="92">
        <f t="shared" si="49"/>
        <v>0</v>
      </c>
      <c r="S12" s="93">
        <f t="shared" si="50"/>
        <v>0</v>
      </c>
      <c r="T12" s="94">
        <f t="shared" si="51"/>
        <v>0</v>
      </c>
      <c r="U12" s="94">
        <f t="shared" si="52"/>
        <v>0</v>
      </c>
      <c r="V12" s="12">
        <f t="shared" si="53"/>
        <v>1</v>
      </c>
      <c r="W12" s="12">
        <f t="shared" si="54"/>
        <v>0</v>
      </c>
      <c r="X12" s="12">
        <v>1</v>
      </c>
      <c r="Y12" s="97">
        <f t="shared" si="55"/>
        <v>0</v>
      </c>
      <c r="Z12" s="98"/>
      <c r="AA12" s="99">
        <f t="shared" si="56"/>
        <v>9</v>
      </c>
      <c r="AB12" s="91">
        <f t="shared" si="57"/>
        <v>9</v>
      </c>
      <c r="AC12" s="92">
        <f t="shared" si="58"/>
        <v>20</v>
      </c>
      <c r="AD12" s="92">
        <f t="shared" si="59"/>
        <v>30</v>
      </c>
      <c r="AE12" s="92">
        <f t="shared" si="60"/>
        <v>20</v>
      </c>
      <c r="AF12" s="100">
        <f t="shared" si="61"/>
        <v>27</v>
      </c>
      <c r="AG12" s="100">
        <f t="shared" si="62"/>
        <v>27</v>
      </c>
      <c r="AH12" s="91">
        <f t="shared" si="63"/>
        <v>9</v>
      </c>
      <c r="AI12" s="91">
        <f t="shared" si="64"/>
        <v>180</v>
      </c>
      <c r="AJ12" s="101">
        <v>1</v>
      </c>
      <c r="AK12" s="102">
        <f t="shared" si="65"/>
        <v>0.9</v>
      </c>
    </row>
    <row r="13" spans="2:37">
      <c r="B13" s="6">
        <v>10</v>
      </c>
      <c r="C13" s="81">
        <f t="shared" si="44"/>
        <v>10</v>
      </c>
      <c r="D13" s="82">
        <f t="shared" si="45"/>
        <v>10</v>
      </c>
      <c r="E13" s="83">
        <v>1</v>
      </c>
      <c r="F13" s="83">
        <v>0</v>
      </c>
      <c r="G13" s="84">
        <v>0</v>
      </c>
      <c r="H13" s="85">
        <v>0</v>
      </c>
      <c r="I13" s="85">
        <v>0</v>
      </c>
      <c r="J13" s="86">
        <v>10</v>
      </c>
      <c r="K13" s="86">
        <v>0</v>
      </c>
      <c r="L13" s="86">
        <v>0</v>
      </c>
      <c r="M13" s="89">
        <v>0</v>
      </c>
      <c r="N13" s="86"/>
      <c r="O13" s="90">
        <f t="shared" si="46"/>
        <v>10</v>
      </c>
      <c r="P13" s="91">
        <f t="shared" si="47"/>
        <v>10</v>
      </c>
      <c r="Q13" s="92">
        <f t="shared" si="48"/>
        <v>20</v>
      </c>
      <c r="R13" s="92">
        <f t="shared" si="49"/>
        <v>0</v>
      </c>
      <c r="S13" s="93">
        <f t="shared" si="50"/>
        <v>0</v>
      </c>
      <c r="T13" s="94">
        <f t="shared" si="51"/>
        <v>0</v>
      </c>
      <c r="U13" s="94">
        <f t="shared" si="52"/>
        <v>0</v>
      </c>
      <c r="V13" s="12">
        <f t="shared" si="53"/>
        <v>10</v>
      </c>
      <c r="W13" s="12">
        <f t="shared" si="54"/>
        <v>0</v>
      </c>
      <c r="X13" s="12">
        <v>1</v>
      </c>
      <c r="Y13" s="97">
        <f t="shared" si="55"/>
        <v>0</v>
      </c>
      <c r="Z13" s="98"/>
      <c r="AA13" s="99">
        <f t="shared" si="56"/>
        <v>10</v>
      </c>
      <c r="AB13" s="91">
        <f t="shared" si="57"/>
        <v>10</v>
      </c>
      <c r="AC13" s="92">
        <f t="shared" si="58"/>
        <v>20</v>
      </c>
      <c r="AD13" s="92">
        <f t="shared" si="59"/>
        <v>30</v>
      </c>
      <c r="AE13" s="92">
        <f t="shared" si="60"/>
        <v>20</v>
      </c>
      <c r="AF13" s="100">
        <f t="shared" si="61"/>
        <v>30</v>
      </c>
      <c r="AG13" s="100">
        <f t="shared" si="62"/>
        <v>30</v>
      </c>
      <c r="AH13" s="91">
        <f t="shared" si="63"/>
        <v>10</v>
      </c>
      <c r="AI13" s="91">
        <f t="shared" si="64"/>
        <v>200</v>
      </c>
      <c r="AJ13" s="101">
        <v>1</v>
      </c>
      <c r="AK13" s="102">
        <f t="shared" si="65"/>
        <v>1</v>
      </c>
    </row>
    <row r="14" spans="2:37">
      <c r="B14" s="6">
        <v>11</v>
      </c>
      <c r="C14" s="81">
        <f t="shared" si="44"/>
        <v>11</v>
      </c>
      <c r="D14" s="82">
        <f t="shared" si="45"/>
        <v>10</v>
      </c>
      <c r="E14" s="83">
        <v>1</v>
      </c>
      <c r="F14" s="83">
        <v>0</v>
      </c>
      <c r="G14" s="84">
        <v>0</v>
      </c>
      <c r="H14" s="85">
        <v>0</v>
      </c>
      <c r="I14" s="85">
        <v>0</v>
      </c>
      <c r="J14" s="86">
        <v>11</v>
      </c>
      <c r="K14" s="86">
        <v>0</v>
      </c>
      <c r="L14" s="86">
        <v>0</v>
      </c>
      <c r="M14" s="89">
        <v>0</v>
      </c>
      <c r="N14" s="86"/>
      <c r="O14" s="90">
        <f t="shared" si="46"/>
        <v>11</v>
      </c>
      <c r="P14" s="91">
        <f t="shared" si="47"/>
        <v>10</v>
      </c>
      <c r="Q14" s="92">
        <f t="shared" si="48"/>
        <v>20</v>
      </c>
      <c r="R14" s="92">
        <f t="shared" si="49"/>
        <v>0</v>
      </c>
      <c r="S14" s="93">
        <f t="shared" si="50"/>
        <v>0</v>
      </c>
      <c r="T14" s="94">
        <f t="shared" si="51"/>
        <v>0</v>
      </c>
      <c r="U14" s="94">
        <f t="shared" si="52"/>
        <v>0</v>
      </c>
      <c r="V14" s="12">
        <f t="shared" si="53"/>
        <v>11</v>
      </c>
      <c r="W14" s="12">
        <f t="shared" si="54"/>
        <v>0</v>
      </c>
      <c r="X14" s="12">
        <v>1</v>
      </c>
      <c r="Y14" s="97">
        <f t="shared" si="55"/>
        <v>0</v>
      </c>
      <c r="Z14" s="98"/>
      <c r="AA14" s="99">
        <f t="shared" si="56"/>
        <v>11</v>
      </c>
      <c r="AB14" s="91">
        <f t="shared" si="57"/>
        <v>11</v>
      </c>
      <c r="AC14" s="92">
        <f t="shared" si="58"/>
        <v>20</v>
      </c>
      <c r="AD14" s="92">
        <f t="shared" si="59"/>
        <v>30</v>
      </c>
      <c r="AE14" s="92">
        <f t="shared" si="60"/>
        <v>20</v>
      </c>
      <c r="AF14" s="100">
        <f t="shared" si="61"/>
        <v>33</v>
      </c>
      <c r="AG14" s="100">
        <f t="shared" si="62"/>
        <v>33</v>
      </c>
      <c r="AH14" s="91">
        <f t="shared" si="63"/>
        <v>11</v>
      </c>
      <c r="AI14" s="91">
        <f t="shared" si="64"/>
        <v>220</v>
      </c>
      <c r="AJ14" s="101">
        <v>1</v>
      </c>
      <c r="AK14" s="102">
        <f t="shared" si="65"/>
        <v>1.1000000000000001</v>
      </c>
    </row>
    <row r="15" spans="2:37">
      <c r="B15" s="6">
        <v>12</v>
      </c>
      <c r="C15" s="81">
        <f t="shared" si="44"/>
        <v>12</v>
      </c>
      <c r="D15" s="82">
        <f t="shared" si="45"/>
        <v>10</v>
      </c>
      <c r="E15" s="83">
        <v>1</v>
      </c>
      <c r="F15" s="83">
        <v>0</v>
      </c>
      <c r="G15" s="84">
        <v>0</v>
      </c>
      <c r="H15" s="85">
        <v>0</v>
      </c>
      <c r="I15" s="85">
        <v>0</v>
      </c>
      <c r="J15" s="86">
        <v>12</v>
      </c>
      <c r="K15" s="86">
        <v>0</v>
      </c>
      <c r="L15" s="86">
        <v>0</v>
      </c>
      <c r="M15" s="89">
        <v>0</v>
      </c>
      <c r="N15" s="86"/>
      <c r="O15" s="90">
        <f t="shared" si="46"/>
        <v>12</v>
      </c>
      <c r="P15" s="91">
        <f t="shared" si="47"/>
        <v>10</v>
      </c>
      <c r="Q15" s="92">
        <f t="shared" si="48"/>
        <v>20</v>
      </c>
      <c r="R15" s="92">
        <f t="shared" si="49"/>
        <v>0</v>
      </c>
      <c r="S15" s="93">
        <f t="shared" si="50"/>
        <v>0</v>
      </c>
      <c r="T15" s="94">
        <f t="shared" si="51"/>
        <v>0</v>
      </c>
      <c r="U15" s="94">
        <f t="shared" si="52"/>
        <v>0</v>
      </c>
      <c r="V15" s="12">
        <f t="shared" si="53"/>
        <v>12</v>
      </c>
      <c r="W15" s="12">
        <f t="shared" si="54"/>
        <v>0</v>
      </c>
      <c r="X15" s="12">
        <v>1</v>
      </c>
      <c r="Y15" s="97">
        <f t="shared" si="55"/>
        <v>0</v>
      </c>
      <c r="Z15" s="98"/>
      <c r="AA15" s="99">
        <f t="shared" si="56"/>
        <v>12</v>
      </c>
      <c r="AB15" s="91">
        <f t="shared" si="57"/>
        <v>12</v>
      </c>
      <c r="AC15" s="92">
        <f t="shared" si="58"/>
        <v>20</v>
      </c>
      <c r="AD15" s="92">
        <f t="shared" si="59"/>
        <v>30</v>
      </c>
      <c r="AE15" s="92">
        <f t="shared" si="60"/>
        <v>20</v>
      </c>
      <c r="AF15" s="100">
        <f t="shared" si="61"/>
        <v>36.000000000000007</v>
      </c>
      <c r="AG15" s="100">
        <f t="shared" si="62"/>
        <v>36.000000000000007</v>
      </c>
      <c r="AH15" s="91">
        <f t="shared" si="63"/>
        <v>12</v>
      </c>
      <c r="AI15" s="91">
        <f t="shared" si="64"/>
        <v>240</v>
      </c>
      <c r="AJ15" s="101">
        <v>1</v>
      </c>
      <c r="AK15" s="102">
        <f t="shared" si="65"/>
        <v>1.2000000000000002</v>
      </c>
    </row>
    <row r="16" spans="2:37">
      <c r="B16" s="6">
        <v>13</v>
      </c>
      <c r="C16" s="81">
        <f t="shared" si="44"/>
        <v>13</v>
      </c>
      <c r="D16" s="82">
        <f t="shared" si="45"/>
        <v>10</v>
      </c>
      <c r="E16" s="83">
        <v>1</v>
      </c>
      <c r="F16" s="83">
        <v>0</v>
      </c>
      <c r="G16" s="84">
        <v>0</v>
      </c>
      <c r="H16" s="85">
        <v>0</v>
      </c>
      <c r="I16" s="85">
        <v>0</v>
      </c>
      <c r="J16" s="86">
        <v>13</v>
      </c>
      <c r="K16" s="86">
        <v>0</v>
      </c>
      <c r="L16" s="86">
        <v>0</v>
      </c>
      <c r="M16" s="89">
        <v>0</v>
      </c>
      <c r="N16" s="86"/>
      <c r="O16" s="90">
        <f t="shared" si="46"/>
        <v>13</v>
      </c>
      <c r="P16" s="91">
        <f t="shared" si="47"/>
        <v>10</v>
      </c>
      <c r="Q16" s="92">
        <f t="shared" si="48"/>
        <v>20</v>
      </c>
      <c r="R16" s="92">
        <f t="shared" si="49"/>
        <v>0</v>
      </c>
      <c r="S16" s="93">
        <f t="shared" si="50"/>
        <v>0</v>
      </c>
      <c r="T16" s="94">
        <f t="shared" si="51"/>
        <v>0</v>
      </c>
      <c r="U16" s="94">
        <f t="shared" si="52"/>
        <v>0</v>
      </c>
      <c r="V16" s="12">
        <f t="shared" si="53"/>
        <v>13</v>
      </c>
      <c r="W16" s="12">
        <f t="shared" si="54"/>
        <v>0</v>
      </c>
      <c r="X16" s="12">
        <v>1</v>
      </c>
      <c r="Y16" s="97">
        <f t="shared" si="55"/>
        <v>0</v>
      </c>
      <c r="Z16" s="98"/>
      <c r="AA16" s="99">
        <f t="shared" si="56"/>
        <v>13</v>
      </c>
      <c r="AB16" s="91">
        <f t="shared" si="57"/>
        <v>13</v>
      </c>
      <c r="AC16" s="92">
        <f t="shared" si="58"/>
        <v>20</v>
      </c>
      <c r="AD16" s="92">
        <f t="shared" si="59"/>
        <v>30</v>
      </c>
      <c r="AE16" s="92">
        <f t="shared" si="60"/>
        <v>20</v>
      </c>
      <c r="AF16" s="100">
        <f t="shared" si="61"/>
        <v>39</v>
      </c>
      <c r="AG16" s="100">
        <f t="shared" si="62"/>
        <v>39</v>
      </c>
      <c r="AH16" s="91">
        <f t="shared" si="63"/>
        <v>13</v>
      </c>
      <c r="AI16" s="91">
        <f t="shared" si="64"/>
        <v>260</v>
      </c>
      <c r="AJ16" s="101">
        <v>1</v>
      </c>
      <c r="AK16" s="102">
        <f t="shared" si="65"/>
        <v>1.3</v>
      </c>
    </row>
    <row r="17" spans="2:37">
      <c r="B17" s="6">
        <v>14</v>
      </c>
      <c r="C17" s="81">
        <f t="shared" si="44"/>
        <v>14</v>
      </c>
      <c r="D17" s="82">
        <f t="shared" si="45"/>
        <v>10</v>
      </c>
      <c r="E17" s="83">
        <v>1</v>
      </c>
      <c r="F17" s="83">
        <v>0</v>
      </c>
      <c r="G17" s="84">
        <v>0</v>
      </c>
      <c r="H17" s="85">
        <v>0</v>
      </c>
      <c r="I17" s="85">
        <v>0</v>
      </c>
      <c r="J17" s="86">
        <v>14</v>
      </c>
      <c r="K17" s="86">
        <v>0</v>
      </c>
      <c r="L17" s="86">
        <v>0</v>
      </c>
      <c r="M17" s="89">
        <v>0</v>
      </c>
      <c r="N17" s="86"/>
      <c r="O17" s="90">
        <f t="shared" si="46"/>
        <v>14</v>
      </c>
      <c r="P17" s="91">
        <f t="shared" si="47"/>
        <v>10</v>
      </c>
      <c r="Q17" s="92">
        <f t="shared" si="48"/>
        <v>20</v>
      </c>
      <c r="R17" s="92">
        <f t="shared" si="49"/>
        <v>0</v>
      </c>
      <c r="S17" s="93">
        <f t="shared" si="50"/>
        <v>0</v>
      </c>
      <c r="T17" s="94">
        <f t="shared" si="51"/>
        <v>0</v>
      </c>
      <c r="U17" s="94">
        <f t="shared" si="52"/>
        <v>0</v>
      </c>
      <c r="V17" s="12">
        <f t="shared" si="53"/>
        <v>14</v>
      </c>
      <c r="W17" s="12">
        <f t="shared" si="54"/>
        <v>0</v>
      </c>
      <c r="X17" s="12">
        <v>1</v>
      </c>
      <c r="Y17" s="97">
        <f t="shared" si="55"/>
        <v>0</v>
      </c>
      <c r="Z17" s="98"/>
      <c r="AA17" s="99">
        <f t="shared" si="56"/>
        <v>14</v>
      </c>
      <c r="AB17" s="91">
        <f t="shared" si="57"/>
        <v>14</v>
      </c>
      <c r="AC17" s="92">
        <f t="shared" si="58"/>
        <v>20</v>
      </c>
      <c r="AD17" s="92">
        <f t="shared" si="59"/>
        <v>30</v>
      </c>
      <c r="AE17" s="92">
        <f t="shared" si="60"/>
        <v>20</v>
      </c>
      <c r="AF17" s="100">
        <f t="shared" si="61"/>
        <v>42.000000000000007</v>
      </c>
      <c r="AG17" s="100">
        <f t="shared" si="62"/>
        <v>42.000000000000007</v>
      </c>
      <c r="AH17" s="91">
        <f t="shared" si="63"/>
        <v>14</v>
      </c>
      <c r="AI17" s="91">
        <f t="shared" si="64"/>
        <v>280</v>
      </c>
      <c r="AJ17" s="101">
        <v>1</v>
      </c>
      <c r="AK17" s="102">
        <f t="shared" si="65"/>
        <v>1.4000000000000001</v>
      </c>
    </row>
    <row r="18" spans="2:37">
      <c r="B18" s="6">
        <v>15</v>
      </c>
      <c r="C18" s="81">
        <f t="shared" si="44"/>
        <v>15</v>
      </c>
      <c r="D18" s="82">
        <f t="shared" si="45"/>
        <v>10</v>
      </c>
      <c r="E18" s="83">
        <v>1</v>
      </c>
      <c r="F18" s="83">
        <v>0</v>
      </c>
      <c r="G18" s="84">
        <v>0</v>
      </c>
      <c r="H18" s="85">
        <v>0</v>
      </c>
      <c r="I18" s="85">
        <v>0</v>
      </c>
      <c r="J18" s="86">
        <v>15</v>
      </c>
      <c r="K18" s="86">
        <v>0</v>
      </c>
      <c r="L18" s="86">
        <v>0</v>
      </c>
      <c r="M18" s="89">
        <v>0</v>
      </c>
      <c r="N18" s="86"/>
      <c r="O18" s="90">
        <f t="shared" si="46"/>
        <v>15</v>
      </c>
      <c r="P18" s="91">
        <f t="shared" si="47"/>
        <v>10</v>
      </c>
      <c r="Q18" s="92">
        <f t="shared" si="48"/>
        <v>20</v>
      </c>
      <c r="R18" s="92">
        <f t="shared" si="49"/>
        <v>0</v>
      </c>
      <c r="S18" s="93">
        <f t="shared" si="50"/>
        <v>0</v>
      </c>
      <c r="T18" s="94">
        <f t="shared" si="51"/>
        <v>0</v>
      </c>
      <c r="U18" s="94">
        <f t="shared" si="52"/>
        <v>0</v>
      </c>
      <c r="V18" s="12">
        <f t="shared" si="53"/>
        <v>15</v>
      </c>
      <c r="W18" s="12">
        <f t="shared" si="54"/>
        <v>0</v>
      </c>
      <c r="X18" s="12">
        <v>1</v>
      </c>
      <c r="Y18" s="97">
        <f t="shared" si="55"/>
        <v>0</v>
      </c>
      <c r="Z18" s="98"/>
      <c r="AA18" s="99">
        <f t="shared" si="56"/>
        <v>15</v>
      </c>
      <c r="AB18" s="91">
        <f t="shared" si="57"/>
        <v>15</v>
      </c>
      <c r="AC18" s="92">
        <f t="shared" si="58"/>
        <v>20</v>
      </c>
      <c r="AD18" s="92">
        <f t="shared" si="59"/>
        <v>30</v>
      </c>
      <c r="AE18" s="92">
        <f t="shared" si="60"/>
        <v>20</v>
      </c>
      <c r="AF18" s="100">
        <f t="shared" si="61"/>
        <v>45</v>
      </c>
      <c r="AG18" s="100">
        <f t="shared" si="62"/>
        <v>45</v>
      </c>
      <c r="AH18" s="91">
        <f t="shared" si="63"/>
        <v>15</v>
      </c>
      <c r="AI18" s="91">
        <f t="shared" si="64"/>
        <v>300</v>
      </c>
      <c r="AJ18" s="101">
        <v>1</v>
      </c>
      <c r="AK18" s="102">
        <f t="shared" si="65"/>
        <v>1.5</v>
      </c>
    </row>
    <row r="19" spans="2:37">
      <c r="B19" s="6">
        <v>16</v>
      </c>
      <c r="C19" s="81">
        <f t="shared" si="44"/>
        <v>16</v>
      </c>
      <c r="D19" s="82">
        <f t="shared" si="45"/>
        <v>10</v>
      </c>
      <c r="E19" s="83">
        <v>1</v>
      </c>
      <c r="F19" s="83">
        <v>0</v>
      </c>
      <c r="G19" s="84">
        <v>0</v>
      </c>
      <c r="H19" s="85">
        <v>0</v>
      </c>
      <c r="I19" s="85">
        <v>0</v>
      </c>
      <c r="J19" s="86">
        <v>16</v>
      </c>
      <c r="K19" s="86">
        <v>0</v>
      </c>
      <c r="L19" s="86">
        <v>0</v>
      </c>
      <c r="M19" s="89">
        <v>0</v>
      </c>
      <c r="N19" s="86"/>
      <c r="O19" s="90">
        <f t="shared" si="46"/>
        <v>16</v>
      </c>
      <c r="P19" s="91">
        <f t="shared" si="47"/>
        <v>10</v>
      </c>
      <c r="Q19" s="92">
        <f t="shared" si="48"/>
        <v>20</v>
      </c>
      <c r="R19" s="92">
        <f t="shared" si="49"/>
        <v>0</v>
      </c>
      <c r="S19" s="93">
        <f t="shared" si="50"/>
        <v>0</v>
      </c>
      <c r="T19" s="94">
        <f t="shared" si="51"/>
        <v>0</v>
      </c>
      <c r="U19" s="94">
        <f t="shared" si="52"/>
        <v>0</v>
      </c>
      <c r="V19" s="12">
        <f t="shared" si="53"/>
        <v>16</v>
      </c>
      <c r="W19" s="12">
        <f t="shared" si="54"/>
        <v>0</v>
      </c>
      <c r="X19" s="12">
        <v>1</v>
      </c>
      <c r="Y19" s="97">
        <f t="shared" si="55"/>
        <v>0</v>
      </c>
      <c r="Z19" s="98"/>
      <c r="AA19" s="99">
        <f t="shared" si="56"/>
        <v>16</v>
      </c>
      <c r="AB19" s="91">
        <f t="shared" si="57"/>
        <v>16</v>
      </c>
      <c r="AC19" s="92">
        <f t="shared" si="58"/>
        <v>20</v>
      </c>
      <c r="AD19" s="92">
        <f t="shared" si="59"/>
        <v>30</v>
      </c>
      <c r="AE19" s="92">
        <f t="shared" si="60"/>
        <v>20</v>
      </c>
      <c r="AF19" s="100">
        <f t="shared" si="61"/>
        <v>48</v>
      </c>
      <c r="AG19" s="100">
        <f t="shared" si="62"/>
        <v>48</v>
      </c>
      <c r="AH19" s="91">
        <f t="shared" si="63"/>
        <v>16</v>
      </c>
      <c r="AI19" s="91">
        <f t="shared" si="64"/>
        <v>320</v>
      </c>
      <c r="AJ19" s="101">
        <v>1</v>
      </c>
      <c r="AK19" s="102">
        <f t="shared" si="65"/>
        <v>1.6</v>
      </c>
    </row>
    <row r="20" spans="2:37">
      <c r="B20" s="6">
        <v>17</v>
      </c>
      <c r="C20" s="81">
        <f t="shared" si="44"/>
        <v>17</v>
      </c>
      <c r="D20" s="82">
        <f t="shared" si="45"/>
        <v>10</v>
      </c>
      <c r="E20" s="83">
        <v>1</v>
      </c>
      <c r="F20" s="83">
        <v>0</v>
      </c>
      <c r="G20" s="84">
        <v>0</v>
      </c>
      <c r="H20" s="85">
        <v>0</v>
      </c>
      <c r="I20" s="85">
        <v>0</v>
      </c>
      <c r="J20" s="86">
        <v>17</v>
      </c>
      <c r="K20" s="86">
        <v>0</v>
      </c>
      <c r="L20" s="86">
        <v>0</v>
      </c>
      <c r="M20" s="89">
        <v>0</v>
      </c>
      <c r="N20" s="86"/>
      <c r="O20" s="90">
        <f t="shared" si="46"/>
        <v>17</v>
      </c>
      <c r="P20" s="91">
        <f t="shared" si="47"/>
        <v>10</v>
      </c>
      <c r="Q20" s="92">
        <f t="shared" si="48"/>
        <v>20</v>
      </c>
      <c r="R20" s="92">
        <f t="shared" si="49"/>
        <v>0</v>
      </c>
      <c r="S20" s="93">
        <f t="shared" si="50"/>
        <v>0</v>
      </c>
      <c r="T20" s="94">
        <f t="shared" si="51"/>
        <v>0</v>
      </c>
      <c r="U20" s="94">
        <f t="shared" si="52"/>
        <v>0</v>
      </c>
      <c r="V20" s="12">
        <f t="shared" si="53"/>
        <v>17</v>
      </c>
      <c r="W20" s="12">
        <f t="shared" si="54"/>
        <v>0</v>
      </c>
      <c r="X20" s="12">
        <v>1</v>
      </c>
      <c r="Y20" s="97">
        <f t="shared" si="55"/>
        <v>0</v>
      </c>
      <c r="Z20" s="98"/>
      <c r="AA20" s="99">
        <f t="shared" si="56"/>
        <v>17</v>
      </c>
      <c r="AB20" s="91">
        <f t="shared" si="57"/>
        <v>17</v>
      </c>
      <c r="AC20" s="92">
        <f t="shared" si="58"/>
        <v>20</v>
      </c>
      <c r="AD20" s="92">
        <f t="shared" si="59"/>
        <v>30</v>
      </c>
      <c r="AE20" s="92">
        <f t="shared" si="60"/>
        <v>20</v>
      </c>
      <c r="AF20" s="100">
        <f t="shared" si="61"/>
        <v>51.000000000000007</v>
      </c>
      <c r="AG20" s="100">
        <f t="shared" si="62"/>
        <v>51.000000000000007</v>
      </c>
      <c r="AH20" s="91">
        <f t="shared" si="63"/>
        <v>17</v>
      </c>
      <c r="AI20" s="91">
        <f t="shared" si="64"/>
        <v>340</v>
      </c>
      <c r="AJ20" s="101">
        <v>1</v>
      </c>
      <c r="AK20" s="102">
        <f t="shared" si="65"/>
        <v>1.7000000000000002</v>
      </c>
    </row>
    <row r="21" spans="2:37">
      <c r="B21" s="6">
        <v>18</v>
      </c>
      <c r="C21" s="81">
        <f t="shared" si="44"/>
        <v>18</v>
      </c>
      <c r="D21" s="82">
        <f t="shared" si="45"/>
        <v>10</v>
      </c>
      <c r="E21" s="83">
        <v>1</v>
      </c>
      <c r="F21" s="83">
        <v>0</v>
      </c>
      <c r="G21" s="84">
        <v>0</v>
      </c>
      <c r="H21" s="85">
        <v>0</v>
      </c>
      <c r="I21" s="85">
        <v>0</v>
      </c>
      <c r="J21" s="86">
        <v>18</v>
      </c>
      <c r="K21" s="86">
        <v>0</v>
      </c>
      <c r="L21" s="86">
        <v>0</v>
      </c>
      <c r="M21" s="89">
        <v>0</v>
      </c>
      <c r="N21" s="86"/>
      <c r="O21" s="90">
        <f t="shared" si="46"/>
        <v>18</v>
      </c>
      <c r="P21" s="91">
        <f t="shared" si="47"/>
        <v>10</v>
      </c>
      <c r="Q21" s="92">
        <f t="shared" si="48"/>
        <v>20</v>
      </c>
      <c r="R21" s="92">
        <f t="shared" si="49"/>
        <v>0</v>
      </c>
      <c r="S21" s="93">
        <f t="shared" si="50"/>
        <v>0</v>
      </c>
      <c r="T21" s="94">
        <f t="shared" si="51"/>
        <v>0</v>
      </c>
      <c r="U21" s="94">
        <f t="shared" si="52"/>
        <v>0</v>
      </c>
      <c r="V21" s="12">
        <f t="shared" si="53"/>
        <v>18</v>
      </c>
      <c r="W21" s="12">
        <f t="shared" si="54"/>
        <v>0</v>
      </c>
      <c r="X21" s="12">
        <v>1</v>
      </c>
      <c r="Y21" s="97">
        <f t="shared" si="55"/>
        <v>0</v>
      </c>
      <c r="Z21" s="98"/>
      <c r="AA21" s="99">
        <f t="shared" si="56"/>
        <v>18</v>
      </c>
      <c r="AB21" s="91">
        <f t="shared" si="57"/>
        <v>18</v>
      </c>
      <c r="AC21" s="92">
        <f t="shared" si="58"/>
        <v>20</v>
      </c>
      <c r="AD21" s="92">
        <f t="shared" si="59"/>
        <v>30</v>
      </c>
      <c r="AE21" s="92">
        <f t="shared" si="60"/>
        <v>20</v>
      </c>
      <c r="AF21" s="100">
        <f t="shared" si="61"/>
        <v>54</v>
      </c>
      <c r="AG21" s="100">
        <f t="shared" si="62"/>
        <v>54</v>
      </c>
      <c r="AH21" s="91">
        <f t="shared" si="63"/>
        <v>18</v>
      </c>
      <c r="AI21" s="91">
        <f t="shared" si="64"/>
        <v>360</v>
      </c>
      <c r="AJ21" s="101">
        <v>1</v>
      </c>
      <c r="AK21" s="102">
        <f t="shared" si="65"/>
        <v>1.8</v>
      </c>
    </row>
    <row r="22" spans="2:37">
      <c r="B22" s="6">
        <v>19</v>
      </c>
      <c r="C22" s="81">
        <f t="shared" si="44"/>
        <v>19</v>
      </c>
      <c r="D22" s="82">
        <f t="shared" si="45"/>
        <v>10</v>
      </c>
      <c r="E22" s="83">
        <v>1</v>
      </c>
      <c r="F22" s="83">
        <v>0</v>
      </c>
      <c r="G22" s="84">
        <v>0</v>
      </c>
      <c r="H22" s="85">
        <v>0</v>
      </c>
      <c r="I22" s="85">
        <v>0</v>
      </c>
      <c r="J22" s="86">
        <v>19</v>
      </c>
      <c r="K22" s="86">
        <v>0</v>
      </c>
      <c r="L22" s="86">
        <v>0</v>
      </c>
      <c r="M22" s="89">
        <v>0</v>
      </c>
      <c r="N22" s="86"/>
      <c r="O22" s="90">
        <f t="shared" si="46"/>
        <v>19</v>
      </c>
      <c r="P22" s="91">
        <f t="shared" si="47"/>
        <v>10</v>
      </c>
      <c r="Q22" s="92">
        <f t="shared" si="48"/>
        <v>20</v>
      </c>
      <c r="R22" s="92">
        <f t="shared" si="49"/>
        <v>0</v>
      </c>
      <c r="S22" s="93">
        <f t="shared" si="50"/>
        <v>0</v>
      </c>
      <c r="T22" s="94">
        <f t="shared" si="51"/>
        <v>0</v>
      </c>
      <c r="U22" s="94">
        <f t="shared" si="52"/>
        <v>0</v>
      </c>
      <c r="V22" s="12">
        <f t="shared" si="53"/>
        <v>19</v>
      </c>
      <c r="W22" s="12">
        <f t="shared" si="54"/>
        <v>0</v>
      </c>
      <c r="X22" s="12">
        <v>1</v>
      </c>
      <c r="Y22" s="97">
        <f t="shared" si="55"/>
        <v>0</v>
      </c>
      <c r="Z22" s="98"/>
      <c r="AA22" s="99">
        <f t="shared" si="56"/>
        <v>19</v>
      </c>
      <c r="AB22" s="91">
        <f t="shared" si="57"/>
        <v>19</v>
      </c>
      <c r="AC22" s="92">
        <f t="shared" si="58"/>
        <v>20</v>
      </c>
      <c r="AD22" s="92">
        <f t="shared" si="59"/>
        <v>30</v>
      </c>
      <c r="AE22" s="92">
        <f t="shared" si="60"/>
        <v>20</v>
      </c>
      <c r="AF22" s="100">
        <f t="shared" si="61"/>
        <v>57.000000000000007</v>
      </c>
      <c r="AG22" s="100">
        <f t="shared" si="62"/>
        <v>57.000000000000007</v>
      </c>
      <c r="AH22" s="91">
        <f t="shared" si="63"/>
        <v>19</v>
      </c>
      <c r="AI22" s="91">
        <f t="shared" si="64"/>
        <v>380</v>
      </c>
      <c r="AJ22" s="101">
        <v>1</v>
      </c>
      <c r="AK22" s="102">
        <f t="shared" si="65"/>
        <v>1.9000000000000001</v>
      </c>
    </row>
    <row r="23" spans="2:37">
      <c r="B23" s="6">
        <v>20</v>
      </c>
      <c r="C23" s="81">
        <f t="shared" si="44"/>
        <v>20</v>
      </c>
      <c r="D23" s="82">
        <f t="shared" si="45"/>
        <v>20</v>
      </c>
      <c r="E23" s="83">
        <v>1</v>
      </c>
      <c r="F23" s="83">
        <v>0</v>
      </c>
      <c r="G23" s="84">
        <v>0</v>
      </c>
      <c r="H23" s="85">
        <v>0</v>
      </c>
      <c r="I23" s="85">
        <v>0</v>
      </c>
      <c r="J23" s="86">
        <v>20</v>
      </c>
      <c r="K23" s="86">
        <v>0</v>
      </c>
      <c r="L23" s="86">
        <v>1</v>
      </c>
      <c r="M23" s="89">
        <v>0</v>
      </c>
      <c r="N23" s="86"/>
      <c r="O23" s="90">
        <f t="shared" si="46"/>
        <v>20</v>
      </c>
      <c r="P23" s="91">
        <f t="shared" si="47"/>
        <v>20</v>
      </c>
      <c r="Q23" s="92">
        <f t="shared" si="48"/>
        <v>20</v>
      </c>
      <c r="R23" s="92">
        <f t="shared" si="49"/>
        <v>0</v>
      </c>
      <c r="S23" s="93">
        <f t="shared" si="50"/>
        <v>0</v>
      </c>
      <c r="T23" s="94">
        <f t="shared" si="51"/>
        <v>0</v>
      </c>
      <c r="U23" s="94">
        <f t="shared" si="52"/>
        <v>0</v>
      </c>
      <c r="V23" s="12">
        <f t="shared" si="53"/>
        <v>20</v>
      </c>
      <c r="W23" s="12">
        <f t="shared" si="54"/>
        <v>0</v>
      </c>
      <c r="X23" s="12">
        <v>1</v>
      </c>
      <c r="Y23" s="97">
        <f t="shared" si="55"/>
        <v>0</v>
      </c>
      <c r="Z23" s="98"/>
      <c r="AA23" s="99">
        <f t="shared" si="56"/>
        <v>20</v>
      </c>
      <c r="AB23" s="91">
        <f t="shared" si="57"/>
        <v>20</v>
      </c>
      <c r="AC23" s="92">
        <f t="shared" si="58"/>
        <v>20</v>
      </c>
      <c r="AD23" s="92">
        <f t="shared" si="59"/>
        <v>30</v>
      </c>
      <c r="AE23" s="92">
        <f t="shared" si="60"/>
        <v>20</v>
      </c>
      <c r="AF23" s="100">
        <f t="shared" si="61"/>
        <v>60</v>
      </c>
      <c r="AG23" s="100">
        <f t="shared" si="62"/>
        <v>60</v>
      </c>
      <c r="AH23" s="91">
        <f t="shared" si="63"/>
        <v>20</v>
      </c>
      <c r="AI23" s="91">
        <f t="shared" si="64"/>
        <v>400</v>
      </c>
      <c r="AJ23" s="101">
        <v>1</v>
      </c>
      <c r="AK23" s="102">
        <f t="shared" si="65"/>
        <v>2</v>
      </c>
    </row>
    <row r="24" spans="2:37">
      <c r="B24" s="6">
        <v>21</v>
      </c>
      <c r="C24" s="81">
        <f t="shared" si="44"/>
        <v>21</v>
      </c>
      <c r="D24" s="82">
        <f t="shared" si="45"/>
        <v>20</v>
      </c>
      <c r="E24" s="83">
        <v>1</v>
      </c>
      <c r="F24" s="83">
        <v>0</v>
      </c>
      <c r="G24" s="84">
        <v>0</v>
      </c>
      <c r="H24" s="85">
        <v>0</v>
      </c>
      <c r="I24" s="85">
        <v>0</v>
      </c>
      <c r="J24" s="86">
        <v>21</v>
      </c>
      <c r="K24" s="86">
        <v>0</v>
      </c>
      <c r="L24" s="86">
        <v>1</v>
      </c>
      <c r="M24" s="89">
        <v>0</v>
      </c>
      <c r="N24" s="86"/>
      <c r="O24" s="90">
        <f t="shared" si="46"/>
        <v>21</v>
      </c>
      <c r="P24" s="91">
        <f t="shared" si="47"/>
        <v>20</v>
      </c>
      <c r="Q24" s="92">
        <f t="shared" si="48"/>
        <v>20</v>
      </c>
      <c r="R24" s="92">
        <f t="shared" si="49"/>
        <v>0</v>
      </c>
      <c r="S24" s="93">
        <f t="shared" si="50"/>
        <v>0</v>
      </c>
      <c r="T24" s="94">
        <f t="shared" si="51"/>
        <v>0</v>
      </c>
      <c r="U24" s="94">
        <f t="shared" si="52"/>
        <v>0</v>
      </c>
      <c r="V24" s="12">
        <f t="shared" si="53"/>
        <v>21</v>
      </c>
      <c r="W24" s="12">
        <f t="shared" si="54"/>
        <v>0</v>
      </c>
      <c r="X24" s="12">
        <v>1</v>
      </c>
      <c r="Y24" s="97">
        <f t="shared" si="55"/>
        <v>0</v>
      </c>
      <c r="Z24" s="98"/>
      <c r="AA24" s="99">
        <f t="shared" si="56"/>
        <v>21</v>
      </c>
      <c r="AB24" s="91">
        <f t="shared" si="57"/>
        <v>21</v>
      </c>
      <c r="AC24" s="92">
        <f t="shared" si="58"/>
        <v>20</v>
      </c>
      <c r="AD24" s="92">
        <f t="shared" si="59"/>
        <v>30</v>
      </c>
      <c r="AE24" s="92">
        <f t="shared" si="60"/>
        <v>20</v>
      </c>
      <c r="AF24" s="100">
        <f t="shared" si="61"/>
        <v>63</v>
      </c>
      <c r="AG24" s="100">
        <f t="shared" si="62"/>
        <v>63</v>
      </c>
      <c r="AH24" s="91">
        <f t="shared" si="63"/>
        <v>21</v>
      </c>
      <c r="AI24" s="91">
        <f t="shared" si="64"/>
        <v>420</v>
      </c>
      <c r="AJ24" s="101">
        <v>1</v>
      </c>
      <c r="AK24" s="102">
        <f t="shared" si="65"/>
        <v>2.1</v>
      </c>
    </row>
    <row r="25" spans="2:37">
      <c r="B25" s="6">
        <v>22</v>
      </c>
      <c r="C25" s="81">
        <f t="shared" si="44"/>
        <v>22</v>
      </c>
      <c r="D25" s="82">
        <f t="shared" si="45"/>
        <v>20</v>
      </c>
      <c r="E25" s="83">
        <v>1</v>
      </c>
      <c r="F25" s="83">
        <v>0</v>
      </c>
      <c r="G25" s="84">
        <v>0</v>
      </c>
      <c r="H25" s="85">
        <v>0</v>
      </c>
      <c r="I25" s="85">
        <v>0</v>
      </c>
      <c r="J25" s="86">
        <v>22</v>
      </c>
      <c r="K25" s="86">
        <v>0</v>
      </c>
      <c r="L25" s="86">
        <v>1</v>
      </c>
      <c r="M25" s="89">
        <v>0</v>
      </c>
      <c r="N25" s="86"/>
      <c r="O25" s="90">
        <f t="shared" si="46"/>
        <v>22</v>
      </c>
      <c r="P25" s="91">
        <f t="shared" si="47"/>
        <v>20</v>
      </c>
      <c r="Q25" s="92">
        <f t="shared" si="48"/>
        <v>20</v>
      </c>
      <c r="R25" s="92">
        <f t="shared" si="49"/>
        <v>0</v>
      </c>
      <c r="S25" s="93">
        <f t="shared" si="50"/>
        <v>0</v>
      </c>
      <c r="T25" s="94">
        <f t="shared" si="51"/>
        <v>0</v>
      </c>
      <c r="U25" s="94">
        <f t="shared" si="52"/>
        <v>0</v>
      </c>
      <c r="V25" s="12">
        <f t="shared" si="53"/>
        <v>22</v>
      </c>
      <c r="W25" s="12">
        <f t="shared" si="54"/>
        <v>0</v>
      </c>
      <c r="X25" s="12">
        <v>1</v>
      </c>
      <c r="Y25" s="97">
        <f t="shared" si="55"/>
        <v>0</v>
      </c>
      <c r="Z25" s="98"/>
      <c r="AA25" s="99">
        <f t="shared" si="56"/>
        <v>22</v>
      </c>
      <c r="AB25" s="91">
        <f t="shared" si="57"/>
        <v>22</v>
      </c>
      <c r="AC25" s="92">
        <f t="shared" si="58"/>
        <v>20</v>
      </c>
      <c r="AD25" s="92">
        <f t="shared" si="59"/>
        <v>30</v>
      </c>
      <c r="AE25" s="92">
        <f t="shared" si="60"/>
        <v>20</v>
      </c>
      <c r="AF25" s="100">
        <f t="shared" si="61"/>
        <v>66</v>
      </c>
      <c r="AG25" s="100">
        <f t="shared" si="62"/>
        <v>66</v>
      </c>
      <c r="AH25" s="91">
        <f t="shared" si="63"/>
        <v>22</v>
      </c>
      <c r="AI25" s="91">
        <f t="shared" si="64"/>
        <v>440</v>
      </c>
      <c r="AJ25" s="101">
        <v>1</v>
      </c>
      <c r="AK25" s="102">
        <f t="shared" si="65"/>
        <v>2.2000000000000002</v>
      </c>
    </row>
    <row r="26" spans="2:37">
      <c r="B26" s="6">
        <v>23</v>
      </c>
      <c r="C26" s="81">
        <f t="shared" si="44"/>
        <v>23</v>
      </c>
      <c r="D26" s="82">
        <f t="shared" si="45"/>
        <v>20</v>
      </c>
      <c r="E26" s="83">
        <v>1</v>
      </c>
      <c r="F26" s="83">
        <v>0</v>
      </c>
      <c r="G26" s="84">
        <v>0</v>
      </c>
      <c r="H26" s="85">
        <v>0</v>
      </c>
      <c r="I26" s="85">
        <v>0</v>
      </c>
      <c r="J26" s="86">
        <v>23</v>
      </c>
      <c r="K26" s="86">
        <v>0</v>
      </c>
      <c r="L26" s="86">
        <v>1</v>
      </c>
      <c r="M26" s="89">
        <v>0</v>
      </c>
      <c r="N26" s="86"/>
      <c r="O26" s="90">
        <f t="shared" si="46"/>
        <v>23</v>
      </c>
      <c r="P26" s="91">
        <f t="shared" si="47"/>
        <v>20</v>
      </c>
      <c r="Q26" s="92">
        <f t="shared" si="48"/>
        <v>20</v>
      </c>
      <c r="R26" s="92">
        <f t="shared" si="49"/>
        <v>0</v>
      </c>
      <c r="S26" s="93">
        <f t="shared" si="50"/>
        <v>0</v>
      </c>
      <c r="T26" s="94">
        <f t="shared" si="51"/>
        <v>0</v>
      </c>
      <c r="U26" s="94">
        <f t="shared" si="52"/>
        <v>0</v>
      </c>
      <c r="V26" s="12">
        <f t="shared" si="53"/>
        <v>23</v>
      </c>
      <c r="W26" s="12">
        <f t="shared" si="54"/>
        <v>0</v>
      </c>
      <c r="X26" s="12">
        <v>1</v>
      </c>
      <c r="Y26" s="97">
        <f t="shared" si="55"/>
        <v>0</v>
      </c>
      <c r="Z26" s="98"/>
      <c r="AA26" s="99">
        <f t="shared" si="56"/>
        <v>23</v>
      </c>
      <c r="AB26" s="91">
        <f t="shared" si="57"/>
        <v>23</v>
      </c>
      <c r="AC26" s="92">
        <f t="shared" si="58"/>
        <v>20</v>
      </c>
      <c r="AD26" s="92">
        <f t="shared" si="59"/>
        <v>30</v>
      </c>
      <c r="AE26" s="92">
        <f t="shared" si="60"/>
        <v>20</v>
      </c>
      <c r="AF26" s="100">
        <f t="shared" si="61"/>
        <v>69.000000000000014</v>
      </c>
      <c r="AG26" s="100">
        <f t="shared" si="62"/>
        <v>69.000000000000014</v>
      </c>
      <c r="AH26" s="91">
        <f t="shared" si="63"/>
        <v>23</v>
      </c>
      <c r="AI26" s="91">
        <f t="shared" si="64"/>
        <v>460</v>
      </c>
      <c r="AJ26" s="101">
        <v>1</v>
      </c>
      <c r="AK26" s="102">
        <f t="shared" si="65"/>
        <v>2.3000000000000003</v>
      </c>
    </row>
    <row r="27" spans="2:37">
      <c r="B27" s="6">
        <v>24</v>
      </c>
      <c r="C27" s="81">
        <f t="shared" si="44"/>
        <v>24</v>
      </c>
      <c r="D27" s="82">
        <f t="shared" si="45"/>
        <v>20</v>
      </c>
      <c r="E27" s="83">
        <v>1</v>
      </c>
      <c r="F27" s="83">
        <v>0</v>
      </c>
      <c r="G27" s="84">
        <v>0</v>
      </c>
      <c r="H27" s="85">
        <v>0</v>
      </c>
      <c r="I27" s="85">
        <v>0</v>
      </c>
      <c r="J27" s="86">
        <v>24</v>
      </c>
      <c r="K27" s="86">
        <v>0</v>
      </c>
      <c r="L27" s="86">
        <v>1</v>
      </c>
      <c r="M27" s="89">
        <v>0</v>
      </c>
      <c r="N27" s="86"/>
      <c r="O27" s="90">
        <f t="shared" si="46"/>
        <v>24</v>
      </c>
      <c r="P27" s="91">
        <f t="shared" si="47"/>
        <v>20</v>
      </c>
      <c r="Q27" s="92">
        <f t="shared" si="48"/>
        <v>20</v>
      </c>
      <c r="R27" s="92">
        <f t="shared" si="49"/>
        <v>0</v>
      </c>
      <c r="S27" s="93">
        <f t="shared" si="50"/>
        <v>0</v>
      </c>
      <c r="T27" s="94">
        <f t="shared" si="51"/>
        <v>0</v>
      </c>
      <c r="U27" s="94">
        <f t="shared" si="52"/>
        <v>0</v>
      </c>
      <c r="V27" s="12">
        <f t="shared" si="53"/>
        <v>24</v>
      </c>
      <c r="W27" s="12">
        <f t="shared" si="54"/>
        <v>0</v>
      </c>
      <c r="X27" s="12">
        <v>1</v>
      </c>
      <c r="Y27" s="97">
        <f t="shared" si="55"/>
        <v>0</v>
      </c>
      <c r="Z27" s="98"/>
      <c r="AA27" s="99">
        <f t="shared" si="56"/>
        <v>24</v>
      </c>
      <c r="AB27" s="91">
        <f t="shared" si="57"/>
        <v>24</v>
      </c>
      <c r="AC27" s="92">
        <f t="shared" si="58"/>
        <v>20</v>
      </c>
      <c r="AD27" s="92">
        <f t="shared" si="59"/>
        <v>30</v>
      </c>
      <c r="AE27" s="92">
        <f t="shared" si="60"/>
        <v>20</v>
      </c>
      <c r="AF27" s="100">
        <f t="shared" si="61"/>
        <v>72.000000000000014</v>
      </c>
      <c r="AG27" s="100">
        <f t="shared" si="62"/>
        <v>72.000000000000014</v>
      </c>
      <c r="AH27" s="91">
        <f t="shared" si="63"/>
        <v>24</v>
      </c>
      <c r="AI27" s="91">
        <f t="shared" si="64"/>
        <v>480</v>
      </c>
      <c r="AJ27" s="101">
        <v>1</v>
      </c>
      <c r="AK27" s="102">
        <f t="shared" si="65"/>
        <v>2.4000000000000004</v>
      </c>
    </row>
    <row r="28" spans="2:37">
      <c r="B28" s="6">
        <v>25</v>
      </c>
      <c r="C28" s="81">
        <f t="shared" si="44"/>
        <v>25</v>
      </c>
      <c r="D28" s="82">
        <f t="shared" si="45"/>
        <v>20</v>
      </c>
      <c r="E28" s="83">
        <v>1</v>
      </c>
      <c r="F28" s="83">
        <v>0</v>
      </c>
      <c r="G28" s="84">
        <v>0</v>
      </c>
      <c r="H28" s="85">
        <v>0</v>
      </c>
      <c r="I28" s="85">
        <v>0</v>
      </c>
      <c r="J28" s="86">
        <v>25</v>
      </c>
      <c r="K28" s="86">
        <v>0</v>
      </c>
      <c r="L28" s="86">
        <v>1</v>
      </c>
      <c r="M28" s="89">
        <v>0</v>
      </c>
      <c r="N28" s="86"/>
      <c r="O28" s="90">
        <f t="shared" si="46"/>
        <v>25</v>
      </c>
      <c r="P28" s="91">
        <f t="shared" si="47"/>
        <v>20</v>
      </c>
      <c r="Q28" s="92">
        <f t="shared" si="48"/>
        <v>20</v>
      </c>
      <c r="R28" s="92">
        <f t="shared" si="49"/>
        <v>0</v>
      </c>
      <c r="S28" s="93">
        <f t="shared" si="50"/>
        <v>0</v>
      </c>
      <c r="T28" s="94">
        <f t="shared" si="51"/>
        <v>0</v>
      </c>
      <c r="U28" s="94">
        <f t="shared" si="52"/>
        <v>0</v>
      </c>
      <c r="V28" s="12">
        <f t="shared" si="53"/>
        <v>25</v>
      </c>
      <c r="W28" s="12">
        <f t="shared" si="54"/>
        <v>0</v>
      </c>
      <c r="X28" s="12">
        <v>1</v>
      </c>
      <c r="Y28" s="97">
        <f t="shared" si="55"/>
        <v>0</v>
      </c>
      <c r="Z28" s="98"/>
      <c r="AA28" s="99">
        <f t="shared" si="56"/>
        <v>25</v>
      </c>
      <c r="AB28" s="91">
        <f t="shared" si="57"/>
        <v>25</v>
      </c>
      <c r="AC28" s="92">
        <f t="shared" si="58"/>
        <v>20</v>
      </c>
      <c r="AD28" s="92">
        <f t="shared" si="59"/>
        <v>30</v>
      </c>
      <c r="AE28" s="92">
        <f t="shared" si="60"/>
        <v>20</v>
      </c>
      <c r="AF28" s="100">
        <f t="shared" si="61"/>
        <v>75</v>
      </c>
      <c r="AG28" s="100">
        <f t="shared" si="62"/>
        <v>75</v>
      </c>
      <c r="AH28" s="91">
        <f t="shared" si="63"/>
        <v>25</v>
      </c>
      <c r="AI28" s="91">
        <f t="shared" si="64"/>
        <v>500</v>
      </c>
      <c r="AJ28" s="101">
        <v>1</v>
      </c>
      <c r="AK28" s="102">
        <f t="shared" si="65"/>
        <v>2.5</v>
      </c>
    </row>
    <row r="29" spans="2:37">
      <c r="B29" s="6">
        <v>26</v>
      </c>
      <c r="C29" s="81">
        <f t="shared" si="44"/>
        <v>26</v>
      </c>
      <c r="D29" s="82">
        <f t="shared" si="45"/>
        <v>20</v>
      </c>
      <c r="E29" s="83">
        <v>1</v>
      </c>
      <c r="F29" s="83">
        <v>0</v>
      </c>
      <c r="G29" s="84">
        <v>0</v>
      </c>
      <c r="H29" s="85">
        <v>0</v>
      </c>
      <c r="I29" s="85">
        <v>0</v>
      </c>
      <c r="J29" s="86">
        <v>26</v>
      </c>
      <c r="K29" s="86">
        <v>0</v>
      </c>
      <c r="L29" s="86">
        <v>1</v>
      </c>
      <c r="M29" s="89">
        <v>0</v>
      </c>
      <c r="N29" s="86"/>
      <c r="O29" s="90">
        <f t="shared" si="46"/>
        <v>26</v>
      </c>
      <c r="P29" s="91">
        <f t="shared" si="47"/>
        <v>20</v>
      </c>
      <c r="Q29" s="92">
        <f t="shared" si="48"/>
        <v>20</v>
      </c>
      <c r="R29" s="92">
        <f t="shared" si="49"/>
        <v>0</v>
      </c>
      <c r="S29" s="93">
        <f t="shared" si="50"/>
        <v>0</v>
      </c>
      <c r="T29" s="94">
        <f t="shared" si="51"/>
        <v>0</v>
      </c>
      <c r="U29" s="94">
        <f t="shared" si="52"/>
        <v>0</v>
      </c>
      <c r="V29" s="12">
        <f t="shared" si="53"/>
        <v>26</v>
      </c>
      <c r="W29" s="12">
        <f t="shared" si="54"/>
        <v>0</v>
      </c>
      <c r="X29" s="12">
        <v>1</v>
      </c>
      <c r="Y29" s="97">
        <f t="shared" si="55"/>
        <v>0</v>
      </c>
      <c r="Z29" s="98"/>
      <c r="AA29" s="99">
        <f t="shared" si="56"/>
        <v>26</v>
      </c>
      <c r="AB29" s="91">
        <f t="shared" si="57"/>
        <v>26</v>
      </c>
      <c r="AC29" s="92">
        <f t="shared" si="58"/>
        <v>20</v>
      </c>
      <c r="AD29" s="92">
        <f t="shared" si="59"/>
        <v>30</v>
      </c>
      <c r="AE29" s="92">
        <f t="shared" si="60"/>
        <v>20</v>
      </c>
      <c r="AF29" s="100">
        <f t="shared" si="61"/>
        <v>78</v>
      </c>
      <c r="AG29" s="100">
        <f t="shared" si="62"/>
        <v>78</v>
      </c>
      <c r="AH29" s="91">
        <f t="shared" si="63"/>
        <v>26</v>
      </c>
      <c r="AI29" s="91">
        <f t="shared" si="64"/>
        <v>520</v>
      </c>
      <c r="AJ29" s="101">
        <v>1</v>
      </c>
      <c r="AK29" s="102">
        <f t="shared" si="65"/>
        <v>2.6</v>
      </c>
    </row>
    <row r="30" spans="2:37">
      <c r="B30" s="6">
        <v>27</v>
      </c>
      <c r="C30" s="81">
        <f t="shared" si="44"/>
        <v>27</v>
      </c>
      <c r="D30" s="82">
        <f t="shared" si="45"/>
        <v>20</v>
      </c>
      <c r="E30" s="83">
        <v>1</v>
      </c>
      <c r="F30" s="83">
        <v>0</v>
      </c>
      <c r="G30" s="84">
        <v>0</v>
      </c>
      <c r="H30" s="85">
        <v>0</v>
      </c>
      <c r="I30" s="85">
        <v>0</v>
      </c>
      <c r="J30" s="86">
        <v>27</v>
      </c>
      <c r="K30" s="86">
        <v>0</v>
      </c>
      <c r="L30" s="86">
        <v>1</v>
      </c>
      <c r="M30" s="89">
        <v>0</v>
      </c>
      <c r="N30" s="86"/>
      <c r="O30" s="90">
        <f t="shared" si="46"/>
        <v>27</v>
      </c>
      <c r="P30" s="91">
        <f t="shared" si="47"/>
        <v>20</v>
      </c>
      <c r="Q30" s="92">
        <f t="shared" si="48"/>
        <v>20</v>
      </c>
      <c r="R30" s="92">
        <f t="shared" si="49"/>
        <v>0</v>
      </c>
      <c r="S30" s="93">
        <f t="shared" si="50"/>
        <v>0</v>
      </c>
      <c r="T30" s="94">
        <f t="shared" si="51"/>
        <v>0</v>
      </c>
      <c r="U30" s="94">
        <f t="shared" si="52"/>
        <v>0</v>
      </c>
      <c r="V30" s="12">
        <f t="shared" si="53"/>
        <v>27</v>
      </c>
      <c r="W30" s="12">
        <f t="shared" si="54"/>
        <v>0</v>
      </c>
      <c r="X30" s="12">
        <v>1</v>
      </c>
      <c r="Y30" s="97">
        <f t="shared" si="55"/>
        <v>0</v>
      </c>
      <c r="Z30" s="98"/>
      <c r="AA30" s="99">
        <f t="shared" si="56"/>
        <v>27</v>
      </c>
      <c r="AB30" s="91">
        <f t="shared" si="57"/>
        <v>27</v>
      </c>
      <c r="AC30" s="92">
        <f t="shared" si="58"/>
        <v>20</v>
      </c>
      <c r="AD30" s="92">
        <f t="shared" si="59"/>
        <v>30</v>
      </c>
      <c r="AE30" s="92">
        <f t="shared" si="60"/>
        <v>20</v>
      </c>
      <c r="AF30" s="100">
        <f t="shared" si="61"/>
        <v>81</v>
      </c>
      <c r="AG30" s="100">
        <f t="shared" si="62"/>
        <v>81</v>
      </c>
      <c r="AH30" s="91">
        <f t="shared" si="63"/>
        <v>27</v>
      </c>
      <c r="AI30" s="91">
        <f t="shared" si="64"/>
        <v>540</v>
      </c>
      <c r="AJ30" s="101">
        <v>1</v>
      </c>
      <c r="AK30" s="102">
        <f t="shared" si="65"/>
        <v>2.7</v>
      </c>
    </row>
    <row r="31" spans="2:37">
      <c r="B31" s="6">
        <v>28</v>
      </c>
      <c r="C31" s="81">
        <f t="shared" si="44"/>
        <v>28</v>
      </c>
      <c r="D31" s="82">
        <f t="shared" si="45"/>
        <v>20</v>
      </c>
      <c r="E31" s="83">
        <v>1</v>
      </c>
      <c r="F31" s="83">
        <v>0</v>
      </c>
      <c r="G31" s="84">
        <v>0</v>
      </c>
      <c r="H31" s="85">
        <v>0</v>
      </c>
      <c r="I31" s="85">
        <v>0</v>
      </c>
      <c r="J31" s="86">
        <v>28</v>
      </c>
      <c r="K31" s="86">
        <v>0</v>
      </c>
      <c r="L31" s="86">
        <v>1</v>
      </c>
      <c r="M31" s="89">
        <v>0</v>
      </c>
      <c r="N31" s="86"/>
      <c r="O31" s="90">
        <f t="shared" si="46"/>
        <v>28</v>
      </c>
      <c r="P31" s="91">
        <f t="shared" si="47"/>
        <v>20</v>
      </c>
      <c r="Q31" s="92">
        <f t="shared" si="48"/>
        <v>20</v>
      </c>
      <c r="R31" s="92">
        <f t="shared" si="49"/>
        <v>0</v>
      </c>
      <c r="S31" s="93">
        <f t="shared" si="50"/>
        <v>0</v>
      </c>
      <c r="T31" s="94">
        <f t="shared" si="51"/>
        <v>0</v>
      </c>
      <c r="U31" s="94">
        <f t="shared" si="52"/>
        <v>0</v>
      </c>
      <c r="V31" s="12">
        <f t="shared" si="53"/>
        <v>28</v>
      </c>
      <c r="W31" s="12">
        <f t="shared" si="54"/>
        <v>0</v>
      </c>
      <c r="X31" s="12">
        <v>1</v>
      </c>
      <c r="Y31" s="97">
        <f t="shared" si="55"/>
        <v>0</v>
      </c>
      <c r="Z31" s="98"/>
      <c r="AA31" s="99">
        <f t="shared" si="56"/>
        <v>28</v>
      </c>
      <c r="AB31" s="91">
        <f t="shared" si="57"/>
        <v>28</v>
      </c>
      <c r="AC31" s="92">
        <f t="shared" si="58"/>
        <v>20</v>
      </c>
      <c r="AD31" s="92">
        <f t="shared" si="59"/>
        <v>30</v>
      </c>
      <c r="AE31" s="92">
        <f t="shared" si="60"/>
        <v>20</v>
      </c>
      <c r="AF31" s="100">
        <f t="shared" si="61"/>
        <v>84.000000000000014</v>
      </c>
      <c r="AG31" s="100">
        <f t="shared" si="62"/>
        <v>84.000000000000014</v>
      </c>
      <c r="AH31" s="91">
        <f t="shared" si="63"/>
        <v>28</v>
      </c>
      <c r="AI31" s="91">
        <f t="shared" si="64"/>
        <v>560</v>
      </c>
      <c r="AJ31" s="101">
        <v>1</v>
      </c>
      <c r="AK31" s="102">
        <f t="shared" si="65"/>
        <v>2.8000000000000003</v>
      </c>
    </row>
    <row r="32" spans="2:37">
      <c r="B32" s="6">
        <v>29</v>
      </c>
      <c r="C32" s="81">
        <f t="shared" si="44"/>
        <v>29</v>
      </c>
      <c r="D32" s="82">
        <f t="shared" si="45"/>
        <v>20</v>
      </c>
      <c r="E32" s="83">
        <v>1</v>
      </c>
      <c r="F32" s="83">
        <v>0</v>
      </c>
      <c r="G32" s="84">
        <v>0</v>
      </c>
      <c r="H32" s="85">
        <v>0</v>
      </c>
      <c r="I32" s="85">
        <v>0</v>
      </c>
      <c r="J32" s="86">
        <v>29</v>
      </c>
      <c r="K32" s="86">
        <v>0</v>
      </c>
      <c r="L32" s="86">
        <v>1</v>
      </c>
      <c r="M32" s="89">
        <v>0</v>
      </c>
      <c r="N32" s="86"/>
      <c r="O32" s="90">
        <f t="shared" si="46"/>
        <v>29</v>
      </c>
      <c r="P32" s="91">
        <f t="shared" si="47"/>
        <v>20</v>
      </c>
      <c r="Q32" s="92">
        <f t="shared" si="48"/>
        <v>20</v>
      </c>
      <c r="R32" s="92">
        <f t="shared" si="49"/>
        <v>0</v>
      </c>
      <c r="S32" s="93">
        <f t="shared" si="50"/>
        <v>0</v>
      </c>
      <c r="T32" s="94">
        <f t="shared" si="51"/>
        <v>0</v>
      </c>
      <c r="U32" s="94">
        <f t="shared" si="52"/>
        <v>0</v>
      </c>
      <c r="V32" s="12">
        <f t="shared" si="53"/>
        <v>29</v>
      </c>
      <c r="W32" s="12">
        <f t="shared" si="54"/>
        <v>0</v>
      </c>
      <c r="X32" s="12">
        <v>1</v>
      </c>
      <c r="Y32" s="97">
        <f t="shared" si="55"/>
        <v>0</v>
      </c>
      <c r="Z32" s="98"/>
      <c r="AA32" s="99">
        <f t="shared" si="56"/>
        <v>29</v>
      </c>
      <c r="AB32" s="91">
        <f t="shared" si="57"/>
        <v>29</v>
      </c>
      <c r="AC32" s="92">
        <f t="shared" si="58"/>
        <v>20</v>
      </c>
      <c r="AD32" s="92">
        <f t="shared" si="59"/>
        <v>30</v>
      </c>
      <c r="AE32" s="92">
        <f t="shared" si="60"/>
        <v>20</v>
      </c>
      <c r="AF32" s="100">
        <f t="shared" si="61"/>
        <v>87.000000000000014</v>
      </c>
      <c r="AG32" s="100">
        <f t="shared" si="62"/>
        <v>87.000000000000014</v>
      </c>
      <c r="AH32" s="91">
        <f t="shared" si="63"/>
        <v>29</v>
      </c>
      <c r="AI32" s="91">
        <f t="shared" si="64"/>
        <v>580</v>
      </c>
      <c r="AJ32" s="101">
        <v>1</v>
      </c>
      <c r="AK32" s="102">
        <f t="shared" si="65"/>
        <v>2.9000000000000004</v>
      </c>
    </row>
    <row r="33" spans="2:37">
      <c r="B33" s="6">
        <v>30</v>
      </c>
      <c r="C33" s="81">
        <f t="shared" si="44"/>
        <v>30</v>
      </c>
      <c r="D33" s="82">
        <f t="shared" si="45"/>
        <v>30</v>
      </c>
      <c r="E33" s="83">
        <v>1</v>
      </c>
      <c r="F33" s="83">
        <v>0</v>
      </c>
      <c r="G33" s="84">
        <v>0</v>
      </c>
      <c r="H33" s="85">
        <v>3</v>
      </c>
      <c r="I33" s="85">
        <v>0</v>
      </c>
      <c r="J33" s="86">
        <v>30</v>
      </c>
      <c r="K33" s="86">
        <v>0</v>
      </c>
      <c r="L33" s="86">
        <v>1</v>
      </c>
      <c r="M33" s="89">
        <v>0</v>
      </c>
      <c r="N33" s="86"/>
      <c r="O33" s="90">
        <f t="shared" si="46"/>
        <v>30</v>
      </c>
      <c r="P33" s="91">
        <f t="shared" si="47"/>
        <v>30</v>
      </c>
      <c r="Q33" s="92">
        <f t="shared" si="48"/>
        <v>20</v>
      </c>
      <c r="R33" s="92">
        <f t="shared" si="49"/>
        <v>0</v>
      </c>
      <c r="S33" s="93">
        <f t="shared" si="50"/>
        <v>0</v>
      </c>
      <c r="T33" s="94">
        <f t="shared" si="51"/>
        <v>90</v>
      </c>
      <c r="U33" s="94">
        <f t="shared" si="52"/>
        <v>90</v>
      </c>
      <c r="V33" s="12">
        <f t="shared" si="53"/>
        <v>30</v>
      </c>
      <c r="W33" s="12">
        <f t="shared" si="54"/>
        <v>0</v>
      </c>
      <c r="X33" s="12">
        <v>1</v>
      </c>
      <c r="Y33" s="97">
        <f t="shared" si="55"/>
        <v>0</v>
      </c>
      <c r="Z33" s="98"/>
      <c r="AA33" s="99">
        <f t="shared" si="56"/>
        <v>30</v>
      </c>
      <c r="AB33" s="91">
        <f t="shared" si="57"/>
        <v>30</v>
      </c>
      <c r="AC33" s="92">
        <f t="shared" si="58"/>
        <v>20</v>
      </c>
      <c r="AD33" s="92">
        <f t="shared" si="59"/>
        <v>30</v>
      </c>
      <c r="AE33" s="92">
        <f t="shared" si="60"/>
        <v>20</v>
      </c>
      <c r="AF33" s="100">
        <f t="shared" si="61"/>
        <v>90</v>
      </c>
      <c r="AG33" s="100">
        <f t="shared" si="62"/>
        <v>90</v>
      </c>
      <c r="AH33" s="91">
        <f t="shared" si="63"/>
        <v>30</v>
      </c>
      <c r="AI33" s="91">
        <f t="shared" si="64"/>
        <v>600</v>
      </c>
      <c r="AJ33" s="101">
        <v>1</v>
      </c>
      <c r="AK33" s="102">
        <f t="shared" si="65"/>
        <v>3</v>
      </c>
    </row>
    <row r="34" spans="2:37">
      <c r="B34" s="6">
        <v>31</v>
      </c>
      <c r="C34" s="81">
        <f t="shared" si="44"/>
        <v>31</v>
      </c>
      <c r="D34" s="82">
        <f t="shared" si="45"/>
        <v>30</v>
      </c>
      <c r="E34" s="83">
        <v>1</v>
      </c>
      <c r="F34" s="83">
        <v>0</v>
      </c>
      <c r="G34" s="84">
        <v>0</v>
      </c>
      <c r="H34" s="85">
        <v>3</v>
      </c>
      <c r="I34" s="85">
        <v>0</v>
      </c>
      <c r="J34" s="86">
        <v>31</v>
      </c>
      <c r="K34" s="86">
        <v>0</v>
      </c>
      <c r="L34" s="86">
        <v>1</v>
      </c>
      <c r="M34" s="89">
        <v>0</v>
      </c>
      <c r="N34" s="86"/>
      <c r="O34" s="90">
        <f t="shared" si="46"/>
        <v>31</v>
      </c>
      <c r="P34" s="91">
        <f t="shared" si="47"/>
        <v>30</v>
      </c>
      <c r="Q34" s="92">
        <f t="shared" si="48"/>
        <v>20</v>
      </c>
      <c r="R34" s="92">
        <f t="shared" si="49"/>
        <v>0</v>
      </c>
      <c r="S34" s="93">
        <f t="shared" si="50"/>
        <v>0</v>
      </c>
      <c r="T34" s="94">
        <f t="shared" si="51"/>
        <v>90</v>
      </c>
      <c r="U34" s="94">
        <f t="shared" si="52"/>
        <v>90</v>
      </c>
      <c r="V34" s="12">
        <f t="shared" si="53"/>
        <v>31</v>
      </c>
      <c r="W34" s="12">
        <f t="shared" si="54"/>
        <v>0</v>
      </c>
      <c r="X34" s="12">
        <v>1</v>
      </c>
      <c r="Y34" s="97">
        <f t="shared" si="55"/>
        <v>0</v>
      </c>
      <c r="Z34" s="98"/>
      <c r="AA34" s="99">
        <f t="shared" si="56"/>
        <v>31</v>
      </c>
      <c r="AB34" s="91">
        <f t="shared" si="57"/>
        <v>31</v>
      </c>
      <c r="AC34" s="92">
        <f t="shared" si="58"/>
        <v>20</v>
      </c>
      <c r="AD34" s="92">
        <f t="shared" si="59"/>
        <v>30</v>
      </c>
      <c r="AE34" s="92">
        <f t="shared" si="60"/>
        <v>20</v>
      </c>
      <c r="AF34" s="100">
        <f t="shared" si="61"/>
        <v>93</v>
      </c>
      <c r="AG34" s="100">
        <f t="shared" si="62"/>
        <v>93</v>
      </c>
      <c r="AH34" s="91">
        <f t="shared" si="63"/>
        <v>31</v>
      </c>
      <c r="AI34" s="91">
        <f t="shared" si="64"/>
        <v>620</v>
      </c>
      <c r="AJ34" s="101">
        <v>1</v>
      </c>
      <c r="AK34" s="102">
        <f t="shared" si="65"/>
        <v>3.1</v>
      </c>
    </row>
    <row r="35" spans="2:37">
      <c r="B35" s="6">
        <v>32</v>
      </c>
      <c r="C35" s="81">
        <f t="shared" si="44"/>
        <v>32</v>
      </c>
      <c r="D35" s="82">
        <f t="shared" si="45"/>
        <v>30</v>
      </c>
      <c r="E35" s="83">
        <v>1</v>
      </c>
      <c r="F35" s="83">
        <v>0</v>
      </c>
      <c r="G35" s="84">
        <v>0</v>
      </c>
      <c r="H35" s="85">
        <v>3</v>
      </c>
      <c r="I35" s="85">
        <v>0</v>
      </c>
      <c r="J35" s="86">
        <v>32</v>
      </c>
      <c r="K35" s="86">
        <v>0</v>
      </c>
      <c r="L35" s="86">
        <v>1</v>
      </c>
      <c r="M35" s="89">
        <v>0</v>
      </c>
      <c r="N35" s="86"/>
      <c r="O35" s="90">
        <f t="shared" si="46"/>
        <v>32</v>
      </c>
      <c r="P35" s="91">
        <f t="shared" si="47"/>
        <v>30</v>
      </c>
      <c r="Q35" s="92">
        <f t="shared" si="48"/>
        <v>20</v>
      </c>
      <c r="R35" s="92">
        <f t="shared" si="49"/>
        <v>0</v>
      </c>
      <c r="S35" s="93">
        <f t="shared" si="50"/>
        <v>0</v>
      </c>
      <c r="T35" s="94">
        <f t="shared" si="51"/>
        <v>90</v>
      </c>
      <c r="U35" s="94">
        <f t="shared" si="52"/>
        <v>90</v>
      </c>
      <c r="V35" s="12">
        <f t="shared" si="53"/>
        <v>32</v>
      </c>
      <c r="W35" s="12">
        <f t="shared" si="54"/>
        <v>0</v>
      </c>
      <c r="X35" s="12">
        <v>1</v>
      </c>
      <c r="Y35" s="97">
        <f t="shared" si="55"/>
        <v>0</v>
      </c>
      <c r="Z35" s="98"/>
      <c r="AA35" s="99">
        <f t="shared" si="56"/>
        <v>32</v>
      </c>
      <c r="AB35" s="91">
        <f t="shared" si="57"/>
        <v>32</v>
      </c>
      <c r="AC35" s="92">
        <f t="shared" si="58"/>
        <v>20</v>
      </c>
      <c r="AD35" s="92">
        <f t="shared" si="59"/>
        <v>30</v>
      </c>
      <c r="AE35" s="92">
        <f t="shared" si="60"/>
        <v>20</v>
      </c>
      <c r="AF35" s="100">
        <f t="shared" si="61"/>
        <v>96</v>
      </c>
      <c r="AG35" s="100">
        <f t="shared" si="62"/>
        <v>96</v>
      </c>
      <c r="AH35" s="91">
        <f t="shared" si="63"/>
        <v>32</v>
      </c>
      <c r="AI35" s="91">
        <f t="shared" si="64"/>
        <v>640</v>
      </c>
      <c r="AJ35" s="101">
        <v>1</v>
      </c>
      <c r="AK35" s="102">
        <f t="shared" si="65"/>
        <v>3.2</v>
      </c>
    </row>
    <row r="36" spans="2:37">
      <c r="B36" s="6">
        <v>33</v>
      </c>
      <c r="C36" s="81">
        <f t="shared" ref="C36" si="66">B36</f>
        <v>33</v>
      </c>
      <c r="D36" s="82">
        <f t="shared" ref="D36" si="67">IF(B36&lt;10,1,ROUNDDOWN(B36,-1))</f>
        <v>30</v>
      </c>
      <c r="E36" s="83">
        <v>1</v>
      </c>
      <c r="F36" s="83">
        <v>0</v>
      </c>
      <c r="G36" s="84">
        <v>0</v>
      </c>
      <c r="H36" s="85">
        <v>3</v>
      </c>
      <c r="I36" s="85">
        <v>0</v>
      </c>
      <c r="J36" s="86">
        <v>33</v>
      </c>
      <c r="K36" s="86">
        <v>0</v>
      </c>
      <c r="L36" s="86">
        <v>1</v>
      </c>
      <c r="M36" s="89">
        <v>0</v>
      </c>
      <c r="N36" s="86"/>
      <c r="O36" s="90">
        <f t="shared" ref="O36" si="68">C36</f>
        <v>33</v>
      </c>
      <c r="P36" s="91">
        <f t="shared" ref="P36" si="69">D36</f>
        <v>30</v>
      </c>
      <c r="Q36" s="92">
        <f t="shared" ref="Q36" si="70">E36*$D$25</f>
        <v>20</v>
      </c>
      <c r="R36" s="92">
        <f t="shared" ref="R36" si="71">F36*$D$36</f>
        <v>0</v>
      </c>
      <c r="S36" s="93">
        <f t="shared" ref="S36" si="72">G36*$D$27</f>
        <v>0</v>
      </c>
      <c r="T36" s="94">
        <f t="shared" ref="T36" si="73">H36*$D$39</f>
        <v>90</v>
      </c>
      <c r="U36" s="94">
        <f t="shared" ref="U36" si="74">H36*$D$40</f>
        <v>90</v>
      </c>
      <c r="V36" s="12">
        <f t="shared" ref="V36" si="75">J36</f>
        <v>33</v>
      </c>
      <c r="W36" s="12">
        <f t="shared" ref="W36" si="76">K36*0.7</f>
        <v>0</v>
      </c>
      <c r="X36" s="12">
        <v>1</v>
      </c>
      <c r="Y36" s="97">
        <f t="shared" ref="Y36" si="77">ROUND(MAX(M36*0.7,),0)</f>
        <v>0</v>
      </c>
      <c r="Z36" s="98"/>
      <c r="AA36" s="99">
        <f t="shared" ref="AA36" si="78">C36</f>
        <v>33</v>
      </c>
      <c r="AB36" s="91">
        <f t="shared" ref="AB36" si="79">B36</f>
        <v>33</v>
      </c>
      <c r="AC36" s="92">
        <f t="shared" ref="AC36" si="80">$D$25</f>
        <v>20</v>
      </c>
      <c r="AD36" s="92">
        <f t="shared" ref="AD36" si="81">$D$36</f>
        <v>30</v>
      </c>
      <c r="AE36" s="92">
        <f t="shared" ref="AE36" si="82">$D$27</f>
        <v>20</v>
      </c>
      <c r="AF36" s="100">
        <f t="shared" ref="AF36" si="83">B36*0.1*$D$39</f>
        <v>99.000000000000014</v>
      </c>
      <c r="AG36" s="100">
        <f t="shared" ref="AG36" si="84">B36*0.1*$D$40</f>
        <v>99.000000000000014</v>
      </c>
      <c r="AH36" s="91">
        <f t="shared" ref="AH36" si="85">B36</f>
        <v>33</v>
      </c>
      <c r="AI36" s="91">
        <f t="shared" ref="AI36" si="86">B36*$D$26</f>
        <v>660</v>
      </c>
      <c r="AJ36" s="101">
        <v>1</v>
      </c>
      <c r="AK36" s="102">
        <f t="shared" ref="AK36" si="87">MIN(AA36*0.1,20)</f>
        <v>3.3000000000000003</v>
      </c>
    </row>
    <row r="37" spans="2:37">
      <c r="B37" s="6">
        <v>34</v>
      </c>
      <c r="C37" s="81">
        <f t="shared" ref="C37" si="88">B37</f>
        <v>34</v>
      </c>
      <c r="D37" s="82">
        <f t="shared" ref="D37" si="89">IF(B37&lt;10,1,ROUNDDOWN(B37,-1))</f>
        <v>30</v>
      </c>
      <c r="E37" s="83">
        <v>1</v>
      </c>
      <c r="F37" s="83">
        <v>0</v>
      </c>
      <c r="G37" s="84">
        <v>0</v>
      </c>
      <c r="H37" s="85">
        <v>3</v>
      </c>
      <c r="I37" s="85">
        <v>0</v>
      </c>
      <c r="J37" s="86">
        <v>34</v>
      </c>
      <c r="K37" s="86">
        <v>0</v>
      </c>
      <c r="L37" s="86">
        <v>1</v>
      </c>
      <c r="M37" s="89">
        <v>0</v>
      </c>
      <c r="N37" s="86"/>
      <c r="O37" s="90">
        <f t="shared" ref="O37" si="90">C37</f>
        <v>34</v>
      </c>
      <c r="P37" s="91">
        <f t="shared" ref="P37" si="91">D37</f>
        <v>30</v>
      </c>
      <c r="Q37" s="92">
        <f t="shared" ref="Q37" si="92">E37*$D$25</f>
        <v>20</v>
      </c>
      <c r="R37" s="92">
        <f t="shared" ref="R37" si="93">F37*$D$36</f>
        <v>0</v>
      </c>
      <c r="S37" s="93">
        <f t="shared" ref="S37" si="94">G37*$D$27</f>
        <v>0</v>
      </c>
      <c r="T37" s="94">
        <f t="shared" ref="T37" si="95">H37*$D$39</f>
        <v>90</v>
      </c>
      <c r="U37" s="94">
        <f t="shared" ref="U37" si="96">H37*$D$40</f>
        <v>90</v>
      </c>
      <c r="V37" s="12">
        <f t="shared" ref="V37" si="97">J37</f>
        <v>34</v>
      </c>
      <c r="W37" s="12">
        <f t="shared" ref="W37" si="98">K37*0.7</f>
        <v>0</v>
      </c>
      <c r="X37" s="12">
        <v>1</v>
      </c>
      <c r="Y37" s="97">
        <f t="shared" ref="Y37" si="99">ROUND(MAX(M37*0.7,),0)</f>
        <v>0</v>
      </c>
      <c r="Z37" s="98"/>
      <c r="AA37" s="99">
        <f t="shared" ref="AA37" si="100">C37</f>
        <v>34</v>
      </c>
      <c r="AB37" s="91">
        <f t="shared" ref="AB37" si="101">B37</f>
        <v>34</v>
      </c>
      <c r="AC37" s="92">
        <f t="shared" ref="AC37" si="102">$D$25</f>
        <v>20</v>
      </c>
      <c r="AD37" s="92">
        <f t="shared" ref="AD37" si="103">$D$36</f>
        <v>30</v>
      </c>
      <c r="AE37" s="92">
        <f t="shared" ref="AE37" si="104">$D$27</f>
        <v>20</v>
      </c>
      <c r="AF37" s="100">
        <f t="shared" ref="AF37" si="105">B37*0.1*$D$39</f>
        <v>102.00000000000001</v>
      </c>
      <c r="AG37" s="100">
        <f t="shared" ref="AG37" si="106">B37*0.1*$D$40</f>
        <v>102.00000000000001</v>
      </c>
      <c r="AH37" s="91">
        <f t="shared" ref="AH37" si="107">B37</f>
        <v>34</v>
      </c>
      <c r="AI37" s="91">
        <f t="shared" ref="AI37" si="108">B37*$D$26</f>
        <v>680</v>
      </c>
      <c r="AJ37" s="101">
        <v>1</v>
      </c>
      <c r="AK37" s="102">
        <f t="shared" ref="AK37" si="109">MIN(AA37*0.1,20)</f>
        <v>3.4000000000000004</v>
      </c>
    </row>
    <row r="38" spans="2:37">
      <c r="B38" s="6">
        <v>35</v>
      </c>
      <c r="C38" s="81">
        <f t="shared" ref="C38:C67" si="110">B38</f>
        <v>35</v>
      </c>
      <c r="D38" s="82">
        <f t="shared" ref="D38:D67" si="111">IF(B38&lt;10,1,ROUNDDOWN(B38,-1))</f>
        <v>30</v>
      </c>
      <c r="E38" s="83">
        <v>1</v>
      </c>
      <c r="F38" s="83">
        <v>0</v>
      </c>
      <c r="G38" s="84">
        <v>0</v>
      </c>
      <c r="H38" s="85">
        <v>3</v>
      </c>
      <c r="I38" s="85">
        <v>0</v>
      </c>
      <c r="J38" s="86">
        <v>35</v>
      </c>
      <c r="K38" s="86">
        <f t="shared" ref="K38" si="112">B38</f>
        <v>35</v>
      </c>
      <c r="L38" s="86">
        <v>1</v>
      </c>
      <c r="M38" s="89">
        <v>0</v>
      </c>
      <c r="N38" s="86"/>
      <c r="O38" s="90">
        <f t="shared" ref="O38:O67" si="113">C38</f>
        <v>35</v>
      </c>
      <c r="P38" s="91">
        <f t="shared" ref="P38:P67" si="114">D38</f>
        <v>30</v>
      </c>
      <c r="Q38" s="92">
        <f t="shared" ref="Q38:Q67" si="115">E38*$D$25</f>
        <v>20</v>
      </c>
      <c r="R38" s="92">
        <f t="shared" ref="R38:R67" si="116">F38*$D$36</f>
        <v>0</v>
      </c>
      <c r="S38" s="93">
        <f t="shared" ref="S38:S67" si="117">G38*$D$27</f>
        <v>0</v>
      </c>
      <c r="T38" s="94">
        <f t="shared" ref="T38:T67" si="118">H38*$D$39</f>
        <v>90</v>
      </c>
      <c r="U38" s="94">
        <f t="shared" ref="U38:U67" si="119">H38*$D$40</f>
        <v>90</v>
      </c>
      <c r="V38" s="12">
        <f t="shared" ref="V38:V67" si="120">J38</f>
        <v>35</v>
      </c>
      <c r="W38" s="12">
        <f t="shared" ref="W38:W67" si="121">K38*0.7</f>
        <v>24.5</v>
      </c>
      <c r="X38" s="12">
        <v>1</v>
      </c>
      <c r="Y38" s="97">
        <f t="shared" ref="Y38:Y67" si="122">ROUND(MAX(M38*0.7,),0)</f>
        <v>0</v>
      </c>
      <c r="Z38" s="98"/>
      <c r="AA38" s="99">
        <f t="shared" ref="AA38:AA67" si="123">C38</f>
        <v>35</v>
      </c>
      <c r="AB38" s="91">
        <f t="shared" ref="AB38:AB67" si="124">B38</f>
        <v>35</v>
      </c>
      <c r="AC38" s="92">
        <f t="shared" ref="AC38:AC67" si="125">$D$25</f>
        <v>20</v>
      </c>
      <c r="AD38" s="92">
        <f t="shared" ref="AD38:AD67" si="126">$D$36</f>
        <v>30</v>
      </c>
      <c r="AE38" s="92">
        <f t="shared" ref="AE38:AE67" si="127">$D$27</f>
        <v>20</v>
      </c>
      <c r="AF38" s="100">
        <f t="shared" ref="AF38:AF67" si="128">B38*0.1*$D$39</f>
        <v>105</v>
      </c>
      <c r="AG38" s="100">
        <f t="shared" ref="AG38:AG67" si="129">B38*0.1*$D$40</f>
        <v>105</v>
      </c>
      <c r="AH38" s="91">
        <f t="shared" ref="AH38:AH67" si="130">B38</f>
        <v>35</v>
      </c>
      <c r="AI38" s="91">
        <f t="shared" ref="AI38:AI67" si="131">B38*$D$26</f>
        <v>700</v>
      </c>
      <c r="AJ38" s="101">
        <v>1</v>
      </c>
      <c r="AK38" s="102">
        <f t="shared" ref="AK38:AK67" si="132">MIN(AA38*0.1,20)</f>
        <v>3.5</v>
      </c>
    </row>
    <row r="39" spans="2:37">
      <c r="B39" s="6">
        <v>36</v>
      </c>
      <c r="C39" s="81">
        <f t="shared" si="110"/>
        <v>36</v>
      </c>
      <c r="D39" s="82">
        <f t="shared" si="111"/>
        <v>30</v>
      </c>
      <c r="E39" s="83">
        <v>1</v>
      </c>
      <c r="F39" s="83">
        <v>0</v>
      </c>
      <c r="G39" s="84">
        <v>0</v>
      </c>
      <c r="H39" s="85">
        <v>3</v>
      </c>
      <c r="I39" s="85">
        <v>0</v>
      </c>
      <c r="J39" s="86">
        <v>36</v>
      </c>
      <c r="K39" s="86">
        <f t="shared" ref="K39" si="133">B39</f>
        <v>36</v>
      </c>
      <c r="L39" s="86">
        <v>1</v>
      </c>
      <c r="M39" s="89">
        <v>0</v>
      </c>
      <c r="N39" s="86"/>
      <c r="O39" s="90">
        <f t="shared" si="113"/>
        <v>36</v>
      </c>
      <c r="P39" s="91">
        <f t="shared" si="114"/>
        <v>30</v>
      </c>
      <c r="Q39" s="92">
        <f t="shared" si="115"/>
        <v>20</v>
      </c>
      <c r="R39" s="92">
        <f t="shared" si="116"/>
        <v>0</v>
      </c>
      <c r="S39" s="93">
        <f t="shared" si="117"/>
        <v>0</v>
      </c>
      <c r="T39" s="94">
        <f t="shared" si="118"/>
        <v>90</v>
      </c>
      <c r="U39" s="94">
        <f t="shared" si="119"/>
        <v>90</v>
      </c>
      <c r="V39" s="12">
        <f t="shared" si="120"/>
        <v>36</v>
      </c>
      <c r="W39" s="12">
        <f t="shared" si="121"/>
        <v>25.2</v>
      </c>
      <c r="X39" s="12">
        <v>1</v>
      </c>
      <c r="Y39" s="97">
        <f t="shared" si="122"/>
        <v>0</v>
      </c>
      <c r="Z39" s="98"/>
      <c r="AA39" s="99">
        <f t="shared" si="123"/>
        <v>36</v>
      </c>
      <c r="AB39" s="91">
        <f t="shared" si="124"/>
        <v>36</v>
      </c>
      <c r="AC39" s="92">
        <f t="shared" si="125"/>
        <v>20</v>
      </c>
      <c r="AD39" s="92">
        <f t="shared" si="126"/>
        <v>30</v>
      </c>
      <c r="AE39" s="92">
        <f t="shared" si="127"/>
        <v>20</v>
      </c>
      <c r="AF39" s="100">
        <f t="shared" si="128"/>
        <v>108</v>
      </c>
      <c r="AG39" s="100">
        <f t="shared" si="129"/>
        <v>108</v>
      </c>
      <c r="AH39" s="91">
        <f t="shared" si="130"/>
        <v>36</v>
      </c>
      <c r="AI39" s="91">
        <f t="shared" si="131"/>
        <v>720</v>
      </c>
      <c r="AJ39" s="101">
        <v>1</v>
      </c>
      <c r="AK39" s="102">
        <f t="shared" si="132"/>
        <v>3.6</v>
      </c>
    </row>
    <row r="40" spans="2:37">
      <c r="B40" s="6">
        <v>37</v>
      </c>
      <c r="C40" s="81">
        <f t="shared" si="110"/>
        <v>37</v>
      </c>
      <c r="D40" s="82">
        <f t="shared" si="111"/>
        <v>30</v>
      </c>
      <c r="E40" s="83">
        <v>1</v>
      </c>
      <c r="F40" s="83">
        <v>0</v>
      </c>
      <c r="G40" s="84">
        <v>0</v>
      </c>
      <c r="H40" s="85">
        <v>3</v>
      </c>
      <c r="I40" s="85">
        <v>0</v>
      </c>
      <c r="J40" s="86">
        <v>37</v>
      </c>
      <c r="K40" s="86">
        <f t="shared" ref="K40:K69" si="134">B40</f>
        <v>37</v>
      </c>
      <c r="L40" s="86">
        <v>1</v>
      </c>
      <c r="M40" s="89">
        <v>0</v>
      </c>
      <c r="N40" s="86"/>
      <c r="O40" s="90">
        <f t="shared" si="113"/>
        <v>37</v>
      </c>
      <c r="P40" s="91">
        <f t="shared" si="114"/>
        <v>30</v>
      </c>
      <c r="Q40" s="92">
        <f t="shared" si="115"/>
        <v>20</v>
      </c>
      <c r="R40" s="92">
        <f t="shared" si="116"/>
        <v>0</v>
      </c>
      <c r="S40" s="93">
        <f t="shared" si="117"/>
        <v>0</v>
      </c>
      <c r="T40" s="94">
        <f t="shared" si="118"/>
        <v>90</v>
      </c>
      <c r="U40" s="94">
        <f t="shared" si="119"/>
        <v>90</v>
      </c>
      <c r="V40" s="12">
        <f t="shared" si="120"/>
        <v>37</v>
      </c>
      <c r="W40" s="12">
        <f t="shared" si="121"/>
        <v>25.9</v>
      </c>
      <c r="X40" s="12">
        <v>1</v>
      </c>
      <c r="Y40" s="97">
        <f t="shared" si="122"/>
        <v>0</v>
      </c>
      <c r="Z40" s="98"/>
      <c r="AA40" s="99">
        <f t="shared" si="123"/>
        <v>37</v>
      </c>
      <c r="AB40" s="91">
        <f t="shared" si="124"/>
        <v>37</v>
      </c>
      <c r="AC40" s="92">
        <f t="shared" si="125"/>
        <v>20</v>
      </c>
      <c r="AD40" s="92">
        <f t="shared" si="126"/>
        <v>30</v>
      </c>
      <c r="AE40" s="92">
        <f t="shared" si="127"/>
        <v>20</v>
      </c>
      <c r="AF40" s="100">
        <f t="shared" si="128"/>
        <v>111</v>
      </c>
      <c r="AG40" s="100">
        <f t="shared" si="129"/>
        <v>111</v>
      </c>
      <c r="AH40" s="91">
        <f t="shared" si="130"/>
        <v>37</v>
      </c>
      <c r="AI40" s="91">
        <f t="shared" si="131"/>
        <v>740</v>
      </c>
      <c r="AJ40" s="101">
        <v>1</v>
      </c>
      <c r="AK40" s="102">
        <f t="shared" si="132"/>
        <v>3.7</v>
      </c>
    </row>
    <row r="41" spans="2:37">
      <c r="B41" s="6">
        <v>38</v>
      </c>
      <c r="C41" s="81">
        <f t="shared" si="110"/>
        <v>38</v>
      </c>
      <c r="D41" s="82">
        <f t="shared" si="111"/>
        <v>30</v>
      </c>
      <c r="E41" s="83">
        <v>1</v>
      </c>
      <c r="F41" s="83">
        <v>0</v>
      </c>
      <c r="G41" s="84">
        <v>0</v>
      </c>
      <c r="H41" s="85">
        <v>3</v>
      </c>
      <c r="I41" s="85">
        <v>0</v>
      </c>
      <c r="J41" s="86">
        <v>38</v>
      </c>
      <c r="K41" s="86">
        <f t="shared" si="134"/>
        <v>38</v>
      </c>
      <c r="L41" s="86">
        <v>1</v>
      </c>
      <c r="M41" s="89">
        <v>0</v>
      </c>
      <c r="N41" s="86"/>
      <c r="O41" s="90">
        <f t="shared" si="113"/>
        <v>38</v>
      </c>
      <c r="P41" s="91">
        <f t="shared" si="114"/>
        <v>30</v>
      </c>
      <c r="Q41" s="92">
        <f t="shared" si="115"/>
        <v>20</v>
      </c>
      <c r="R41" s="92">
        <f t="shared" si="116"/>
        <v>0</v>
      </c>
      <c r="S41" s="93">
        <f t="shared" si="117"/>
        <v>0</v>
      </c>
      <c r="T41" s="94">
        <f t="shared" si="118"/>
        <v>90</v>
      </c>
      <c r="U41" s="94">
        <f t="shared" si="119"/>
        <v>90</v>
      </c>
      <c r="V41" s="12">
        <f t="shared" si="120"/>
        <v>38</v>
      </c>
      <c r="W41" s="12">
        <f t="shared" si="121"/>
        <v>26.599999999999998</v>
      </c>
      <c r="X41" s="12">
        <v>1</v>
      </c>
      <c r="Y41" s="97">
        <f t="shared" si="122"/>
        <v>0</v>
      </c>
      <c r="Z41" s="98"/>
      <c r="AA41" s="99">
        <f t="shared" si="123"/>
        <v>38</v>
      </c>
      <c r="AB41" s="91">
        <f t="shared" si="124"/>
        <v>38</v>
      </c>
      <c r="AC41" s="92">
        <f t="shared" si="125"/>
        <v>20</v>
      </c>
      <c r="AD41" s="92">
        <f t="shared" si="126"/>
        <v>30</v>
      </c>
      <c r="AE41" s="92">
        <f t="shared" si="127"/>
        <v>20</v>
      </c>
      <c r="AF41" s="100">
        <f t="shared" si="128"/>
        <v>114.00000000000001</v>
      </c>
      <c r="AG41" s="100">
        <f t="shared" si="129"/>
        <v>114.00000000000001</v>
      </c>
      <c r="AH41" s="91">
        <f t="shared" si="130"/>
        <v>38</v>
      </c>
      <c r="AI41" s="91">
        <f t="shared" si="131"/>
        <v>760</v>
      </c>
      <c r="AJ41" s="101">
        <v>1</v>
      </c>
      <c r="AK41" s="102">
        <f t="shared" si="132"/>
        <v>3.8000000000000003</v>
      </c>
    </row>
    <row r="42" spans="2:37">
      <c r="B42" s="6">
        <v>39</v>
      </c>
      <c r="C42" s="81">
        <f t="shared" si="110"/>
        <v>39</v>
      </c>
      <c r="D42" s="82">
        <f t="shared" si="111"/>
        <v>30</v>
      </c>
      <c r="E42" s="83">
        <v>1</v>
      </c>
      <c r="F42" s="83">
        <v>0</v>
      </c>
      <c r="G42" s="84">
        <v>0</v>
      </c>
      <c r="H42" s="85">
        <v>3</v>
      </c>
      <c r="I42" s="85">
        <v>0</v>
      </c>
      <c r="J42" s="86">
        <v>39</v>
      </c>
      <c r="K42" s="86">
        <f t="shared" si="134"/>
        <v>39</v>
      </c>
      <c r="L42" s="86">
        <v>1</v>
      </c>
      <c r="M42" s="89">
        <v>0</v>
      </c>
      <c r="N42" s="86"/>
      <c r="O42" s="90">
        <f t="shared" si="113"/>
        <v>39</v>
      </c>
      <c r="P42" s="91">
        <f t="shared" si="114"/>
        <v>30</v>
      </c>
      <c r="Q42" s="92">
        <f t="shared" si="115"/>
        <v>20</v>
      </c>
      <c r="R42" s="92">
        <f t="shared" si="116"/>
        <v>0</v>
      </c>
      <c r="S42" s="93">
        <f t="shared" si="117"/>
        <v>0</v>
      </c>
      <c r="T42" s="94">
        <f t="shared" si="118"/>
        <v>90</v>
      </c>
      <c r="U42" s="94">
        <f t="shared" si="119"/>
        <v>90</v>
      </c>
      <c r="V42" s="12">
        <f t="shared" si="120"/>
        <v>39</v>
      </c>
      <c r="W42" s="12">
        <f t="shared" si="121"/>
        <v>27.299999999999997</v>
      </c>
      <c r="X42" s="12">
        <v>1</v>
      </c>
      <c r="Y42" s="97">
        <f t="shared" si="122"/>
        <v>0</v>
      </c>
      <c r="Z42" s="98"/>
      <c r="AA42" s="99">
        <f t="shared" si="123"/>
        <v>39</v>
      </c>
      <c r="AB42" s="91">
        <f t="shared" si="124"/>
        <v>39</v>
      </c>
      <c r="AC42" s="92">
        <f t="shared" si="125"/>
        <v>20</v>
      </c>
      <c r="AD42" s="92">
        <f t="shared" si="126"/>
        <v>30</v>
      </c>
      <c r="AE42" s="92">
        <f t="shared" si="127"/>
        <v>20</v>
      </c>
      <c r="AF42" s="100">
        <f t="shared" si="128"/>
        <v>117.00000000000001</v>
      </c>
      <c r="AG42" s="100">
        <f t="shared" si="129"/>
        <v>117.00000000000001</v>
      </c>
      <c r="AH42" s="91">
        <f t="shared" si="130"/>
        <v>39</v>
      </c>
      <c r="AI42" s="91">
        <f t="shared" si="131"/>
        <v>780</v>
      </c>
      <c r="AJ42" s="101">
        <v>1</v>
      </c>
      <c r="AK42" s="102">
        <f t="shared" si="132"/>
        <v>3.9000000000000004</v>
      </c>
    </row>
    <row r="43" spans="2:37">
      <c r="B43" s="6">
        <v>40</v>
      </c>
      <c r="C43" s="81">
        <f t="shared" si="110"/>
        <v>40</v>
      </c>
      <c r="D43" s="82">
        <f t="shared" si="111"/>
        <v>40</v>
      </c>
      <c r="E43" s="83">
        <v>1</v>
      </c>
      <c r="F43" s="83">
        <v>0.4</v>
      </c>
      <c r="G43" s="84">
        <v>0</v>
      </c>
      <c r="H43" s="85">
        <v>4</v>
      </c>
      <c r="I43" s="85">
        <v>0</v>
      </c>
      <c r="J43" s="86">
        <v>40</v>
      </c>
      <c r="K43" s="86">
        <f t="shared" si="134"/>
        <v>40</v>
      </c>
      <c r="L43" s="86">
        <v>1</v>
      </c>
      <c r="M43" s="89">
        <v>0</v>
      </c>
      <c r="N43" s="86"/>
      <c r="O43" s="90">
        <f t="shared" si="113"/>
        <v>40</v>
      </c>
      <c r="P43" s="91">
        <f t="shared" si="114"/>
        <v>40</v>
      </c>
      <c r="Q43" s="92">
        <f t="shared" si="115"/>
        <v>20</v>
      </c>
      <c r="R43" s="92">
        <f t="shared" si="116"/>
        <v>12</v>
      </c>
      <c r="S43" s="93">
        <f t="shared" si="117"/>
        <v>0</v>
      </c>
      <c r="T43" s="94">
        <f t="shared" si="118"/>
        <v>120</v>
      </c>
      <c r="U43" s="94">
        <f t="shared" si="119"/>
        <v>120</v>
      </c>
      <c r="V43" s="12">
        <f t="shared" si="120"/>
        <v>40</v>
      </c>
      <c r="W43" s="12">
        <f t="shared" si="121"/>
        <v>28</v>
      </c>
      <c r="X43" s="12">
        <v>1</v>
      </c>
      <c r="Y43" s="97">
        <f t="shared" si="122"/>
        <v>0</v>
      </c>
      <c r="Z43" s="98"/>
      <c r="AA43" s="99">
        <f t="shared" si="123"/>
        <v>40</v>
      </c>
      <c r="AB43" s="91">
        <f t="shared" si="124"/>
        <v>40</v>
      </c>
      <c r="AC43" s="92">
        <f t="shared" si="125"/>
        <v>20</v>
      </c>
      <c r="AD43" s="92">
        <f t="shared" si="126"/>
        <v>30</v>
      </c>
      <c r="AE43" s="92">
        <f t="shared" si="127"/>
        <v>20</v>
      </c>
      <c r="AF43" s="100">
        <f t="shared" si="128"/>
        <v>120</v>
      </c>
      <c r="AG43" s="100">
        <f t="shared" si="129"/>
        <v>120</v>
      </c>
      <c r="AH43" s="91">
        <f t="shared" si="130"/>
        <v>40</v>
      </c>
      <c r="AI43" s="91">
        <f t="shared" si="131"/>
        <v>800</v>
      </c>
      <c r="AJ43" s="101">
        <v>1</v>
      </c>
      <c r="AK43" s="102">
        <f t="shared" si="132"/>
        <v>4</v>
      </c>
    </row>
    <row r="44" spans="2:37">
      <c r="B44" s="6">
        <v>41</v>
      </c>
      <c r="C44" s="81">
        <f t="shared" si="110"/>
        <v>41</v>
      </c>
      <c r="D44" s="82">
        <f t="shared" si="111"/>
        <v>40</v>
      </c>
      <c r="E44" s="83">
        <v>1</v>
      </c>
      <c r="F44" s="83">
        <v>0.4</v>
      </c>
      <c r="G44" s="84">
        <v>0</v>
      </c>
      <c r="H44" s="85">
        <v>4</v>
      </c>
      <c r="I44" s="85">
        <v>0</v>
      </c>
      <c r="J44" s="86">
        <v>41</v>
      </c>
      <c r="K44" s="86">
        <f t="shared" si="134"/>
        <v>41</v>
      </c>
      <c r="L44" s="86">
        <v>1</v>
      </c>
      <c r="M44" s="89">
        <v>0</v>
      </c>
      <c r="N44" s="86"/>
      <c r="O44" s="90">
        <f t="shared" si="113"/>
        <v>41</v>
      </c>
      <c r="P44" s="91">
        <f t="shared" si="114"/>
        <v>40</v>
      </c>
      <c r="Q44" s="92">
        <f t="shared" si="115"/>
        <v>20</v>
      </c>
      <c r="R44" s="92">
        <f t="shared" si="116"/>
        <v>12</v>
      </c>
      <c r="S44" s="93">
        <f t="shared" si="117"/>
        <v>0</v>
      </c>
      <c r="T44" s="94">
        <f t="shared" si="118"/>
        <v>120</v>
      </c>
      <c r="U44" s="94">
        <f t="shared" si="119"/>
        <v>120</v>
      </c>
      <c r="V44" s="12">
        <f t="shared" si="120"/>
        <v>41</v>
      </c>
      <c r="W44" s="12">
        <f t="shared" si="121"/>
        <v>28.7</v>
      </c>
      <c r="X44" s="12">
        <v>1</v>
      </c>
      <c r="Y44" s="97">
        <f t="shared" si="122"/>
        <v>0</v>
      </c>
      <c r="Z44" s="98"/>
      <c r="AA44" s="99">
        <f t="shared" si="123"/>
        <v>41</v>
      </c>
      <c r="AB44" s="91">
        <f t="shared" si="124"/>
        <v>41</v>
      </c>
      <c r="AC44" s="92">
        <f t="shared" si="125"/>
        <v>20</v>
      </c>
      <c r="AD44" s="92">
        <f t="shared" si="126"/>
        <v>30</v>
      </c>
      <c r="AE44" s="92">
        <f t="shared" si="127"/>
        <v>20</v>
      </c>
      <c r="AF44" s="100">
        <f t="shared" si="128"/>
        <v>123.00000000000001</v>
      </c>
      <c r="AG44" s="100">
        <f t="shared" si="129"/>
        <v>123.00000000000001</v>
      </c>
      <c r="AH44" s="91">
        <f t="shared" si="130"/>
        <v>41</v>
      </c>
      <c r="AI44" s="91">
        <f t="shared" si="131"/>
        <v>820</v>
      </c>
      <c r="AJ44" s="101">
        <v>1</v>
      </c>
      <c r="AK44" s="102">
        <f t="shared" si="132"/>
        <v>4.1000000000000005</v>
      </c>
    </row>
    <row r="45" spans="2:37">
      <c r="B45" s="6">
        <v>42</v>
      </c>
      <c r="C45" s="81">
        <f t="shared" si="110"/>
        <v>42</v>
      </c>
      <c r="D45" s="82">
        <f t="shared" si="111"/>
        <v>40</v>
      </c>
      <c r="E45" s="83">
        <v>1</v>
      </c>
      <c r="F45" s="83">
        <v>0.4</v>
      </c>
      <c r="G45" s="84">
        <v>0</v>
      </c>
      <c r="H45" s="85">
        <v>4</v>
      </c>
      <c r="I45" s="85">
        <v>0</v>
      </c>
      <c r="J45" s="86">
        <v>42</v>
      </c>
      <c r="K45" s="86">
        <f t="shared" si="134"/>
        <v>42</v>
      </c>
      <c r="L45" s="86">
        <v>1</v>
      </c>
      <c r="M45" s="89">
        <v>0</v>
      </c>
      <c r="N45" s="86"/>
      <c r="O45" s="90">
        <f t="shared" si="113"/>
        <v>42</v>
      </c>
      <c r="P45" s="91">
        <f t="shared" si="114"/>
        <v>40</v>
      </c>
      <c r="Q45" s="92">
        <f t="shared" si="115"/>
        <v>20</v>
      </c>
      <c r="R45" s="92">
        <f t="shared" si="116"/>
        <v>12</v>
      </c>
      <c r="S45" s="93">
        <f t="shared" si="117"/>
        <v>0</v>
      </c>
      <c r="T45" s="94">
        <f t="shared" si="118"/>
        <v>120</v>
      </c>
      <c r="U45" s="94">
        <f t="shared" si="119"/>
        <v>120</v>
      </c>
      <c r="V45" s="12">
        <f t="shared" si="120"/>
        <v>42</v>
      </c>
      <c r="W45" s="12">
        <f t="shared" si="121"/>
        <v>29.4</v>
      </c>
      <c r="X45" s="12">
        <v>1</v>
      </c>
      <c r="Y45" s="97">
        <f t="shared" si="122"/>
        <v>0</v>
      </c>
      <c r="Z45" s="98"/>
      <c r="AA45" s="99">
        <f t="shared" si="123"/>
        <v>42</v>
      </c>
      <c r="AB45" s="91">
        <f t="shared" si="124"/>
        <v>42</v>
      </c>
      <c r="AC45" s="92">
        <f t="shared" si="125"/>
        <v>20</v>
      </c>
      <c r="AD45" s="92">
        <f t="shared" si="126"/>
        <v>30</v>
      </c>
      <c r="AE45" s="92">
        <f t="shared" si="127"/>
        <v>20</v>
      </c>
      <c r="AF45" s="100">
        <f t="shared" si="128"/>
        <v>126</v>
      </c>
      <c r="AG45" s="100">
        <f t="shared" si="129"/>
        <v>126</v>
      </c>
      <c r="AH45" s="91">
        <f t="shared" si="130"/>
        <v>42</v>
      </c>
      <c r="AI45" s="91">
        <f t="shared" si="131"/>
        <v>840</v>
      </c>
      <c r="AJ45" s="101">
        <v>1</v>
      </c>
      <c r="AK45" s="102">
        <f t="shared" si="132"/>
        <v>4.2</v>
      </c>
    </row>
    <row r="46" spans="2:37">
      <c r="B46" s="6">
        <v>43</v>
      </c>
      <c r="C46" s="81">
        <f t="shared" si="110"/>
        <v>43</v>
      </c>
      <c r="D46" s="82">
        <f t="shared" si="111"/>
        <v>40</v>
      </c>
      <c r="E46" s="83">
        <v>1</v>
      </c>
      <c r="F46" s="83">
        <v>0.4</v>
      </c>
      <c r="G46" s="84">
        <v>0</v>
      </c>
      <c r="H46" s="85">
        <v>4</v>
      </c>
      <c r="I46" s="85">
        <v>0</v>
      </c>
      <c r="J46" s="86">
        <v>43</v>
      </c>
      <c r="K46" s="86">
        <f t="shared" si="134"/>
        <v>43</v>
      </c>
      <c r="L46" s="86">
        <v>1</v>
      </c>
      <c r="M46" s="89">
        <v>0</v>
      </c>
      <c r="N46" s="86"/>
      <c r="O46" s="90">
        <f t="shared" si="113"/>
        <v>43</v>
      </c>
      <c r="P46" s="91">
        <f t="shared" si="114"/>
        <v>40</v>
      </c>
      <c r="Q46" s="92">
        <f t="shared" si="115"/>
        <v>20</v>
      </c>
      <c r="R46" s="92">
        <f t="shared" si="116"/>
        <v>12</v>
      </c>
      <c r="S46" s="93">
        <f t="shared" si="117"/>
        <v>0</v>
      </c>
      <c r="T46" s="94">
        <f t="shared" si="118"/>
        <v>120</v>
      </c>
      <c r="U46" s="94">
        <f t="shared" si="119"/>
        <v>120</v>
      </c>
      <c r="V46" s="12">
        <f t="shared" si="120"/>
        <v>43</v>
      </c>
      <c r="W46" s="12">
        <f t="shared" si="121"/>
        <v>30.099999999999998</v>
      </c>
      <c r="X46" s="12">
        <v>1</v>
      </c>
      <c r="Y46" s="97">
        <f t="shared" si="122"/>
        <v>0</v>
      </c>
      <c r="Z46" s="98"/>
      <c r="AA46" s="99">
        <f t="shared" si="123"/>
        <v>43</v>
      </c>
      <c r="AB46" s="91">
        <f t="shared" si="124"/>
        <v>43</v>
      </c>
      <c r="AC46" s="92">
        <f t="shared" si="125"/>
        <v>20</v>
      </c>
      <c r="AD46" s="92">
        <f t="shared" si="126"/>
        <v>30</v>
      </c>
      <c r="AE46" s="92">
        <f t="shared" si="127"/>
        <v>20</v>
      </c>
      <c r="AF46" s="100">
        <f t="shared" si="128"/>
        <v>129</v>
      </c>
      <c r="AG46" s="100">
        <f t="shared" si="129"/>
        <v>129</v>
      </c>
      <c r="AH46" s="91">
        <f t="shared" si="130"/>
        <v>43</v>
      </c>
      <c r="AI46" s="91">
        <f t="shared" si="131"/>
        <v>860</v>
      </c>
      <c r="AJ46" s="101">
        <v>1</v>
      </c>
      <c r="AK46" s="102">
        <f t="shared" si="132"/>
        <v>4.3</v>
      </c>
    </row>
    <row r="47" spans="2:37">
      <c r="B47" s="6">
        <v>44</v>
      </c>
      <c r="C47" s="81">
        <f t="shared" si="110"/>
        <v>44</v>
      </c>
      <c r="D47" s="82">
        <f t="shared" si="111"/>
        <v>40</v>
      </c>
      <c r="E47" s="83">
        <v>1</v>
      </c>
      <c r="F47" s="83">
        <v>0.4</v>
      </c>
      <c r="G47" s="84">
        <v>0</v>
      </c>
      <c r="H47" s="85">
        <v>4</v>
      </c>
      <c r="I47" s="85">
        <v>0</v>
      </c>
      <c r="J47" s="86">
        <v>44</v>
      </c>
      <c r="K47" s="86">
        <f t="shared" si="134"/>
        <v>44</v>
      </c>
      <c r="L47" s="86">
        <v>1</v>
      </c>
      <c r="M47" s="89">
        <v>0</v>
      </c>
      <c r="N47" s="86"/>
      <c r="O47" s="90">
        <f t="shared" si="113"/>
        <v>44</v>
      </c>
      <c r="P47" s="91">
        <f t="shared" si="114"/>
        <v>40</v>
      </c>
      <c r="Q47" s="92">
        <f t="shared" si="115"/>
        <v>20</v>
      </c>
      <c r="R47" s="92">
        <f t="shared" si="116"/>
        <v>12</v>
      </c>
      <c r="S47" s="93">
        <f t="shared" si="117"/>
        <v>0</v>
      </c>
      <c r="T47" s="94">
        <f t="shared" si="118"/>
        <v>120</v>
      </c>
      <c r="U47" s="94">
        <f t="shared" si="119"/>
        <v>120</v>
      </c>
      <c r="V47" s="12">
        <f t="shared" si="120"/>
        <v>44</v>
      </c>
      <c r="W47" s="12">
        <f t="shared" si="121"/>
        <v>30.799999999999997</v>
      </c>
      <c r="X47" s="12">
        <v>1</v>
      </c>
      <c r="Y47" s="97">
        <f t="shared" si="122"/>
        <v>0</v>
      </c>
      <c r="Z47" s="98"/>
      <c r="AA47" s="99">
        <f t="shared" si="123"/>
        <v>44</v>
      </c>
      <c r="AB47" s="91">
        <f t="shared" si="124"/>
        <v>44</v>
      </c>
      <c r="AC47" s="92">
        <f t="shared" si="125"/>
        <v>20</v>
      </c>
      <c r="AD47" s="92">
        <f t="shared" si="126"/>
        <v>30</v>
      </c>
      <c r="AE47" s="92">
        <f t="shared" si="127"/>
        <v>20</v>
      </c>
      <c r="AF47" s="100">
        <f t="shared" si="128"/>
        <v>132</v>
      </c>
      <c r="AG47" s="100">
        <f t="shared" si="129"/>
        <v>132</v>
      </c>
      <c r="AH47" s="91">
        <f t="shared" si="130"/>
        <v>44</v>
      </c>
      <c r="AI47" s="91">
        <f t="shared" si="131"/>
        <v>880</v>
      </c>
      <c r="AJ47" s="101">
        <v>1</v>
      </c>
      <c r="AK47" s="102">
        <f t="shared" si="132"/>
        <v>4.4000000000000004</v>
      </c>
    </row>
    <row r="48" spans="2:37">
      <c r="B48" s="6">
        <v>45</v>
      </c>
      <c r="C48" s="81">
        <f t="shared" si="110"/>
        <v>45</v>
      </c>
      <c r="D48" s="82">
        <f t="shared" si="111"/>
        <v>40</v>
      </c>
      <c r="E48" s="83">
        <v>1</v>
      </c>
      <c r="F48" s="83">
        <v>0.4</v>
      </c>
      <c r="G48" s="84">
        <v>0</v>
      </c>
      <c r="H48" s="85">
        <v>4</v>
      </c>
      <c r="I48" s="85">
        <v>0</v>
      </c>
      <c r="J48" s="86">
        <v>45</v>
      </c>
      <c r="K48" s="86">
        <f t="shared" si="134"/>
        <v>45</v>
      </c>
      <c r="L48" s="86">
        <v>1</v>
      </c>
      <c r="M48" s="89">
        <v>1</v>
      </c>
      <c r="N48" s="86"/>
      <c r="O48" s="90">
        <f t="shared" si="113"/>
        <v>45</v>
      </c>
      <c r="P48" s="91">
        <f t="shared" si="114"/>
        <v>40</v>
      </c>
      <c r="Q48" s="92">
        <f t="shared" si="115"/>
        <v>20</v>
      </c>
      <c r="R48" s="92">
        <f t="shared" si="116"/>
        <v>12</v>
      </c>
      <c r="S48" s="93">
        <f t="shared" si="117"/>
        <v>0</v>
      </c>
      <c r="T48" s="94">
        <f t="shared" si="118"/>
        <v>120</v>
      </c>
      <c r="U48" s="94">
        <f t="shared" si="119"/>
        <v>120</v>
      </c>
      <c r="V48" s="12">
        <f t="shared" si="120"/>
        <v>45</v>
      </c>
      <c r="W48" s="12">
        <f t="shared" si="121"/>
        <v>31.499999999999996</v>
      </c>
      <c r="X48" s="12">
        <v>1</v>
      </c>
      <c r="Y48" s="97">
        <f t="shared" si="122"/>
        <v>1</v>
      </c>
      <c r="Z48" s="98"/>
      <c r="AA48" s="99">
        <f t="shared" si="123"/>
        <v>45</v>
      </c>
      <c r="AB48" s="91">
        <f t="shared" si="124"/>
        <v>45</v>
      </c>
      <c r="AC48" s="92">
        <f t="shared" si="125"/>
        <v>20</v>
      </c>
      <c r="AD48" s="92">
        <f t="shared" si="126"/>
        <v>30</v>
      </c>
      <c r="AE48" s="92">
        <f t="shared" si="127"/>
        <v>20</v>
      </c>
      <c r="AF48" s="100">
        <f t="shared" si="128"/>
        <v>135</v>
      </c>
      <c r="AG48" s="100">
        <f t="shared" si="129"/>
        <v>135</v>
      </c>
      <c r="AH48" s="91">
        <f t="shared" si="130"/>
        <v>45</v>
      </c>
      <c r="AI48" s="91">
        <f t="shared" si="131"/>
        <v>900</v>
      </c>
      <c r="AJ48" s="101">
        <v>1</v>
      </c>
      <c r="AK48" s="102">
        <f t="shared" si="132"/>
        <v>4.5</v>
      </c>
    </row>
    <row r="49" spans="2:37">
      <c r="B49" s="6">
        <v>46</v>
      </c>
      <c r="C49" s="81">
        <f t="shared" si="110"/>
        <v>46</v>
      </c>
      <c r="D49" s="82">
        <f t="shared" si="111"/>
        <v>40</v>
      </c>
      <c r="E49" s="83">
        <v>1</v>
      </c>
      <c r="F49" s="83">
        <v>0.4</v>
      </c>
      <c r="G49" s="84">
        <v>0</v>
      </c>
      <c r="H49" s="85">
        <v>4</v>
      </c>
      <c r="I49" s="85">
        <v>0</v>
      </c>
      <c r="J49" s="86">
        <v>46</v>
      </c>
      <c r="K49" s="86">
        <f t="shared" si="134"/>
        <v>46</v>
      </c>
      <c r="L49" s="86">
        <v>1</v>
      </c>
      <c r="M49" s="89">
        <v>1</v>
      </c>
      <c r="N49" s="86"/>
      <c r="O49" s="90">
        <f t="shared" si="113"/>
        <v>46</v>
      </c>
      <c r="P49" s="91">
        <f t="shared" si="114"/>
        <v>40</v>
      </c>
      <c r="Q49" s="92">
        <f t="shared" si="115"/>
        <v>20</v>
      </c>
      <c r="R49" s="92">
        <f t="shared" si="116"/>
        <v>12</v>
      </c>
      <c r="S49" s="93">
        <f t="shared" si="117"/>
        <v>0</v>
      </c>
      <c r="T49" s="94">
        <f t="shared" si="118"/>
        <v>120</v>
      </c>
      <c r="U49" s="94">
        <f t="shared" si="119"/>
        <v>120</v>
      </c>
      <c r="V49" s="12">
        <f t="shared" si="120"/>
        <v>46</v>
      </c>
      <c r="W49" s="12">
        <f t="shared" si="121"/>
        <v>32.199999999999996</v>
      </c>
      <c r="X49" s="12">
        <v>1</v>
      </c>
      <c r="Y49" s="97">
        <f t="shared" si="122"/>
        <v>1</v>
      </c>
      <c r="Z49" s="98"/>
      <c r="AA49" s="99">
        <f t="shared" si="123"/>
        <v>46</v>
      </c>
      <c r="AB49" s="91">
        <f t="shared" si="124"/>
        <v>46</v>
      </c>
      <c r="AC49" s="92">
        <f t="shared" si="125"/>
        <v>20</v>
      </c>
      <c r="AD49" s="92">
        <f t="shared" si="126"/>
        <v>30</v>
      </c>
      <c r="AE49" s="92">
        <f t="shared" si="127"/>
        <v>20</v>
      </c>
      <c r="AF49" s="100">
        <f t="shared" si="128"/>
        <v>138.00000000000003</v>
      </c>
      <c r="AG49" s="100">
        <f t="shared" si="129"/>
        <v>138.00000000000003</v>
      </c>
      <c r="AH49" s="91">
        <f t="shared" si="130"/>
        <v>46</v>
      </c>
      <c r="AI49" s="91">
        <f t="shared" si="131"/>
        <v>920</v>
      </c>
      <c r="AJ49" s="101">
        <v>1</v>
      </c>
      <c r="AK49" s="102">
        <f t="shared" si="132"/>
        <v>4.6000000000000005</v>
      </c>
    </row>
    <row r="50" spans="2:37">
      <c r="B50" s="6">
        <v>47</v>
      </c>
      <c r="C50" s="81">
        <f t="shared" si="110"/>
        <v>47</v>
      </c>
      <c r="D50" s="82">
        <f t="shared" si="111"/>
        <v>40</v>
      </c>
      <c r="E50" s="83">
        <v>1</v>
      </c>
      <c r="F50" s="83">
        <v>0.4</v>
      </c>
      <c r="G50" s="84">
        <v>0</v>
      </c>
      <c r="H50" s="85">
        <v>4</v>
      </c>
      <c r="I50" s="85">
        <v>0</v>
      </c>
      <c r="J50" s="86">
        <v>47</v>
      </c>
      <c r="K50" s="86">
        <f t="shared" si="134"/>
        <v>47</v>
      </c>
      <c r="L50" s="86">
        <v>1</v>
      </c>
      <c r="M50" s="89">
        <v>1</v>
      </c>
      <c r="N50" s="86"/>
      <c r="O50" s="90">
        <f t="shared" si="113"/>
        <v>47</v>
      </c>
      <c r="P50" s="91">
        <f t="shared" si="114"/>
        <v>40</v>
      </c>
      <c r="Q50" s="92">
        <f t="shared" si="115"/>
        <v>20</v>
      </c>
      <c r="R50" s="92">
        <f t="shared" si="116"/>
        <v>12</v>
      </c>
      <c r="S50" s="93">
        <f t="shared" si="117"/>
        <v>0</v>
      </c>
      <c r="T50" s="94">
        <f t="shared" si="118"/>
        <v>120</v>
      </c>
      <c r="U50" s="94">
        <f t="shared" si="119"/>
        <v>120</v>
      </c>
      <c r="V50" s="12">
        <f t="shared" si="120"/>
        <v>47</v>
      </c>
      <c r="W50" s="12">
        <f t="shared" si="121"/>
        <v>32.9</v>
      </c>
      <c r="X50" s="12">
        <v>1</v>
      </c>
      <c r="Y50" s="97">
        <f t="shared" si="122"/>
        <v>1</v>
      </c>
      <c r="Z50" s="98"/>
      <c r="AA50" s="99">
        <f t="shared" si="123"/>
        <v>47</v>
      </c>
      <c r="AB50" s="91">
        <f t="shared" si="124"/>
        <v>47</v>
      </c>
      <c r="AC50" s="92">
        <f t="shared" si="125"/>
        <v>20</v>
      </c>
      <c r="AD50" s="92">
        <f t="shared" si="126"/>
        <v>30</v>
      </c>
      <c r="AE50" s="92">
        <f t="shared" si="127"/>
        <v>20</v>
      </c>
      <c r="AF50" s="100">
        <f t="shared" si="128"/>
        <v>141</v>
      </c>
      <c r="AG50" s="100">
        <f t="shared" si="129"/>
        <v>141</v>
      </c>
      <c r="AH50" s="91">
        <f t="shared" si="130"/>
        <v>47</v>
      </c>
      <c r="AI50" s="91">
        <f t="shared" si="131"/>
        <v>940</v>
      </c>
      <c r="AJ50" s="101">
        <v>1</v>
      </c>
      <c r="AK50" s="102">
        <f t="shared" si="132"/>
        <v>4.7</v>
      </c>
    </row>
    <row r="51" spans="2:37">
      <c r="B51" s="6">
        <v>48</v>
      </c>
      <c r="C51" s="81">
        <f t="shared" si="110"/>
        <v>48</v>
      </c>
      <c r="D51" s="82">
        <f t="shared" si="111"/>
        <v>40</v>
      </c>
      <c r="E51" s="83">
        <v>1</v>
      </c>
      <c r="F51" s="83">
        <v>0.4</v>
      </c>
      <c r="G51" s="84">
        <v>0</v>
      </c>
      <c r="H51" s="85">
        <v>4</v>
      </c>
      <c r="I51" s="85">
        <v>0</v>
      </c>
      <c r="J51" s="86">
        <v>48</v>
      </c>
      <c r="K51" s="86">
        <f t="shared" si="134"/>
        <v>48</v>
      </c>
      <c r="L51" s="86">
        <v>1</v>
      </c>
      <c r="M51" s="89">
        <v>1</v>
      </c>
      <c r="N51" s="86"/>
      <c r="O51" s="90">
        <f t="shared" si="113"/>
        <v>48</v>
      </c>
      <c r="P51" s="91">
        <f t="shared" si="114"/>
        <v>40</v>
      </c>
      <c r="Q51" s="92">
        <f t="shared" si="115"/>
        <v>20</v>
      </c>
      <c r="R51" s="92">
        <f t="shared" si="116"/>
        <v>12</v>
      </c>
      <c r="S51" s="93">
        <f t="shared" si="117"/>
        <v>0</v>
      </c>
      <c r="T51" s="94">
        <f t="shared" si="118"/>
        <v>120</v>
      </c>
      <c r="U51" s="94">
        <f t="shared" si="119"/>
        <v>120</v>
      </c>
      <c r="V51" s="12">
        <f t="shared" si="120"/>
        <v>48</v>
      </c>
      <c r="W51" s="12">
        <f t="shared" si="121"/>
        <v>33.599999999999994</v>
      </c>
      <c r="X51" s="12">
        <v>1</v>
      </c>
      <c r="Y51" s="97">
        <f t="shared" si="122"/>
        <v>1</v>
      </c>
      <c r="Z51" s="98"/>
      <c r="AA51" s="99">
        <f t="shared" si="123"/>
        <v>48</v>
      </c>
      <c r="AB51" s="91">
        <f t="shared" si="124"/>
        <v>48</v>
      </c>
      <c r="AC51" s="92">
        <f t="shared" si="125"/>
        <v>20</v>
      </c>
      <c r="AD51" s="92">
        <f t="shared" si="126"/>
        <v>30</v>
      </c>
      <c r="AE51" s="92">
        <f t="shared" si="127"/>
        <v>20</v>
      </c>
      <c r="AF51" s="100">
        <f t="shared" si="128"/>
        <v>144.00000000000003</v>
      </c>
      <c r="AG51" s="100">
        <f t="shared" si="129"/>
        <v>144.00000000000003</v>
      </c>
      <c r="AH51" s="91">
        <f t="shared" si="130"/>
        <v>48</v>
      </c>
      <c r="AI51" s="91">
        <f t="shared" si="131"/>
        <v>960</v>
      </c>
      <c r="AJ51" s="101">
        <v>1</v>
      </c>
      <c r="AK51" s="102">
        <f t="shared" si="132"/>
        <v>4.8000000000000007</v>
      </c>
    </row>
    <row r="52" spans="2:37">
      <c r="B52" s="6">
        <v>49</v>
      </c>
      <c r="C52" s="81">
        <f t="shared" si="110"/>
        <v>49</v>
      </c>
      <c r="D52" s="82">
        <f t="shared" si="111"/>
        <v>40</v>
      </c>
      <c r="E52" s="83">
        <v>1</v>
      </c>
      <c r="F52" s="83">
        <v>0.4</v>
      </c>
      <c r="G52" s="84">
        <v>0</v>
      </c>
      <c r="H52" s="85">
        <v>4</v>
      </c>
      <c r="I52" s="85">
        <v>0</v>
      </c>
      <c r="J52" s="86">
        <v>49</v>
      </c>
      <c r="K52" s="86">
        <f t="shared" si="134"/>
        <v>49</v>
      </c>
      <c r="L52" s="86">
        <v>1</v>
      </c>
      <c r="M52" s="89">
        <v>1</v>
      </c>
      <c r="N52" s="86"/>
      <c r="O52" s="90">
        <f t="shared" si="113"/>
        <v>49</v>
      </c>
      <c r="P52" s="91">
        <f t="shared" si="114"/>
        <v>40</v>
      </c>
      <c r="Q52" s="92">
        <f t="shared" si="115"/>
        <v>20</v>
      </c>
      <c r="R52" s="92">
        <f t="shared" si="116"/>
        <v>12</v>
      </c>
      <c r="S52" s="93">
        <f t="shared" si="117"/>
        <v>0</v>
      </c>
      <c r="T52" s="94">
        <f t="shared" si="118"/>
        <v>120</v>
      </c>
      <c r="U52" s="94">
        <f t="shared" si="119"/>
        <v>120</v>
      </c>
      <c r="V52" s="12">
        <f t="shared" si="120"/>
        <v>49</v>
      </c>
      <c r="W52" s="12">
        <f t="shared" si="121"/>
        <v>34.299999999999997</v>
      </c>
      <c r="X52" s="12">
        <v>1</v>
      </c>
      <c r="Y52" s="97">
        <f t="shared" si="122"/>
        <v>1</v>
      </c>
      <c r="Z52" s="98"/>
      <c r="AA52" s="99">
        <f t="shared" si="123"/>
        <v>49</v>
      </c>
      <c r="AB52" s="91">
        <f t="shared" si="124"/>
        <v>49</v>
      </c>
      <c r="AC52" s="92">
        <f t="shared" si="125"/>
        <v>20</v>
      </c>
      <c r="AD52" s="92">
        <f t="shared" si="126"/>
        <v>30</v>
      </c>
      <c r="AE52" s="92">
        <f t="shared" si="127"/>
        <v>20</v>
      </c>
      <c r="AF52" s="100">
        <f t="shared" si="128"/>
        <v>147</v>
      </c>
      <c r="AG52" s="100">
        <f t="shared" si="129"/>
        <v>147</v>
      </c>
      <c r="AH52" s="91">
        <f t="shared" si="130"/>
        <v>49</v>
      </c>
      <c r="AI52" s="91">
        <f t="shared" si="131"/>
        <v>980</v>
      </c>
      <c r="AJ52" s="101">
        <v>1</v>
      </c>
      <c r="AK52" s="102">
        <f t="shared" si="132"/>
        <v>4.9000000000000004</v>
      </c>
    </row>
    <row r="53" spans="2:37">
      <c r="B53" s="6">
        <v>50</v>
      </c>
      <c r="C53" s="81">
        <f t="shared" si="110"/>
        <v>50</v>
      </c>
      <c r="D53" s="82">
        <f t="shared" si="111"/>
        <v>50</v>
      </c>
      <c r="E53" s="83">
        <v>1</v>
      </c>
      <c r="F53" s="83">
        <v>0.7</v>
      </c>
      <c r="G53" s="84">
        <f t="shared" ref="G53" si="135">B53</f>
        <v>50</v>
      </c>
      <c r="H53" s="85">
        <v>5</v>
      </c>
      <c r="I53" s="85">
        <v>0</v>
      </c>
      <c r="J53" s="86">
        <v>50</v>
      </c>
      <c r="K53" s="86">
        <f t="shared" si="134"/>
        <v>50</v>
      </c>
      <c r="L53" s="86">
        <v>1</v>
      </c>
      <c r="M53" s="89">
        <v>2</v>
      </c>
      <c r="N53" s="86"/>
      <c r="O53" s="90">
        <f t="shared" si="113"/>
        <v>50</v>
      </c>
      <c r="P53" s="91">
        <f t="shared" si="114"/>
        <v>50</v>
      </c>
      <c r="Q53" s="92">
        <f t="shared" si="115"/>
        <v>20</v>
      </c>
      <c r="R53" s="92">
        <f t="shared" si="116"/>
        <v>21</v>
      </c>
      <c r="S53" s="93">
        <f t="shared" si="117"/>
        <v>1000</v>
      </c>
      <c r="T53" s="94">
        <f t="shared" si="118"/>
        <v>150</v>
      </c>
      <c r="U53" s="94">
        <f t="shared" si="119"/>
        <v>150</v>
      </c>
      <c r="V53" s="12">
        <f t="shared" si="120"/>
        <v>50</v>
      </c>
      <c r="W53" s="12">
        <f t="shared" si="121"/>
        <v>35</v>
      </c>
      <c r="X53" s="12">
        <v>1</v>
      </c>
      <c r="Y53" s="97">
        <f t="shared" si="122"/>
        <v>1</v>
      </c>
      <c r="Z53" s="98"/>
      <c r="AA53" s="99">
        <f t="shared" si="123"/>
        <v>50</v>
      </c>
      <c r="AB53" s="91">
        <f t="shared" si="124"/>
        <v>50</v>
      </c>
      <c r="AC53" s="92">
        <f t="shared" si="125"/>
        <v>20</v>
      </c>
      <c r="AD53" s="92">
        <f t="shared" si="126"/>
        <v>30</v>
      </c>
      <c r="AE53" s="92">
        <f t="shared" si="127"/>
        <v>20</v>
      </c>
      <c r="AF53" s="100">
        <f t="shared" si="128"/>
        <v>150</v>
      </c>
      <c r="AG53" s="100">
        <f t="shared" si="129"/>
        <v>150</v>
      </c>
      <c r="AH53" s="91">
        <f t="shared" si="130"/>
        <v>50</v>
      </c>
      <c r="AI53" s="91">
        <f t="shared" si="131"/>
        <v>1000</v>
      </c>
      <c r="AJ53" s="101">
        <v>1</v>
      </c>
      <c r="AK53" s="102">
        <f t="shared" si="132"/>
        <v>5</v>
      </c>
    </row>
    <row r="54" spans="2:37">
      <c r="B54" s="6">
        <v>51</v>
      </c>
      <c r="C54" s="81">
        <f t="shared" si="110"/>
        <v>51</v>
      </c>
      <c r="D54" s="82">
        <f t="shared" si="111"/>
        <v>50</v>
      </c>
      <c r="E54" s="83">
        <v>1</v>
      </c>
      <c r="F54" s="83">
        <v>0.7</v>
      </c>
      <c r="G54" s="84">
        <f t="shared" ref="G54" si="136">B54</f>
        <v>51</v>
      </c>
      <c r="H54" s="85">
        <v>5</v>
      </c>
      <c r="I54" s="85">
        <v>0</v>
      </c>
      <c r="J54" s="86">
        <v>51</v>
      </c>
      <c r="K54" s="86">
        <f t="shared" si="134"/>
        <v>51</v>
      </c>
      <c r="L54" s="86">
        <v>1</v>
      </c>
      <c r="M54" s="89">
        <v>2</v>
      </c>
      <c r="N54" s="86"/>
      <c r="O54" s="90">
        <f t="shared" si="113"/>
        <v>51</v>
      </c>
      <c r="P54" s="91">
        <f t="shared" si="114"/>
        <v>50</v>
      </c>
      <c r="Q54" s="92">
        <f t="shared" si="115"/>
        <v>20</v>
      </c>
      <c r="R54" s="92">
        <f t="shared" si="116"/>
        <v>21</v>
      </c>
      <c r="S54" s="93">
        <f t="shared" si="117"/>
        <v>1020</v>
      </c>
      <c r="T54" s="94">
        <f t="shared" si="118"/>
        <v>150</v>
      </c>
      <c r="U54" s="94">
        <f t="shared" si="119"/>
        <v>150</v>
      </c>
      <c r="V54" s="12">
        <f t="shared" si="120"/>
        <v>51</v>
      </c>
      <c r="W54" s="12">
        <f t="shared" si="121"/>
        <v>35.699999999999996</v>
      </c>
      <c r="X54" s="12">
        <v>1</v>
      </c>
      <c r="Y54" s="97">
        <f t="shared" si="122"/>
        <v>1</v>
      </c>
      <c r="Z54" s="98"/>
      <c r="AA54" s="99">
        <f t="shared" si="123"/>
        <v>51</v>
      </c>
      <c r="AB54" s="91">
        <f t="shared" si="124"/>
        <v>51</v>
      </c>
      <c r="AC54" s="92">
        <f t="shared" si="125"/>
        <v>20</v>
      </c>
      <c r="AD54" s="92">
        <f t="shared" si="126"/>
        <v>30</v>
      </c>
      <c r="AE54" s="92">
        <f t="shared" si="127"/>
        <v>20</v>
      </c>
      <c r="AF54" s="100">
        <f t="shared" si="128"/>
        <v>153.00000000000003</v>
      </c>
      <c r="AG54" s="100">
        <f t="shared" si="129"/>
        <v>153.00000000000003</v>
      </c>
      <c r="AH54" s="91">
        <f t="shared" si="130"/>
        <v>51</v>
      </c>
      <c r="AI54" s="91">
        <f t="shared" si="131"/>
        <v>1020</v>
      </c>
      <c r="AJ54" s="101">
        <v>1</v>
      </c>
      <c r="AK54" s="102">
        <f t="shared" si="132"/>
        <v>5.1000000000000005</v>
      </c>
    </row>
    <row r="55" spans="2:37">
      <c r="B55" s="6">
        <v>52</v>
      </c>
      <c r="C55" s="81">
        <f t="shared" si="110"/>
        <v>52</v>
      </c>
      <c r="D55" s="82">
        <f t="shared" si="111"/>
        <v>50</v>
      </c>
      <c r="E55" s="83">
        <v>1</v>
      </c>
      <c r="F55" s="83">
        <v>0.7</v>
      </c>
      <c r="G55" s="84">
        <f t="shared" ref="G55:G84" si="137">B55</f>
        <v>52</v>
      </c>
      <c r="H55" s="85">
        <v>5</v>
      </c>
      <c r="I55" s="85">
        <v>0</v>
      </c>
      <c r="J55" s="86">
        <v>52</v>
      </c>
      <c r="K55" s="86">
        <f t="shared" si="134"/>
        <v>52</v>
      </c>
      <c r="L55" s="86">
        <v>1</v>
      </c>
      <c r="M55" s="89">
        <v>2</v>
      </c>
      <c r="N55" s="86"/>
      <c r="O55" s="90">
        <f t="shared" si="113"/>
        <v>52</v>
      </c>
      <c r="P55" s="91">
        <f t="shared" si="114"/>
        <v>50</v>
      </c>
      <c r="Q55" s="92">
        <f t="shared" si="115"/>
        <v>20</v>
      </c>
      <c r="R55" s="92">
        <f t="shared" si="116"/>
        <v>21</v>
      </c>
      <c r="S55" s="93">
        <f t="shared" si="117"/>
        <v>1040</v>
      </c>
      <c r="T55" s="94">
        <f t="shared" si="118"/>
        <v>150</v>
      </c>
      <c r="U55" s="94">
        <f t="shared" si="119"/>
        <v>150</v>
      </c>
      <c r="V55" s="12">
        <f t="shared" si="120"/>
        <v>52</v>
      </c>
      <c r="W55" s="12">
        <f t="shared" si="121"/>
        <v>36.4</v>
      </c>
      <c r="X55" s="12">
        <v>1</v>
      </c>
      <c r="Y55" s="97">
        <f t="shared" si="122"/>
        <v>1</v>
      </c>
      <c r="Z55" s="98"/>
      <c r="AA55" s="99">
        <f t="shared" si="123"/>
        <v>52</v>
      </c>
      <c r="AB55" s="91">
        <f t="shared" si="124"/>
        <v>52</v>
      </c>
      <c r="AC55" s="92">
        <f t="shared" si="125"/>
        <v>20</v>
      </c>
      <c r="AD55" s="92">
        <f t="shared" si="126"/>
        <v>30</v>
      </c>
      <c r="AE55" s="92">
        <f t="shared" si="127"/>
        <v>20</v>
      </c>
      <c r="AF55" s="100">
        <f t="shared" si="128"/>
        <v>156</v>
      </c>
      <c r="AG55" s="100">
        <f t="shared" si="129"/>
        <v>156</v>
      </c>
      <c r="AH55" s="91">
        <f t="shared" si="130"/>
        <v>52</v>
      </c>
      <c r="AI55" s="91">
        <f t="shared" si="131"/>
        <v>1040</v>
      </c>
      <c r="AJ55" s="101">
        <v>1</v>
      </c>
      <c r="AK55" s="102">
        <f t="shared" si="132"/>
        <v>5.2</v>
      </c>
    </row>
    <row r="56" spans="2:37">
      <c r="B56" s="6">
        <v>53</v>
      </c>
      <c r="C56" s="81">
        <f t="shared" si="110"/>
        <v>53</v>
      </c>
      <c r="D56" s="82">
        <f t="shared" si="111"/>
        <v>50</v>
      </c>
      <c r="E56" s="83">
        <v>1</v>
      </c>
      <c r="F56" s="83">
        <v>0.7</v>
      </c>
      <c r="G56" s="84">
        <f t="shared" si="137"/>
        <v>53</v>
      </c>
      <c r="H56" s="85">
        <v>5</v>
      </c>
      <c r="I56" s="85">
        <v>0</v>
      </c>
      <c r="J56" s="86">
        <v>53</v>
      </c>
      <c r="K56" s="86">
        <f t="shared" si="134"/>
        <v>53</v>
      </c>
      <c r="L56" s="86">
        <v>1</v>
      </c>
      <c r="M56" s="89">
        <v>2</v>
      </c>
      <c r="N56" s="86"/>
      <c r="O56" s="90">
        <f t="shared" si="113"/>
        <v>53</v>
      </c>
      <c r="P56" s="91">
        <f t="shared" si="114"/>
        <v>50</v>
      </c>
      <c r="Q56" s="92">
        <f t="shared" si="115"/>
        <v>20</v>
      </c>
      <c r="R56" s="92">
        <f t="shared" si="116"/>
        <v>21</v>
      </c>
      <c r="S56" s="93">
        <f t="shared" si="117"/>
        <v>1060</v>
      </c>
      <c r="T56" s="94">
        <f t="shared" si="118"/>
        <v>150</v>
      </c>
      <c r="U56" s="94">
        <f t="shared" si="119"/>
        <v>150</v>
      </c>
      <c r="V56" s="12">
        <f t="shared" si="120"/>
        <v>53</v>
      </c>
      <c r="W56" s="12">
        <f t="shared" si="121"/>
        <v>37.099999999999994</v>
      </c>
      <c r="X56" s="12">
        <v>1</v>
      </c>
      <c r="Y56" s="97">
        <f t="shared" si="122"/>
        <v>1</v>
      </c>
      <c r="Z56" s="98"/>
      <c r="AA56" s="99">
        <f t="shared" si="123"/>
        <v>53</v>
      </c>
      <c r="AB56" s="91">
        <f t="shared" si="124"/>
        <v>53</v>
      </c>
      <c r="AC56" s="92">
        <f t="shared" si="125"/>
        <v>20</v>
      </c>
      <c r="AD56" s="92">
        <f t="shared" si="126"/>
        <v>30</v>
      </c>
      <c r="AE56" s="92">
        <f t="shared" si="127"/>
        <v>20</v>
      </c>
      <c r="AF56" s="100">
        <f t="shared" si="128"/>
        <v>159.00000000000003</v>
      </c>
      <c r="AG56" s="100">
        <f t="shared" si="129"/>
        <v>159.00000000000003</v>
      </c>
      <c r="AH56" s="91">
        <f t="shared" si="130"/>
        <v>53</v>
      </c>
      <c r="AI56" s="91">
        <f t="shared" si="131"/>
        <v>1060</v>
      </c>
      <c r="AJ56" s="101">
        <v>1</v>
      </c>
      <c r="AK56" s="102">
        <f t="shared" si="132"/>
        <v>5.3000000000000007</v>
      </c>
    </row>
    <row r="57" spans="2:37">
      <c r="B57" s="6">
        <v>54</v>
      </c>
      <c r="C57" s="81">
        <f t="shared" si="110"/>
        <v>54</v>
      </c>
      <c r="D57" s="82">
        <f t="shared" si="111"/>
        <v>50</v>
      </c>
      <c r="E57" s="83">
        <v>1</v>
      </c>
      <c r="F57" s="83">
        <v>0.7</v>
      </c>
      <c r="G57" s="84">
        <f t="shared" si="137"/>
        <v>54</v>
      </c>
      <c r="H57" s="85">
        <v>5</v>
      </c>
      <c r="I57" s="85">
        <v>0</v>
      </c>
      <c r="J57" s="86">
        <v>54</v>
      </c>
      <c r="K57" s="86">
        <f t="shared" si="134"/>
        <v>54</v>
      </c>
      <c r="L57" s="86">
        <v>1</v>
      </c>
      <c r="M57" s="89">
        <v>2</v>
      </c>
      <c r="N57" s="86"/>
      <c r="O57" s="90">
        <f t="shared" si="113"/>
        <v>54</v>
      </c>
      <c r="P57" s="91">
        <f t="shared" si="114"/>
        <v>50</v>
      </c>
      <c r="Q57" s="92">
        <f t="shared" si="115"/>
        <v>20</v>
      </c>
      <c r="R57" s="92">
        <f t="shared" si="116"/>
        <v>21</v>
      </c>
      <c r="S57" s="93">
        <f t="shared" si="117"/>
        <v>1080</v>
      </c>
      <c r="T57" s="94">
        <f t="shared" si="118"/>
        <v>150</v>
      </c>
      <c r="U57" s="94">
        <f t="shared" si="119"/>
        <v>150</v>
      </c>
      <c r="V57" s="12">
        <f t="shared" si="120"/>
        <v>54</v>
      </c>
      <c r="W57" s="12">
        <f t="shared" si="121"/>
        <v>37.799999999999997</v>
      </c>
      <c r="X57" s="12">
        <v>1</v>
      </c>
      <c r="Y57" s="97">
        <f t="shared" si="122"/>
        <v>1</v>
      </c>
      <c r="Z57" s="98"/>
      <c r="AA57" s="99">
        <f t="shared" si="123"/>
        <v>54</v>
      </c>
      <c r="AB57" s="91">
        <f t="shared" si="124"/>
        <v>54</v>
      </c>
      <c r="AC57" s="92">
        <f t="shared" si="125"/>
        <v>20</v>
      </c>
      <c r="AD57" s="92">
        <f t="shared" si="126"/>
        <v>30</v>
      </c>
      <c r="AE57" s="92">
        <f t="shared" si="127"/>
        <v>20</v>
      </c>
      <c r="AF57" s="100">
        <f t="shared" si="128"/>
        <v>162</v>
      </c>
      <c r="AG57" s="100">
        <f t="shared" si="129"/>
        <v>162</v>
      </c>
      <c r="AH57" s="91">
        <f t="shared" si="130"/>
        <v>54</v>
      </c>
      <c r="AI57" s="91">
        <f t="shared" si="131"/>
        <v>1080</v>
      </c>
      <c r="AJ57" s="101">
        <v>1</v>
      </c>
      <c r="AK57" s="102">
        <f t="shared" si="132"/>
        <v>5.4</v>
      </c>
    </row>
    <row r="58" spans="2:37">
      <c r="B58" s="6">
        <v>55</v>
      </c>
      <c r="C58" s="81">
        <f t="shared" si="110"/>
        <v>55</v>
      </c>
      <c r="D58" s="82">
        <f t="shared" si="111"/>
        <v>50</v>
      </c>
      <c r="E58" s="83">
        <v>1</v>
      </c>
      <c r="F58" s="83">
        <v>0.7</v>
      </c>
      <c r="G58" s="84">
        <f t="shared" si="137"/>
        <v>55</v>
      </c>
      <c r="H58" s="85">
        <v>5</v>
      </c>
      <c r="I58" s="85">
        <v>0</v>
      </c>
      <c r="J58" s="86">
        <v>55</v>
      </c>
      <c r="K58" s="86">
        <f t="shared" si="134"/>
        <v>55</v>
      </c>
      <c r="L58" s="86">
        <v>1</v>
      </c>
      <c r="M58" s="89">
        <v>4</v>
      </c>
      <c r="N58" s="86"/>
      <c r="O58" s="90">
        <f t="shared" si="113"/>
        <v>55</v>
      </c>
      <c r="P58" s="91">
        <f t="shared" si="114"/>
        <v>50</v>
      </c>
      <c r="Q58" s="92">
        <f t="shared" si="115"/>
        <v>20</v>
      </c>
      <c r="R58" s="92">
        <f t="shared" si="116"/>
        <v>21</v>
      </c>
      <c r="S58" s="93">
        <f t="shared" si="117"/>
        <v>1100</v>
      </c>
      <c r="T58" s="94">
        <f t="shared" si="118"/>
        <v>150</v>
      </c>
      <c r="U58" s="94">
        <f t="shared" si="119"/>
        <v>150</v>
      </c>
      <c r="V58" s="12">
        <f t="shared" si="120"/>
        <v>55</v>
      </c>
      <c r="W58" s="12">
        <f t="shared" si="121"/>
        <v>38.5</v>
      </c>
      <c r="X58" s="12">
        <v>1</v>
      </c>
      <c r="Y58" s="97">
        <f t="shared" si="122"/>
        <v>3</v>
      </c>
      <c r="Z58" s="98"/>
      <c r="AA58" s="99">
        <f t="shared" si="123"/>
        <v>55</v>
      </c>
      <c r="AB58" s="91">
        <f t="shared" si="124"/>
        <v>55</v>
      </c>
      <c r="AC58" s="92">
        <f t="shared" si="125"/>
        <v>20</v>
      </c>
      <c r="AD58" s="92">
        <f t="shared" si="126"/>
        <v>30</v>
      </c>
      <c r="AE58" s="92">
        <f t="shared" si="127"/>
        <v>20</v>
      </c>
      <c r="AF58" s="100">
        <f t="shared" si="128"/>
        <v>165</v>
      </c>
      <c r="AG58" s="100">
        <f t="shared" si="129"/>
        <v>165</v>
      </c>
      <c r="AH58" s="91">
        <f t="shared" si="130"/>
        <v>55</v>
      </c>
      <c r="AI58" s="91">
        <f t="shared" si="131"/>
        <v>1100</v>
      </c>
      <c r="AJ58" s="101">
        <v>1</v>
      </c>
      <c r="AK58" s="102">
        <f t="shared" si="132"/>
        <v>5.5</v>
      </c>
    </row>
    <row r="59" spans="2:37">
      <c r="B59" s="6">
        <v>56</v>
      </c>
      <c r="C59" s="81">
        <f t="shared" si="110"/>
        <v>56</v>
      </c>
      <c r="D59" s="82">
        <f t="shared" si="111"/>
        <v>50</v>
      </c>
      <c r="E59" s="83">
        <v>1</v>
      </c>
      <c r="F59" s="83">
        <v>0.7</v>
      </c>
      <c r="G59" s="84">
        <f t="shared" si="137"/>
        <v>56</v>
      </c>
      <c r="H59" s="85">
        <v>5</v>
      </c>
      <c r="I59" s="85">
        <v>0</v>
      </c>
      <c r="J59" s="86">
        <v>56</v>
      </c>
      <c r="K59" s="86">
        <f t="shared" si="134"/>
        <v>56</v>
      </c>
      <c r="L59" s="86">
        <v>1</v>
      </c>
      <c r="M59" s="89">
        <v>4</v>
      </c>
      <c r="N59" s="86"/>
      <c r="O59" s="90">
        <f t="shared" si="113"/>
        <v>56</v>
      </c>
      <c r="P59" s="91">
        <f t="shared" si="114"/>
        <v>50</v>
      </c>
      <c r="Q59" s="92">
        <f t="shared" si="115"/>
        <v>20</v>
      </c>
      <c r="R59" s="92">
        <f t="shared" si="116"/>
        <v>21</v>
      </c>
      <c r="S59" s="93">
        <f t="shared" si="117"/>
        <v>1120</v>
      </c>
      <c r="T59" s="94">
        <f t="shared" si="118"/>
        <v>150</v>
      </c>
      <c r="U59" s="94">
        <f t="shared" si="119"/>
        <v>150</v>
      </c>
      <c r="V59" s="12">
        <f t="shared" si="120"/>
        <v>56</v>
      </c>
      <c r="W59" s="12">
        <f t="shared" si="121"/>
        <v>39.199999999999996</v>
      </c>
      <c r="X59" s="12">
        <v>1</v>
      </c>
      <c r="Y59" s="97">
        <f t="shared" si="122"/>
        <v>3</v>
      </c>
      <c r="Z59" s="98"/>
      <c r="AA59" s="99">
        <f t="shared" si="123"/>
        <v>56</v>
      </c>
      <c r="AB59" s="91">
        <f t="shared" si="124"/>
        <v>56</v>
      </c>
      <c r="AC59" s="92">
        <f t="shared" si="125"/>
        <v>20</v>
      </c>
      <c r="AD59" s="92">
        <f t="shared" si="126"/>
        <v>30</v>
      </c>
      <c r="AE59" s="92">
        <f t="shared" si="127"/>
        <v>20</v>
      </c>
      <c r="AF59" s="100">
        <f t="shared" si="128"/>
        <v>168.00000000000003</v>
      </c>
      <c r="AG59" s="100">
        <f t="shared" si="129"/>
        <v>168.00000000000003</v>
      </c>
      <c r="AH59" s="91">
        <f t="shared" si="130"/>
        <v>56</v>
      </c>
      <c r="AI59" s="91">
        <f t="shared" si="131"/>
        <v>1120</v>
      </c>
      <c r="AJ59" s="101">
        <v>1</v>
      </c>
      <c r="AK59" s="102">
        <f t="shared" si="132"/>
        <v>5.6000000000000005</v>
      </c>
    </row>
    <row r="60" spans="2:37">
      <c r="B60" s="6">
        <v>57</v>
      </c>
      <c r="C60" s="81">
        <f t="shared" si="110"/>
        <v>57</v>
      </c>
      <c r="D60" s="82">
        <f t="shared" si="111"/>
        <v>50</v>
      </c>
      <c r="E60" s="83">
        <v>1</v>
      </c>
      <c r="F60" s="83">
        <v>0.7</v>
      </c>
      <c r="G60" s="84">
        <f t="shared" si="137"/>
        <v>57</v>
      </c>
      <c r="H60" s="85">
        <v>5</v>
      </c>
      <c r="I60" s="85">
        <v>0</v>
      </c>
      <c r="J60" s="86">
        <v>57</v>
      </c>
      <c r="K60" s="86">
        <f t="shared" si="134"/>
        <v>57</v>
      </c>
      <c r="L60" s="86">
        <v>1</v>
      </c>
      <c r="M60" s="89">
        <v>4</v>
      </c>
      <c r="N60" s="86"/>
      <c r="O60" s="90">
        <f t="shared" si="113"/>
        <v>57</v>
      </c>
      <c r="P60" s="91">
        <f t="shared" si="114"/>
        <v>50</v>
      </c>
      <c r="Q60" s="92">
        <f t="shared" si="115"/>
        <v>20</v>
      </c>
      <c r="R60" s="92">
        <f t="shared" si="116"/>
        <v>21</v>
      </c>
      <c r="S60" s="93">
        <f t="shared" si="117"/>
        <v>1140</v>
      </c>
      <c r="T60" s="94">
        <f t="shared" si="118"/>
        <v>150</v>
      </c>
      <c r="U60" s="94">
        <f t="shared" si="119"/>
        <v>150</v>
      </c>
      <c r="V60" s="12">
        <f t="shared" si="120"/>
        <v>57</v>
      </c>
      <c r="W60" s="12">
        <f t="shared" si="121"/>
        <v>39.9</v>
      </c>
      <c r="X60" s="12">
        <v>1</v>
      </c>
      <c r="Y60" s="97">
        <f t="shared" si="122"/>
        <v>3</v>
      </c>
      <c r="Z60" s="98"/>
      <c r="AA60" s="99">
        <f t="shared" si="123"/>
        <v>57</v>
      </c>
      <c r="AB60" s="91">
        <f t="shared" si="124"/>
        <v>57</v>
      </c>
      <c r="AC60" s="92">
        <f t="shared" si="125"/>
        <v>20</v>
      </c>
      <c r="AD60" s="92">
        <f t="shared" si="126"/>
        <v>30</v>
      </c>
      <c r="AE60" s="92">
        <f t="shared" si="127"/>
        <v>20</v>
      </c>
      <c r="AF60" s="100">
        <f t="shared" si="128"/>
        <v>171</v>
      </c>
      <c r="AG60" s="100">
        <f t="shared" si="129"/>
        <v>171</v>
      </c>
      <c r="AH60" s="91">
        <f t="shared" si="130"/>
        <v>57</v>
      </c>
      <c r="AI60" s="91">
        <f t="shared" si="131"/>
        <v>1140</v>
      </c>
      <c r="AJ60" s="101">
        <v>1</v>
      </c>
      <c r="AK60" s="102">
        <f t="shared" si="132"/>
        <v>5.7</v>
      </c>
    </row>
    <row r="61" spans="2:37">
      <c r="B61" s="6">
        <v>58</v>
      </c>
      <c r="C61" s="81">
        <f t="shared" si="110"/>
        <v>58</v>
      </c>
      <c r="D61" s="82">
        <f t="shared" si="111"/>
        <v>50</v>
      </c>
      <c r="E61" s="83">
        <v>1</v>
      </c>
      <c r="F61" s="83">
        <v>0.7</v>
      </c>
      <c r="G61" s="84">
        <f t="shared" si="137"/>
        <v>58</v>
      </c>
      <c r="H61" s="85">
        <v>5</v>
      </c>
      <c r="I61" s="85">
        <v>0</v>
      </c>
      <c r="J61" s="86">
        <v>58</v>
      </c>
      <c r="K61" s="86">
        <f t="shared" si="134"/>
        <v>58</v>
      </c>
      <c r="L61" s="86">
        <v>1</v>
      </c>
      <c r="M61" s="89">
        <v>4</v>
      </c>
      <c r="N61" s="86"/>
      <c r="O61" s="90">
        <f t="shared" si="113"/>
        <v>58</v>
      </c>
      <c r="P61" s="91">
        <f t="shared" si="114"/>
        <v>50</v>
      </c>
      <c r="Q61" s="92">
        <f t="shared" si="115"/>
        <v>20</v>
      </c>
      <c r="R61" s="92">
        <f t="shared" si="116"/>
        <v>21</v>
      </c>
      <c r="S61" s="93">
        <f t="shared" si="117"/>
        <v>1160</v>
      </c>
      <c r="T61" s="94">
        <f t="shared" si="118"/>
        <v>150</v>
      </c>
      <c r="U61" s="94">
        <f t="shared" si="119"/>
        <v>150</v>
      </c>
      <c r="V61" s="12">
        <f t="shared" si="120"/>
        <v>58</v>
      </c>
      <c r="W61" s="12">
        <f t="shared" si="121"/>
        <v>40.599999999999994</v>
      </c>
      <c r="X61" s="12">
        <v>1</v>
      </c>
      <c r="Y61" s="97">
        <f t="shared" si="122"/>
        <v>3</v>
      </c>
      <c r="Z61" s="98"/>
      <c r="AA61" s="99">
        <f t="shared" si="123"/>
        <v>58</v>
      </c>
      <c r="AB61" s="91">
        <f t="shared" si="124"/>
        <v>58</v>
      </c>
      <c r="AC61" s="92">
        <f t="shared" si="125"/>
        <v>20</v>
      </c>
      <c r="AD61" s="92">
        <f t="shared" si="126"/>
        <v>30</v>
      </c>
      <c r="AE61" s="92">
        <f t="shared" si="127"/>
        <v>20</v>
      </c>
      <c r="AF61" s="100">
        <f t="shared" si="128"/>
        <v>174.00000000000003</v>
      </c>
      <c r="AG61" s="100">
        <f t="shared" si="129"/>
        <v>174.00000000000003</v>
      </c>
      <c r="AH61" s="91">
        <f t="shared" si="130"/>
        <v>58</v>
      </c>
      <c r="AI61" s="91">
        <f t="shared" si="131"/>
        <v>1160</v>
      </c>
      <c r="AJ61" s="101">
        <v>1</v>
      </c>
      <c r="AK61" s="102">
        <f t="shared" si="132"/>
        <v>5.8000000000000007</v>
      </c>
    </row>
    <row r="62" spans="2:37">
      <c r="B62" s="6">
        <v>59</v>
      </c>
      <c r="C62" s="81">
        <f t="shared" si="110"/>
        <v>59</v>
      </c>
      <c r="D62" s="82">
        <f t="shared" si="111"/>
        <v>50</v>
      </c>
      <c r="E62" s="83">
        <v>1</v>
      </c>
      <c r="F62" s="83">
        <v>0.7</v>
      </c>
      <c r="G62" s="84">
        <f t="shared" si="137"/>
        <v>59</v>
      </c>
      <c r="H62" s="85">
        <v>5</v>
      </c>
      <c r="I62" s="85">
        <v>0</v>
      </c>
      <c r="J62" s="86">
        <v>59</v>
      </c>
      <c r="K62" s="86">
        <f t="shared" si="134"/>
        <v>59</v>
      </c>
      <c r="L62" s="86">
        <v>1</v>
      </c>
      <c r="M62" s="89">
        <v>4</v>
      </c>
      <c r="N62" s="86"/>
      <c r="O62" s="90">
        <f t="shared" si="113"/>
        <v>59</v>
      </c>
      <c r="P62" s="91">
        <f t="shared" si="114"/>
        <v>50</v>
      </c>
      <c r="Q62" s="92">
        <f t="shared" si="115"/>
        <v>20</v>
      </c>
      <c r="R62" s="92">
        <f t="shared" si="116"/>
        <v>21</v>
      </c>
      <c r="S62" s="93">
        <f t="shared" si="117"/>
        <v>1180</v>
      </c>
      <c r="T62" s="94">
        <f t="shared" si="118"/>
        <v>150</v>
      </c>
      <c r="U62" s="94">
        <f t="shared" si="119"/>
        <v>150</v>
      </c>
      <c r="V62" s="12">
        <f t="shared" si="120"/>
        <v>59</v>
      </c>
      <c r="W62" s="12">
        <f t="shared" si="121"/>
        <v>41.3</v>
      </c>
      <c r="X62" s="12">
        <v>1</v>
      </c>
      <c r="Y62" s="97">
        <f t="shared" si="122"/>
        <v>3</v>
      </c>
      <c r="Z62" s="98"/>
      <c r="AA62" s="99">
        <f t="shared" si="123"/>
        <v>59</v>
      </c>
      <c r="AB62" s="91">
        <f t="shared" si="124"/>
        <v>59</v>
      </c>
      <c r="AC62" s="92">
        <f t="shared" si="125"/>
        <v>20</v>
      </c>
      <c r="AD62" s="92">
        <f t="shared" si="126"/>
        <v>30</v>
      </c>
      <c r="AE62" s="92">
        <f t="shared" si="127"/>
        <v>20</v>
      </c>
      <c r="AF62" s="100">
        <f t="shared" si="128"/>
        <v>177</v>
      </c>
      <c r="AG62" s="100">
        <f t="shared" si="129"/>
        <v>177</v>
      </c>
      <c r="AH62" s="91">
        <f t="shared" si="130"/>
        <v>59</v>
      </c>
      <c r="AI62" s="91">
        <f t="shared" si="131"/>
        <v>1180</v>
      </c>
      <c r="AJ62" s="101">
        <v>1</v>
      </c>
      <c r="AK62" s="102">
        <f t="shared" si="132"/>
        <v>5.9</v>
      </c>
    </row>
    <row r="63" spans="2:37">
      <c r="B63" s="6">
        <v>60</v>
      </c>
      <c r="C63" s="81">
        <f t="shared" si="110"/>
        <v>60</v>
      </c>
      <c r="D63" s="82">
        <f t="shared" si="111"/>
        <v>60</v>
      </c>
      <c r="E63" s="83">
        <v>1</v>
      </c>
      <c r="F63" s="83">
        <v>1</v>
      </c>
      <c r="G63" s="84">
        <f t="shared" si="137"/>
        <v>60</v>
      </c>
      <c r="H63" s="85">
        <v>7</v>
      </c>
      <c r="I63" s="85">
        <v>7</v>
      </c>
      <c r="J63" s="86">
        <v>60</v>
      </c>
      <c r="K63" s="86">
        <f t="shared" si="134"/>
        <v>60</v>
      </c>
      <c r="L63" s="86">
        <v>2</v>
      </c>
      <c r="M63" s="89">
        <v>8</v>
      </c>
      <c r="N63" s="86"/>
      <c r="O63" s="90">
        <f t="shared" si="113"/>
        <v>60</v>
      </c>
      <c r="P63" s="91">
        <f t="shared" si="114"/>
        <v>60</v>
      </c>
      <c r="Q63" s="92">
        <f t="shared" si="115"/>
        <v>20</v>
      </c>
      <c r="R63" s="92">
        <f t="shared" si="116"/>
        <v>30</v>
      </c>
      <c r="S63" s="93">
        <f t="shared" si="117"/>
        <v>1200</v>
      </c>
      <c r="T63" s="94">
        <f t="shared" si="118"/>
        <v>210</v>
      </c>
      <c r="U63" s="94">
        <f t="shared" si="119"/>
        <v>210</v>
      </c>
      <c r="V63" s="12">
        <f t="shared" si="120"/>
        <v>60</v>
      </c>
      <c r="W63" s="12">
        <f t="shared" si="121"/>
        <v>42</v>
      </c>
      <c r="X63" s="12">
        <v>1</v>
      </c>
      <c r="Y63" s="97">
        <f t="shared" si="122"/>
        <v>6</v>
      </c>
      <c r="Z63" s="98"/>
      <c r="AA63" s="99">
        <f t="shared" si="123"/>
        <v>60</v>
      </c>
      <c r="AB63" s="91">
        <f t="shared" si="124"/>
        <v>60</v>
      </c>
      <c r="AC63" s="92">
        <f t="shared" si="125"/>
        <v>20</v>
      </c>
      <c r="AD63" s="92">
        <f t="shared" si="126"/>
        <v>30</v>
      </c>
      <c r="AE63" s="92">
        <f t="shared" si="127"/>
        <v>20</v>
      </c>
      <c r="AF63" s="100">
        <f t="shared" si="128"/>
        <v>180</v>
      </c>
      <c r="AG63" s="100">
        <f t="shared" si="129"/>
        <v>180</v>
      </c>
      <c r="AH63" s="91">
        <f t="shared" si="130"/>
        <v>60</v>
      </c>
      <c r="AI63" s="91">
        <f t="shared" si="131"/>
        <v>1200</v>
      </c>
      <c r="AJ63" s="101">
        <v>1</v>
      </c>
      <c r="AK63" s="102">
        <f t="shared" si="132"/>
        <v>6</v>
      </c>
    </row>
    <row r="64" spans="2:37">
      <c r="B64" s="6">
        <v>61</v>
      </c>
      <c r="C64" s="81">
        <f t="shared" si="110"/>
        <v>61</v>
      </c>
      <c r="D64" s="82">
        <f t="shared" si="111"/>
        <v>60</v>
      </c>
      <c r="E64" s="83">
        <v>1</v>
      </c>
      <c r="F64" s="83">
        <v>1</v>
      </c>
      <c r="G64" s="84">
        <f t="shared" si="137"/>
        <v>61</v>
      </c>
      <c r="H64" s="85">
        <v>7</v>
      </c>
      <c r="I64" s="85">
        <v>7</v>
      </c>
      <c r="J64" s="86">
        <v>61</v>
      </c>
      <c r="K64" s="86">
        <f t="shared" si="134"/>
        <v>61</v>
      </c>
      <c r="L64" s="86">
        <v>2</v>
      </c>
      <c r="M64" s="89">
        <v>8</v>
      </c>
      <c r="N64" s="86"/>
      <c r="O64" s="90">
        <f t="shared" si="113"/>
        <v>61</v>
      </c>
      <c r="P64" s="91">
        <f t="shared" si="114"/>
        <v>60</v>
      </c>
      <c r="Q64" s="92">
        <f t="shared" si="115"/>
        <v>20</v>
      </c>
      <c r="R64" s="92">
        <f t="shared" si="116"/>
        <v>30</v>
      </c>
      <c r="S64" s="93">
        <f t="shared" si="117"/>
        <v>1220</v>
      </c>
      <c r="T64" s="94">
        <f t="shared" si="118"/>
        <v>210</v>
      </c>
      <c r="U64" s="94">
        <f t="shared" si="119"/>
        <v>210</v>
      </c>
      <c r="V64" s="12">
        <f t="shared" si="120"/>
        <v>61</v>
      </c>
      <c r="W64" s="12">
        <f t="shared" si="121"/>
        <v>42.699999999999996</v>
      </c>
      <c r="X64" s="12">
        <v>1</v>
      </c>
      <c r="Y64" s="97">
        <f t="shared" si="122"/>
        <v>6</v>
      </c>
      <c r="Z64" s="98"/>
      <c r="AA64" s="99">
        <f t="shared" si="123"/>
        <v>61</v>
      </c>
      <c r="AB64" s="91">
        <f t="shared" si="124"/>
        <v>61</v>
      </c>
      <c r="AC64" s="92">
        <f t="shared" si="125"/>
        <v>20</v>
      </c>
      <c r="AD64" s="92">
        <f t="shared" si="126"/>
        <v>30</v>
      </c>
      <c r="AE64" s="92">
        <f t="shared" si="127"/>
        <v>20</v>
      </c>
      <c r="AF64" s="100">
        <f t="shared" si="128"/>
        <v>183.00000000000003</v>
      </c>
      <c r="AG64" s="100">
        <f t="shared" si="129"/>
        <v>183.00000000000003</v>
      </c>
      <c r="AH64" s="91">
        <f t="shared" si="130"/>
        <v>61</v>
      </c>
      <c r="AI64" s="91">
        <f t="shared" si="131"/>
        <v>1220</v>
      </c>
      <c r="AJ64" s="101">
        <v>1</v>
      </c>
      <c r="AK64" s="102">
        <f t="shared" si="132"/>
        <v>6.1000000000000005</v>
      </c>
    </row>
    <row r="65" spans="2:37">
      <c r="B65" s="6">
        <v>62</v>
      </c>
      <c r="C65" s="81">
        <f t="shared" si="110"/>
        <v>62</v>
      </c>
      <c r="D65" s="82">
        <f t="shared" si="111"/>
        <v>60</v>
      </c>
      <c r="E65" s="83">
        <v>1</v>
      </c>
      <c r="F65" s="83">
        <v>1</v>
      </c>
      <c r="G65" s="84">
        <f t="shared" si="137"/>
        <v>62</v>
      </c>
      <c r="H65" s="85">
        <v>7</v>
      </c>
      <c r="I65" s="85">
        <v>7</v>
      </c>
      <c r="J65" s="86">
        <v>62</v>
      </c>
      <c r="K65" s="86">
        <f t="shared" si="134"/>
        <v>62</v>
      </c>
      <c r="L65" s="86">
        <v>2</v>
      </c>
      <c r="M65" s="89">
        <v>8</v>
      </c>
      <c r="N65" s="86"/>
      <c r="O65" s="90">
        <f t="shared" si="113"/>
        <v>62</v>
      </c>
      <c r="P65" s="91">
        <f t="shared" si="114"/>
        <v>60</v>
      </c>
      <c r="Q65" s="92">
        <f t="shared" si="115"/>
        <v>20</v>
      </c>
      <c r="R65" s="92">
        <f t="shared" si="116"/>
        <v>30</v>
      </c>
      <c r="S65" s="93">
        <f t="shared" si="117"/>
        <v>1240</v>
      </c>
      <c r="T65" s="94">
        <f t="shared" si="118"/>
        <v>210</v>
      </c>
      <c r="U65" s="94">
        <f t="shared" si="119"/>
        <v>210</v>
      </c>
      <c r="V65" s="12">
        <f t="shared" si="120"/>
        <v>62</v>
      </c>
      <c r="W65" s="12">
        <f t="shared" si="121"/>
        <v>43.4</v>
      </c>
      <c r="X65" s="12">
        <v>1</v>
      </c>
      <c r="Y65" s="97">
        <f t="shared" si="122"/>
        <v>6</v>
      </c>
      <c r="Z65" s="98"/>
      <c r="AA65" s="99">
        <f t="shared" si="123"/>
        <v>62</v>
      </c>
      <c r="AB65" s="91">
        <f t="shared" si="124"/>
        <v>62</v>
      </c>
      <c r="AC65" s="92">
        <f t="shared" si="125"/>
        <v>20</v>
      </c>
      <c r="AD65" s="92">
        <f t="shared" si="126"/>
        <v>30</v>
      </c>
      <c r="AE65" s="92">
        <f t="shared" si="127"/>
        <v>20</v>
      </c>
      <c r="AF65" s="100">
        <f t="shared" si="128"/>
        <v>186</v>
      </c>
      <c r="AG65" s="100">
        <f t="shared" si="129"/>
        <v>186</v>
      </c>
      <c r="AH65" s="91">
        <f t="shared" si="130"/>
        <v>62</v>
      </c>
      <c r="AI65" s="91">
        <f t="shared" si="131"/>
        <v>1240</v>
      </c>
      <c r="AJ65" s="101">
        <v>1</v>
      </c>
      <c r="AK65" s="102">
        <f t="shared" si="132"/>
        <v>6.2</v>
      </c>
    </row>
    <row r="66" spans="2:37">
      <c r="B66" s="6">
        <v>63</v>
      </c>
      <c r="C66" s="81">
        <f t="shared" si="110"/>
        <v>63</v>
      </c>
      <c r="D66" s="82">
        <f t="shared" si="111"/>
        <v>60</v>
      </c>
      <c r="E66" s="83">
        <v>1</v>
      </c>
      <c r="F66" s="83">
        <v>1</v>
      </c>
      <c r="G66" s="84">
        <f t="shared" si="137"/>
        <v>63</v>
      </c>
      <c r="H66" s="85">
        <v>7</v>
      </c>
      <c r="I66" s="85">
        <v>7</v>
      </c>
      <c r="J66" s="86">
        <v>63</v>
      </c>
      <c r="K66" s="86">
        <f t="shared" si="134"/>
        <v>63</v>
      </c>
      <c r="L66" s="86">
        <v>2</v>
      </c>
      <c r="M66" s="89">
        <v>8</v>
      </c>
      <c r="N66" s="86"/>
      <c r="O66" s="90">
        <f t="shared" si="113"/>
        <v>63</v>
      </c>
      <c r="P66" s="91">
        <f t="shared" si="114"/>
        <v>60</v>
      </c>
      <c r="Q66" s="92">
        <f t="shared" si="115"/>
        <v>20</v>
      </c>
      <c r="R66" s="92">
        <f t="shared" si="116"/>
        <v>30</v>
      </c>
      <c r="S66" s="93">
        <f t="shared" si="117"/>
        <v>1260</v>
      </c>
      <c r="T66" s="94">
        <f t="shared" si="118"/>
        <v>210</v>
      </c>
      <c r="U66" s="94">
        <f t="shared" si="119"/>
        <v>210</v>
      </c>
      <c r="V66" s="12">
        <f t="shared" si="120"/>
        <v>63</v>
      </c>
      <c r="W66" s="12">
        <f t="shared" si="121"/>
        <v>44.099999999999994</v>
      </c>
      <c r="X66" s="12">
        <v>1</v>
      </c>
      <c r="Y66" s="97">
        <f t="shared" si="122"/>
        <v>6</v>
      </c>
      <c r="Z66" s="98"/>
      <c r="AA66" s="99">
        <f t="shared" si="123"/>
        <v>63</v>
      </c>
      <c r="AB66" s="91">
        <f t="shared" si="124"/>
        <v>63</v>
      </c>
      <c r="AC66" s="92">
        <f t="shared" si="125"/>
        <v>20</v>
      </c>
      <c r="AD66" s="92">
        <f t="shared" si="126"/>
        <v>30</v>
      </c>
      <c r="AE66" s="92">
        <f t="shared" si="127"/>
        <v>20</v>
      </c>
      <c r="AF66" s="100">
        <f t="shared" si="128"/>
        <v>189.00000000000003</v>
      </c>
      <c r="AG66" s="100">
        <f t="shared" si="129"/>
        <v>189.00000000000003</v>
      </c>
      <c r="AH66" s="91">
        <f t="shared" si="130"/>
        <v>63</v>
      </c>
      <c r="AI66" s="91">
        <f t="shared" si="131"/>
        <v>1260</v>
      </c>
      <c r="AJ66" s="101">
        <v>1</v>
      </c>
      <c r="AK66" s="102">
        <f t="shared" si="132"/>
        <v>6.3000000000000007</v>
      </c>
    </row>
    <row r="67" spans="2:37">
      <c r="B67" s="6">
        <v>64</v>
      </c>
      <c r="C67" s="81">
        <f t="shared" si="110"/>
        <v>64</v>
      </c>
      <c r="D67" s="82">
        <f t="shared" si="111"/>
        <v>60</v>
      </c>
      <c r="E67" s="83">
        <v>1</v>
      </c>
      <c r="F67" s="83">
        <v>1</v>
      </c>
      <c r="G67" s="84">
        <f t="shared" si="137"/>
        <v>64</v>
      </c>
      <c r="H67" s="85">
        <v>7</v>
      </c>
      <c r="I67" s="85">
        <v>7</v>
      </c>
      <c r="J67" s="86">
        <v>64</v>
      </c>
      <c r="K67" s="86">
        <f t="shared" si="134"/>
        <v>64</v>
      </c>
      <c r="L67" s="86">
        <v>2</v>
      </c>
      <c r="M67" s="89">
        <v>8</v>
      </c>
      <c r="N67" s="86"/>
      <c r="O67" s="90">
        <f t="shared" si="113"/>
        <v>64</v>
      </c>
      <c r="P67" s="91">
        <f t="shared" si="114"/>
        <v>60</v>
      </c>
      <c r="Q67" s="92">
        <f t="shared" si="115"/>
        <v>20</v>
      </c>
      <c r="R67" s="92">
        <f t="shared" si="116"/>
        <v>30</v>
      </c>
      <c r="S67" s="93">
        <f t="shared" si="117"/>
        <v>1280</v>
      </c>
      <c r="T67" s="94">
        <f t="shared" si="118"/>
        <v>210</v>
      </c>
      <c r="U67" s="94">
        <f t="shared" si="119"/>
        <v>210</v>
      </c>
      <c r="V67" s="12">
        <f t="shared" si="120"/>
        <v>64</v>
      </c>
      <c r="W67" s="12">
        <f t="shared" si="121"/>
        <v>44.8</v>
      </c>
      <c r="X67" s="12">
        <v>1</v>
      </c>
      <c r="Y67" s="97">
        <f t="shared" si="122"/>
        <v>6</v>
      </c>
      <c r="Z67" s="98"/>
      <c r="AA67" s="99">
        <f t="shared" si="123"/>
        <v>64</v>
      </c>
      <c r="AB67" s="91">
        <f t="shared" si="124"/>
        <v>64</v>
      </c>
      <c r="AC67" s="92">
        <f t="shared" si="125"/>
        <v>20</v>
      </c>
      <c r="AD67" s="92">
        <f t="shared" si="126"/>
        <v>30</v>
      </c>
      <c r="AE67" s="92">
        <f t="shared" si="127"/>
        <v>20</v>
      </c>
      <c r="AF67" s="100">
        <f t="shared" si="128"/>
        <v>192</v>
      </c>
      <c r="AG67" s="100">
        <f t="shared" si="129"/>
        <v>192</v>
      </c>
      <c r="AH67" s="91">
        <f t="shared" si="130"/>
        <v>64</v>
      </c>
      <c r="AI67" s="91">
        <f t="shared" si="131"/>
        <v>1280</v>
      </c>
      <c r="AJ67" s="101">
        <v>1</v>
      </c>
      <c r="AK67" s="102">
        <f t="shared" si="132"/>
        <v>6.4</v>
      </c>
    </row>
    <row r="68" spans="2:37">
      <c r="B68" s="6">
        <v>65</v>
      </c>
      <c r="C68" s="81">
        <f t="shared" ref="C68" si="138">B68</f>
        <v>65</v>
      </c>
      <c r="D68" s="82">
        <f t="shared" ref="D68" si="139">IF(B68&lt;10,1,ROUNDDOWN(B68,-1))</f>
        <v>60</v>
      </c>
      <c r="E68" s="83">
        <v>1</v>
      </c>
      <c r="F68" s="83">
        <v>1</v>
      </c>
      <c r="G68" s="84">
        <f t="shared" si="137"/>
        <v>65</v>
      </c>
      <c r="H68" s="85">
        <v>7</v>
      </c>
      <c r="I68" s="85">
        <v>7</v>
      </c>
      <c r="J68" s="86">
        <v>65</v>
      </c>
      <c r="K68" s="86">
        <f t="shared" si="134"/>
        <v>65</v>
      </c>
      <c r="L68" s="86">
        <v>3</v>
      </c>
      <c r="M68" s="89">
        <v>12</v>
      </c>
      <c r="N68" s="86"/>
      <c r="O68" s="90">
        <f t="shared" ref="O68" si="140">C68</f>
        <v>65</v>
      </c>
      <c r="P68" s="91">
        <f t="shared" ref="P68" si="141">D68</f>
        <v>60</v>
      </c>
      <c r="Q68" s="92">
        <f t="shared" ref="Q68" si="142">E68*$D$25</f>
        <v>20</v>
      </c>
      <c r="R68" s="92">
        <f t="shared" ref="R68" si="143">F68*$D$36</f>
        <v>30</v>
      </c>
      <c r="S68" s="93">
        <f t="shared" ref="S68" si="144">G68*$D$27</f>
        <v>1300</v>
      </c>
      <c r="T68" s="94">
        <f t="shared" ref="T68" si="145">H68*$D$39</f>
        <v>210</v>
      </c>
      <c r="U68" s="94">
        <f t="shared" ref="U68" si="146">H68*$D$40</f>
        <v>210</v>
      </c>
      <c r="V68" s="12">
        <f t="shared" ref="V68" si="147">J68</f>
        <v>65</v>
      </c>
      <c r="W68" s="12">
        <f t="shared" ref="W68" si="148">K68*0.7</f>
        <v>45.5</v>
      </c>
      <c r="X68" s="12">
        <v>1</v>
      </c>
      <c r="Y68" s="97">
        <f t="shared" ref="Y68" si="149">ROUND(MAX(M68*0.7,),0)</f>
        <v>8</v>
      </c>
      <c r="Z68" s="98"/>
      <c r="AA68" s="99">
        <f t="shared" ref="AA68" si="150">C68</f>
        <v>65</v>
      </c>
      <c r="AB68" s="91">
        <f t="shared" ref="AB68" si="151">B68</f>
        <v>65</v>
      </c>
      <c r="AC68" s="92">
        <f t="shared" ref="AC68" si="152">$D$25</f>
        <v>20</v>
      </c>
      <c r="AD68" s="92">
        <f t="shared" ref="AD68" si="153">$D$36</f>
        <v>30</v>
      </c>
      <c r="AE68" s="92">
        <f t="shared" ref="AE68" si="154">$D$27</f>
        <v>20</v>
      </c>
      <c r="AF68" s="100">
        <f t="shared" ref="AF68" si="155">B68*0.1*$D$39</f>
        <v>195</v>
      </c>
      <c r="AG68" s="100">
        <f t="shared" ref="AG68" si="156">B68*0.1*$D$40</f>
        <v>195</v>
      </c>
      <c r="AH68" s="91">
        <f t="shared" ref="AH68" si="157">B68</f>
        <v>65</v>
      </c>
      <c r="AI68" s="91">
        <f t="shared" ref="AI68" si="158">B68*$D$26</f>
        <v>1300</v>
      </c>
      <c r="AJ68" s="101">
        <v>1</v>
      </c>
      <c r="AK68" s="102">
        <f t="shared" ref="AK68" si="159">MIN(AA68*0.1,20)</f>
        <v>6.5</v>
      </c>
    </row>
    <row r="69" spans="2:37">
      <c r="B69" s="6">
        <v>66</v>
      </c>
      <c r="C69" s="81">
        <f t="shared" ref="C69" si="160">B69</f>
        <v>66</v>
      </c>
      <c r="D69" s="82">
        <f t="shared" ref="D69" si="161">IF(B69&lt;10,1,ROUNDDOWN(B69,-1))</f>
        <v>60</v>
      </c>
      <c r="E69" s="83">
        <v>1</v>
      </c>
      <c r="F69" s="83">
        <v>1</v>
      </c>
      <c r="G69" s="84">
        <f t="shared" si="137"/>
        <v>66</v>
      </c>
      <c r="H69" s="85">
        <v>7</v>
      </c>
      <c r="I69" s="85">
        <v>7</v>
      </c>
      <c r="J69" s="86">
        <v>66</v>
      </c>
      <c r="K69" s="86">
        <f t="shared" si="134"/>
        <v>66</v>
      </c>
      <c r="L69" s="86">
        <v>3</v>
      </c>
      <c r="M69" s="89">
        <v>12</v>
      </c>
      <c r="N69" s="86"/>
      <c r="O69" s="90">
        <f t="shared" ref="O69" si="162">C69</f>
        <v>66</v>
      </c>
      <c r="P69" s="91">
        <f t="shared" ref="P69" si="163">D69</f>
        <v>60</v>
      </c>
      <c r="Q69" s="92">
        <f t="shared" ref="Q69" si="164">E69*$D$25</f>
        <v>20</v>
      </c>
      <c r="R69" s="92">
        <f t="shared" ref="R69" si="165">F69*$D$36</f>
        <v>30</v>
      </c>
      <c r="S69" s="93">
        <f t="shared" ref="S69" si="166">G69*$D$27</f>
        <v>1320</v>
      </c>
      <c r="T69" s="94">
        <f t="shared" ref="T69" si="167">H69*$D$39</f>
        <v>210</v>
      </c>
      <c r="U69" s="94">
        <f t="shared" ref="U69" si="168">H69*$D$40</f>
        <v>210</v>
      </c>
      <c r="V69" s="12">
        <f t="shared" ref="V69" si="169">J69</f>
        <v>66</v>
      </c>
      <c r="W69" s="12">
        <f t="shared" ref="W69" si="170">K69*0.7</f>
        <v>46.199999999999996</v>
      </c>
      <c r="X69" s="12">
        <v>1</v>
      </c>
      <c r="Y69" s="97">
        <f t="shared" ref="Y69" si="171">ROUND(MAX(M69*0.7,),0)</f>
        <v>8</v>
      </c>
      <c r="Z69" s="98"/>
      <c r="AA69" s="99">
        <f t="shared" ref="AA69" si="172">C69</f>
        <v>66</v>
      </c>
      <c r="AB69" s="91">
        <f t="shared" ref="AB69" si="173">B69</f>
        <v>66</v>
      </c>
      <c r="AC69" s="92">
        <f t="shared" ref="AC69" si="174">$D$25</f>
        <v>20</v>
      </c>
      <c r="AD69" s="92">
        <f t="shared" ref="AD69" si="175">$D$36</f>
        <v>30</v>
      </c>
      <c r="AE69" s="92">
        <f t="shared" ref="AE69" si="176">$D$27</f>
        <v>20</v>
      </c>
      <c r="AF69" s="100">
        <f t="shared" ref="AF69" si="177">B69*0.1*$D$39</f>
        <v>198.00000000000003</v>
      </c>
      <c r="AG69" s="100">
        <f t="shared" ref="AG69" si="178">B69*0.1*$D$40</f>
        <v>198.00000000000003</v>
      </c>
      <c r="AH69" s="91">
        <f t="shared" ref="AH69" si="179">B69</f>
        <v>66</v>
      </c>
      <c r="AI69" s="91">
        <f t="shared" ref="AI69" si="180">B69*$D$26</f>
        <v>1320</v>
      </c>
      <c r="AJ69" s="101">
        <v>1</v>
      </c>
      <c r="AK69" s="102">
        <f t="shared" ref="AK69" si="181">MIN(AA69*0.1,20)</f>
        <v>6.6000000000000005</v>
      </c>
    </row>
    <row r="70" spans="2:37">
      <c r="B70" s="6">
        <v>67</v>
      </c>
      <c r="C70" s="81">
        <f t="shared" ref="C70:C99" si="182">B70</f>
        <v>67</v>
      </c>
      <c r="D70" s="82">
        <f t="shared" ref="D70:D99" si="183">IF(B70&lt;10,1,ROUNDDOWN(B70,-1))</f>
        <v>60</v>
      </c>
      <c r="E70" s="83">
        <v>1</v>
      </c>
      <c r="F70" s="83">
        <v>1</v>
      </c>
      <c r="G70" s="84">
        <f t="shared" si="137"/>
        <v>67</v>
      </c>
      <c r="H70" s="85">
        <v>7</v>
      </c>
      <c r="I70" s="85">
        <v>7</v>
      </c>
      <c r="J70" s="86">
        <v>67</v>
      </c>
      <c r="K70" s="86">
        <f t="shared" ref="K70" si="184">B70</f>
        <v>67</v>
      </c>
      <c r="L70" s="86">
        <v>3</v>
      </c>
      <c r="M70" s="89">
        <v>12</v>
      </c>
      <c r="N70" s="86"/>
      <c r="O70" s="90">
        <f t="shared" ref="O70:O99" si="185">C70</f>
        <v>67</v>
      </c>
      <c r="P70" s="91">
        <f t="shared" ref="P70:P99" si="186">D70</f>
        <v>60</v>
      </c>
      <c r="Q70" s="92">
        <f t="shared" ref="Q70:Q99" si="187">E70*$D$25</f>
        <v>20</v>
      </c>
      <c r="R70" s="92">
        <f t="shared" ref="R70:R99" si="188">F70*$D$36</f>
        <v>30</v>
      </c>
      <c r="S70" s="93">
        <f t="shared" ref="S70:S99" si="189">G70*$D$27</f>
        <v>1340</v>
      </c>
      <c r="T70" s="94">
        <f t="shared" ref="T70:T99" si="190">H70*$D$39</f>
        <v>210</v>
      </c>
      <c r="U70" s="94">
        <f t="shared" ref="U70:U99" si="191">H70*$D$40</f>
        <v>210</v>
      </c>
      <c r="V70" s="12">
        <f t="shared" ref="V70:V99" si="192">J70</f>
        <v>67</v>
      </c>
      <c r="W70" s="12">
        <f t="shared" ref="W70:W99" si="193">K70*0.7</f>
        <v>46.9</v>
      </c>
      <c r="X70" s="12">
        <v>1</v>
      </c>
      <c r="Y70" s="97">
        <f t="shared" ref="Y70:Y99" si="194">ROUND(MAX(M70*0.7,),0)</f>
        <v>8</v>
      </c>
      <c r="Z70" s="98"/>
      <c r="AA70" s="99">
        <f t="shared" ref="AA70:AA99" si="195">C70</f>
        <v>67</v>
      </c>
      <c r="AB70" s="91">
        <f t="shared" ref="AB70:AB99" si="196">B70</f>
        <v>67</v>
      </c>
      <c r="AC70" s="92">
        <f t="shared" ref="AC70:AC99" si="197">$D$25</f>
        <v>20</v>
      </c>
      <c r="AD70" s="92">
        <f t="shared" ref="AD70:AD99" si="198">$D$36</f>
        <v>30</v>
      </c>
      <c r="AE70" s="92">
        <f t="shared" ref="AE70:AE99" si="199">$D$27</f>
        <v>20</v>
      </c>
      <c r="AF70" s="100">
        <f t="shared" ref="AF70:AF99" si="200">B70*0.1*$D$39</f>
        <v>201</v>
      </c>
      <c r="AG70" s="100">
        <f t="shared" ref="AG70:AG99" si="201">B70*0.1*$D$40</f>
        <v>201</v>
      </c>
      <c r="AH70" s="91">
        <f t="shared" ref="AH70:AH99" si="202">B70</f>
        <v>67</v>
      </c>
      <c r="AI70" s="91">
        <f t="shared" ref="AI70:AI99" si="203">B70*$D$26</f>
        <v>1340</v>
      </c>
      <c r="AJ70" s="101">
        <v>1</v>
      </c>
      <c r="AK70" s="102">
        <f t="shared" ref="AK70:AK99" si="204">MIN(AA70*0.1,20)</f>
        <v>6.7</v>
      </c>
    </row>
    <row r="71" spans="2:37">
      <c r="B71" s="6">
        <v>68</v>
      </c>
      <c r="C71" s="81">
        <f t="shared" si="182"/>
        <v>68</v>
      </c>
      <c r="D71" s="82">
        <f t="shared" si="183"/>
        <v>60</v>
      </c>
      <c r="E71" s="83">
        <v>1</v>
      </c>
      <c r="F71" s="83">
        <v>1</v>
      </c>
      <c r="G71" s="84">
        <f t="shared" si="137"/>
        <v>68</v>
      </c>
      <c r="H71" s="85">
        <v>7</v>
      </c>
      <c r="I71" s="85">
        <v>7</v>
      </c>
      <c r="J71" s="86">
        <v>68</v>
      </c>
      <c r="K71" s="86">
        <f t="shared" ref="K71" si="205">B71</f>
        <v>68</v>
      </c>
      <c r="L71" s="86">
        <v>3</v>
      </c>
      <c r="M71" s="89">
        <v>12</v>
      </c>
      <c r="N71" s="86"/>
      <c r="O71" s="90">
        <f t="shared" si="185"/>
        <v>68</v>
      </c>
      <c r="P71" s="91">
        <f t="shared" si="186"/>
        <v>60</v>
      </c>
      <c r="Q71" s="92">
        <f t="shared" si="187"/>
        <v>20</v>
      </c>
      <c r="R71" s="92">
        <f t="shared" si="188"/>
        <v>30</v>
      </c>
      <c r="S71" s="93">
        <f t="shared" si="189"/>
        <v>1360</v>
      </c>
      <c r="T71" s="94">
        <f t="shared" si="190"/>
        <v>210</v>
      </c>
      <c r="U71" s="94">
        <f t="shared" si="191"/>
        <v>210</v>
      </c>
      <c r="V71" s="12">
        <f t="shared" si="192"/>
        <v>68</v>
      </c>
      <c r="W71" s="12">
        <f t="shared" si="193"/>
        <v>47.599999999999994</v>
      </c>
      <c r="X71" s="12">
        <v>1</v>
      </c>
      <c r="Y71" s="97">
        <f t="shared" si="194"/>
        <v>8</v>
      </c>
      <c r="Z71" s="98"/>
      <c r="AA71" s="99">
        <f t="shared" si="195"/>
        <v>68</v>
      </c>
      <c r="AB71" s="91">
        <f t="shared" si="196"/>
        <v>68</v>
      </c>
      <c r="AC71" s="92">
        <f t="shared" si="197"/>
        <v>20</v>
      </c>
      <c r="AD71" s="92">
        <f t="shared" si="198"/>
        <v>30</v>
      </c>
      <c r="AE71" s="92">
        <f t="shared" si="199"/>
        <v>20</v>
      </c>
      <c r="AF71" s="100">
        <f t="shared" si="200"/>
        <v>204.00000000000003</v>
      </c>
      <c r="AG71" s="100">
        <f t="shared" si="201"/>
        <v>204.00000000000003</v>
      </c>
      <c r="AH71" s="91">
        <f t="shared" si="202"/>
        <v>68</v>
      </c>
      <c r="AI71" s="91">
        <f t="shared" si="203"/>
        <v>1360</v>
      </c>
      <c r="AJ71" s="101">
        <v>1</v>
      </c>
      <c r="AK71" s="102">
        <f t="shared" si="204"/>
        <v>6.8000000000000007</v>
      </c>
    </row>
    <row r="72" spans="2:37">
      <c r="B72" s="6">
        <v>69</v>
      </c>
      <c r="C72" s="81">
        <f t="shared" si="182"/>
        <v>69</v>
      </c>
      <c r="D72" s="82">
        <f t="shared" si="183"/>
        <v>60</v>
      </c>
      <c r="E72" s="83">
        <v>1</v>
      </c>
      <c r="F72" s="83">
        <v>1</v>
      </c>
      <c r="G72" s="84">
        <f t="shared" si="137"/>
        <v>69</v>
      </c>
      <c r="H72" s="85">
        <v>7</v>
      </c>
      <c r="I72" s="85">
        <v>7</v>
      </c>
      <c r="J72" s="86">
        <v>69</v>
      </c>
      <c r="K72" s="86">
        <f t="shared" ref="K72:K101" si="206">B72</f>
        <v>69</v>
      </c>
      <c r="L72" s="86">
        <v>3</v>
      </c>
      <c r="M72" s="89">
        <v>12</v>
      </c>
      <c r="N72" s="86"/>
      <c r="O72" s="90">
        <f t="shared" si="185"/>
        <v>69</v>
      </c>
      <c r="P72" s="91">
        <f t="shared" si="186"/>
        <v>60</v>
      </c>
      <c r="Q72" s="92">
        <f t="shared" si="187"/>
        <v>20</v>
      </c>
      <c r="R72" s="92">
        <f t="shared" si="188"/>
        <v>30</v>
      </c>
      <c r="S72" s="93">
        <f t="shared" si="189"/>
        <v>1380</v>
      </c>
      <c r="T72" s="94">
        <f t="shared" si="190"/>
        <v>210</v>
      </c>
      <c r="U72" s="94">
        <f t="shared" si="191"/>
        <v>210</v>
      </c>
      <c r="V72" s="12">
        <f t="shared" si="192"/>
        <v>69</v>
      </c>
      <c r="W72" s="12">
        <f t="shared" si="193"/>
        <v>48.3</v>
      </c>
      <c r="X72" s="12">
        <v>1</v>
      </c>
      <c r="Y72" s="97">
        <f t="shared" si="194"/>
        <v>8</v>
      </c>
      <c r="Z72" s="98"/>
      <c r="AA72" s="99">
        <f t="shared" si="195"/>
        <v>69</v>
      </c>
      <c r="AB72" s="91">
        <f t="shared" si="196"/>
        <v>69</v>
      </c>
      <c r="AC72" s="92">
        <f t="shared" si="197"/>
        <v>20</v>
      </c>
      <c r="AD72" s="92">
        <f t="shared" si="198"/>
        <v>30</v>
      </c>
      <c r="AE72" s="92">
        <f t="shared" si="199"/>
        <v>20</v>
      </c>
      <c r="AF72" s="100">
        <f t="shared" si="200"/>
        <v>207</v>
      </c>
      <c r="AG72" s="100">
        <f t="shared" si="201"/>
        <v>207</v>
      </c>
      <c r="AH72" s="91">
        <f t="shared" si="202"/>
        <v>69</v>
      </c>
      <c r="AI72" s="91">
        <f t="shared" si="203"/>
        <v>1380</v>
      </c>
      <c r="AJ72" s="101">
        <v>1</v>
      </c>
      <c r="AK72" s="102">
        <f t="shared" si="204"/>
        <v>6.9</v>
      </c>
    </row>
    <row r="73" spans="2:37">
      <c r="B73" s="6">
        <v>70</v>
      </c>
      <c r="C73" s="81">
        <f t="shared" si="182"/>
        <v>70</v>
      </c>
      <c r="D73" s="82">
        <f t="shared" si="183"/>
        <v>70</v>
      </c>
      <c r="E73" s="83">
        <v>1</v>
      </c>
      <c r="F73" s="83">
        <v>1</v>
      </c>
      <c r="G73" s="84">
        <f t="shared" si="137"/>
        <v>70</v>
      </c>
      <c r="H73" s="85">
        <v>9</v>
      </c>
      <c r="I73" s="85">
        <v>7</v>
      </c>
      <c r="J73" s="86">
        <v>70</v>
      </c>
      <c r="K73" s="86">
        <f t="shared" si="206"/>
        <v>70</v>
      </c>
      <c r="L73" s="86">
        <v>4</v>
      </c>
      <c r="M73" s="89">
        <v>14</v>
      </c>
      <c r="N73" s="86"/>
      <c r="O73" s="90">
        <f t="shared" si="185"/>
        <v>70</v>
      </c>
      <c r="P73" s="91">
        <f t="shared" si="186"/>
        <v>70</v>
      </c>
      <c r="Q73" s="92">
        <f t="shared" si="187"/>
        <v>20</v>
      </c>
      <c r="R73" s="92">
        <f t="shared" si="188"/>
        <v>30</v>
      </c>
      <c r="S73" s="93">
        <f t="shared" si="189"/>
        <v>1400</v>
      </c>
      <c r="T73" s="94">
        <f t="shared" si="190"/>
        <v>270</v>
      </c>
      <c r="U73" s="94">
        <f t="shared" si="191"/>
        <v>270</v>
      </c>
      <c r="V73" s="12">
        <f t="shared" si="192"/>
        <v>70</v>
      </c>
      <c r="W73" s="12">
        <f t="shared" si="193"/>
        <v>49</v>
      </c>
      <c r="X73" s="12">
        <v>2</v>
      </c>
      <c r="Y73" s="97">
        <f t="shared" si="194"/>
        <v>10</v>
      </c>
      <c r="Z73" s="98"/>
      <c r="AA73" s="99">
        <f t="shared" si="195"/>
        <v>70</v>
      </c>
      <c r="AB73" s="91">
        <f t="shared" si="196"/>
        <v>70</v>
      </c>
      <c r="AC73" s="92">
        <f t="shared" si="197"/>
        <v>20</v>
      </c>
      <c r="AD73" s="92">
        <f t="shared" si="198"/>
        <v>30</v>
      </c>
      <c r="AE73" s="92">
        <f t="shared" si="199"/>
        <v>20</v>
      </c>
      <c r="AF73" s="100">
        <f t="shared" si="200"/>
        <v>210</v>
      </c>
      <c r="AG73" s="100">
        <f t="shared" si="201"/>
        <v>210</v>
      </c>
      <c r="AH73" s="91">
        <f t="shared" si="202"/>
        <v>70</v>
      </c>
      <c r="AI73" s="91">
        <f t="shared" si="203"/>
        <v>1400</v>
      </c>
      <c r="AJ73" s="101">
        <v>1</v>
      </c>
      <c r="AK73" s="102">
        <f t="shared" si="204"/>
        <v>7</v>
      </c>
    </row>
    <row r="74" spans="2:37">
      <c r="B74" s="6">
        <v>71</v>
      </c>
      <c r="C74" s="81">
        <f t="shared" si="182"/>
        <v>71</v>
      </c>
      <c r="D74" s="82">
        <f t="shared" si="183"/>
        <v>70</v>
      </c>
      <c r="E74" s="83">
        <v>1</v>
      </c>
      <c r="F74" s="83">
        <v>1</v>
      </c>
      <c r="G74" s="84">
        <f t="shared" si="137"/>
        <v>71</v>
      </c>
      <c r="H74" s="85">
        <v>9</v>
      </c>
      <c r="I74" s="85">
        <v>7</v>
      </c>
      <c r="J74" s="86">
        <v>71</v>
      </c>
      <c r="K74" s="86">
        <f t="shared" si="206"/>
        <v>71</v>
      </c>
      <c r="L74" s="86">
        <v>4</v>
      </c>
      <c r="M74" s="89">
        <v>14</v>
      </c>
      <c r="N74" s="86"/>
      <c r="O74" s="90">
        <f t="shared" si="185"/>
        <v>71</v>
      </c>
      <c r="P74" s="91">
        <f t="shared" si="186"/>
        <v>70</v>
      </c>
      <c r="Q74" s="92">
        <f t="shared" si="187"/>
        <v>20</v>
      </c>
      <c r="R74" s="92">
        <f t="shared" si="188"/>
        <v>30</v>
      </c>
      <c r="S74" s="93">
        <f t="shared" si="189"/>
        <v>1420</v>
      </c>
      <c r="T74" s="94">
        <f t="shared" si="190"/>
        <v>270</v>
      </c>
      <c r="U74" s="94">
        <f t="shared" si="191"/>
        <v>270</v>
      </c>
      <c r="V74" s="12">
        <f t="shared" si="192"/>
        <v>71</v>
      </c>
      <c r="W74" s="12">
        <f t="shared" si="193"/>
        <v>49.699999999999996</v>
      </c>
      <c r="X74" s="12">
        <v>2</v>
      </c>
      <c r="Y74" s="97">
        <f t="shared" si="194"/>
        <v>10</v>
      </c>
      <c r="Z74" s="98"/>
      <c r="AA74" s="99">
        <f t="shared" si="195"/>
        <v>71</v>
      </c>
      <c r="AB74" s="91">
        <f t="shared" si="196"/>
        <v>71</v>
      </c>
      <c r="AC74" s="92">
        <f t="shared" si="197"/>
        <v>20</v>
      </c>
      <c r="AD74" s="92">
        <f t="shared" si="198"/>
        <v>30</v>
      </c>
      <c r="AE74" s="92">
        <f t="shared" si="199"/>
        <v>20</v>
      </c>
      <c r="AF74" s="100">
        <f t="shared" si="200"/>
        <v>213.00000000000003</v>
      </c>
      <c r="AG74" s="100">
        <f t="shared" si="201"/>
        <v>213.00000000000003</v>
      </c>
      <c r="AH74" s="91">
        <f t="shared" si="202"/>
        <v>71</v>
      </c>
      <c r="AI74" s="91">
        <f t="shared" si="203"/>
        <v>1420</v>
      </c>
      <c r="AJ74" s="101">
        <v>1</v>
      </c>
      <c r="AK74" s="102">
        <f t="shared" si="204"/>
        <v>7.1000000000000005</v>
      </c>
    </row>
    <row r="75" spans="2:37">
      <c r="B75" s="6">
        <v>72</v>
      </c>
      <c r="C75" s="81">
        <f t="shared" si="182"/>
        <v>72</v>
      </c>
      <c r="D75" s="82">
        <f t="shared" si="183"/>
        <v>70</v>
      </c>
      <c r="E75" s="83">
        <v>1</v>
      </c>
      <c r="F75" s="83">
        <v>1</v>
      </c>
      <c r="G75" s="84">
        <f t="shared" si="137"/>
        <v>72</v>
      </c>
      <c r="H75" s="85">
        <v>9</v>
      </c>
      <c r="I75" s="85">
        <v>7</v>
      </c>
      <c r="J75" s="86">
        <v>72</v>
      </c>
      <c r="K75" s="86">
        <f t="shared" si="206"/>
        <v>72</v>
      </c>
      <c r="L75" s="86">
        <v>4</v>
      </c>
      <c r="M75" s="89">
        <v>14</v>
      </c>
      <c r="N75" s="86"/>
      <c r="O75" s="90">
        <f t="shared" si="185"/>
        <v>72</v>
      </c>
      <c r="P75" s="91">
        <f t="shared" si="186"/>
        <v>70</v>
      </c>
      <c r="Q75" s="92">
        <f t="shared" si="187"/>
        <v>20</v>
      </c>
      <c r="R75" s="92">
        <f t="shared" si="188"/>
        <v>30</v>
      </c>
      <c r="S75" s="93">
        <f t="shared" si="189"/>
        <v>1440</v>
      </c>
      <c r="T75" s="94">
        <f t="shared" si="190"/>
        <v>270</v>
      </c>
      <c r="U75" s="94">
        <f t="shared" si="191"/>
        <v>270</v>
      </c>
      <c r="V75" s="12">
        <f t="shared" si="192"/>
        <v>72</v>
      </c>
      <c r="W75" s="12">
        <f t="shared" si="193"/>
        <v>50.4</v>
      </c>
      <c r="X75" s="12">
        <v>2</v>
      </c>
      <c r="Y75" s="97">
        <f t="shared" si="194"/>
        <v>10</v>
      </c>
      <c r="Z75" s="98"/>
      <c r="AA75" s="99">
        <f t="shared" si="195"/>
        <v>72</v>
      </c>
      <c r="AB75" s="91">
        <f t="shared" si="196"/>
        <v>72</v>
      </c>
      <c r="AC75" s="92">
        <f t="shared" si="197"/>
        <v>20</v>
      </c>
      <c r="AD75" s="92">
        <f t="shared" si="198"/>
        <v>30</v>
      </c>
      <c r="AE75" s="92">
        <f t="shared" si="199"/>
        <v>20</v>
      </c>
      <c r="AF75" s="100">
        <f t="shared" si="200"/>
        <v>216</v>
      </c>
      <c r="AG75" s="100">
        <f t="shared" si="201"/>
        <v>216</v>
      </c>
      <c r="AH75" s="91">
        <f t="shared" si="202"/>
        <v>72</v>
      </c>
      <c r="AI75" s="91">
        <f t="shared" si="203"/>
        <v>1440</v>
      </c>
      <c r="AJ75" s="101">
        <v>1</v>
      </c>
      <c r="AK75" s="102">
        <f t="shared" si="204"/>
        <v>7.2</v>
      </c>
    </row>
    <row r="76" spans="2:37">
      <c r="B76" s="6">
        <v>73</v>
      </c>
      <c r="C76" s="81">
        <f t="shared" si="182"/>
        <v>73</v>
      </c>
      <c r="D76" s="82">
        <f t="shared" si="183"/>
        <v>70</v>
      </c>
      <c r="E76" s="83">
        <v>1</v>
      </c>
      <c r="F76" s="83">
        <v>1</v>
      </c>
      <c r="G76" s="84">
        <f t="shared" si="137"/>
        <v>73</v>
      </c>
      <c r="H76" s="85">
        <v>9</v>
      </c>
      <c r="I76" s="85">
        <v>7</v>
      </c>
      <c r="J76" s="86">
        <v>73</v>
      </c>
      <c r="K76" s="86">
        <f t="shared" si="206"/>
        <v>73</v>
      </c>
      <c r="L76" s="86">
        <v>4</v>
      </c>
      <c r="M76" s="89">
        <v>14</v>
      </c>
      <c r="N76" s="86"/>
      <c r="O76" s="90">
        <f t="shared" si="185"/>
        <v>73</v>
      </c>
      <c r="P76" s="91">
        <f t="shared" si="186"/>
        <v>70</v>
      </c>
      <c r="Q76" s="92">
        <f t="shared" si="187"/>
        <v>20</v>
      </c>
      <c r="R76" s="92">
        <f t="shared" si="188"/>
        <v>30</v>
      </c>
      <c r="S76" s="93">
        <f t="shared" si="189"/>
        <v>1460</v>
      </c>
      <c r="T76" s="94">
        <f t="shared" si="190"/>
        <v>270</v>
      </c>
      <c r="U76" s="94">
        <f t="shared" si="191"/>
        <v>270</v>
      </c>
      <c r="V76" s="12">
        <f t="shared" si="192"/>
        <v>73</v>
      </c>
      <c r="W76" s="12">
        <f t="shared" si="193"/>
        <v>51.099999999999994</v>
      </c>
      <c r="X76" s="12">
        <v>2</v>
      </c>
      <c r="Y76" s="97">
        <f t="shared" si="194"/>
        <v>10</v>
      </c>
      <c r="Z76" s="98"/>
      <c r="AA76" s="99">
        <f t="shared" si="195"/>
        <v>73</v>
      </c>
      <c r="AB76" s="91">
        <f t="shared" si="196"/>
        <v>73</v>
      </c>
      <c r="AC76" s="92">
        <f t="shared" si="197"/>
        <v>20</v>
      </c>
      <c r="AD76" s="92">
        <f t="shared" si="198"/>
        <v>30</v>
      </c>
      <c r="AE76" s="92">
        <f t="shared" si="199"/>
        <v>20</v>
      </c>
      <c r="AF76" s="100">
        <f t="shared" si="200"/>
        <v>219.00000000000003</v>
      </c>
      <c r="AG76" s="100">
        <f t="shared" si="201"/>
        <v>219.00000000000003</v>
      </c>
      <c r="AH76" s="91">
        <f t="shared" si="202"/>
        <v>73</v>
      </c>
      <c r="AI76" s="91">
        <f t="shared" si="203"/>
        <v>1460</v>
      </c>
      <c r="AJ76" s="101">
        <v>1</v>
      </c>
      <c r="AK76" s="102">
        <f t="shared" si="204"/>
        <v>7.3000000000000007</v>
      </c>
    </row>
    <row r="77" spans="2:37">
      <c r="B77" s="6">
        <v>74</v>
      </c>
      <c r="C77" s="81">
        <f t="shared" si="182"/>
        <v>74</v>
      </c>
      <c r="D77" s="82">
        <f t="shared" si="183"/>
        <v>70</v>
      </c>
      <c r="E77" s="83">
        <v>1</v>
      </c>
      <c r="F77" s="83">
        <v>1</v>
      </c>
      <c r="G77" s="84">
        <f t="shared" si="137"/>
        <v>74</v>
      </c>
      <c r="H77" s="85">
        <v>9</v>
      </c>
      <c r="I77" s="85">
        <v>7</v>
      </c>
      <c r="J77" s="86">
        <v>74</v>
      </c>
      <c r="K77" s="86">
        <f t="shared" si="206"/>
        <v>74</v>
      </c>
      <c r="L77" s="86">
        <v>4</v>
      </c>
      <c r="M77" s="89">
        <v>14</v>
      </c>
      <c r="N77" s="86"/>
      <c r="O77" s="90">
        <f t="shared" si="185"/>
        <v>74</v>
      </c>
      <c r="P77" s="91">
        <f t="shared" si="186"/>
        <v>70</v>
      </c>
      <c r="Q77" s="92">
        <f t="shared" si="187"/>
        <v>20</v>
      </c>
      <c r="R77" s="92">
        <f t="shared" si="188"/>
        <v>30</v>
      </c>
      <c r="S77" s="93">
        <f t="shared" si="189"/>
        <v>1480</v>
      </c>
      <c r="T77" s="94">
        <f t="shared" si="190"/>
        <v>270</v>
      </c>
      <c r="U77" s="94">
        <f t="shared" si="191"/>
        <v>270</v>
      </c>
      <c r="V77" s="12">
        <f t="shared" si="192"/>
        <v>74</v>
      </c>
      <c r="W77" s="12">
        <f t="shared" si="193"/>
        <v>51.8</v>
      </c>
      <c r="X77" s="12">
        <v>2</v>
      </c>
      <c r="Y77" s="97">
        <f t="shared" si="194"/>
        <v>10</v>
      </c>
      <c r="Z77" s="98"/>
      <c r="AA77" s="99">
        <f t="shared" si="195"/>
        <v>74</v>
      </c>
      <c r="AB77" s="91">
        <f t="shared" si="196"/>
        <v>74</v>
      </c>
      <c r="AC77" s="92">
        <f t="shared" si="197"/>
        <v>20</v>
      </c>
      <c r="AD77" s="92">
        <f t="shared" si="198"/>
        <v>30</v>
      </c>
      <c r="AE77" s="92">
        <f t="shared" si="199"/>
        <v>20</v>
      </c>
      <c r="AF77" s="100">
        <f t="shared" si="200"/>
        <v>222</v>
      </c>
      <c r="AG77" s="100">
        <f t="shared" si="201"/>
        <v>222</v>
      </c>
      <c r="AH77" s="91">
        <f t="shared" si="202"/>
        <v>74</v>
      </c>
      <c r="AI77" s="91">
        <f t="shared" si="203"/>
        <v>1480</v>
      </c>
      <c r="AJ77" s="101">
        <v>1</v>
      </c>
      <c r="AK77" s="102">
        <f t="shared" si="204"/>
        <v>7.4</v>
      </c>
    </row>
    <row r="78" spans="2:37">
      <c r="B78" s="6">
        <v>75</v>
      </c>
      <c r="C78" s="81">
        <f t="shared" si="182"/>
        <v>75</v>
      </c>
      <c r="D78" s="82">
        <f t="shared" si="183"/>
        <v>70</v>
      </c>
      <c r="E78" s="83">
        <v>1</v>
      </c>
      <c r="F78" s="83">
        <v>1</v>
      </c>
      <c r="G78" s="84">
        <f t="shared" si="137"/>
        <v>75</v>
      </c>
      <c r="H78" s="85">
        <v>9</v>
      </c>
      <c r="I78" s="85">
        <v>7</v>
      </c>
      <c r="J78" s="86">
        <v>75</v>
      </c>
      <c r="K78" s="86">
        <f t="shared" si="206"/>
        <v>75</v>
      </c>
      <c r="L78" s="86">
        <v>5</v>
      </c>
      <c r="M78" s="89">
        <v>16</v>
      </c>
      <c r="N78" s="86"/>
      <c r="O78" s="90">
        <f t="shared" si="185"/>
        <v>75</v>
      </c>
      <c r="P78" s="91">
        <f t="shared" si="186"/>
        <v>70</v>
      </c>
      <c r="Q78" s="92">
        <f t="shared" si="187"/>
        <v>20</v>
      </c>
      <c r="R78" s="92">
        <f t="shared" si="188"/>
        <v>30</v>
      </c>
      <c r="S78" s="93">
        <f t="shared" si="189"/>
        <v>1500</v>
      </c>
      <c r="T78" s="94">
        <f t="shared" si="190"/>
        <v>270</v>
      </c>
      <c r="U78" s="94">
        <f t="shared" si="191"/>
        <v>270</v>
      </c>
      <c r="V78" s="12">
        <f t="shared" si="192"/>
        <v>75</v>
      </c>
      <c r="W78" s="12">
        <f t="shared" si="193"/>
        <v>52.5</v>
      </c>
      <c r="X78" s="12">
        <v>2</v>
      </c>
      <c r="Y78" s="97">
        <f t="shared" si="194"/>
        <v>11</v>
      </c>
      <c r="Z78" s="98"/>
      <c r="AA78" s="99">
        <f t="shared" si="195"/>
        <v>75</v>
      </c>
      <c r="AB78" s="91">
        <f t="shared" si="196"/>
        <v>75</v>
      </c>
      <c r="AC78" s="92">
        <f t="shared" si="197"/>
        <v>20</v>
      </c>
      <c r="AD78" s="92">
        <f t="shared" si="198"/>
        <v>30</v>
      </c>
      <c r="AE78" s="92">
        <f t="shared" si="199"/>
        <v>20</v>
      </c>
      <c r="AF78" s="100">
        <f t="shared" si="200"/>
        <v>225</v>
      </c>
      <c r="AG78" s="100">
        <f t="shared" si="201"/>
        <v>225</v>
      </c>
      <c r="AH78" s="91">
        <f t="shared" si="202"/>
        <v>75</v>
      </c>
      <c r="AI78" s="91">
        <f t="shared" si="203"/>
        <v>1500</v>
      </c>
      <c r="AJ78" s="101">
        <v>1</v>
      </c>
      <c r="AK78" s="102">
        <f t="shared" si="204"/>
        <v>7.5</v>
      </c>
    </row>
    <row r="79" spans="2:37">
      <c r="B79" s="6">
        <v>76</v>
      </c>
      <c r="C79" s="81">
        <f t="shared" si="182"/>
        <v>76</v>
      </c>
      <c r="D79" s="82">
        <f t="shared" si="183"/>
        <v>70</v>
      </c>
      <c r="E79" s="83">
        <v>1</v>
      </c>
      <c r="F79" s="83">
        <v>1</v>
      </c>
      <c r="G79" s="84">
        <f t="shared" si="137"/>
        <v>76</v>
      </c>
      <c r="H79" s="85">
        <v>9</v>
      </c>
      <c r="I79" s="85">
        <v>7</v>
      </c>
      <c r="J79" s="86">
        <v>76</v>
      </c>
      <c r="K79" s="86">
        <f t="shared" si="206"/>
        <v>76</v>
      </c>
      <c r="L79" s="86">
        <v>5</v>
      </c>
      <c r="M79" s="89">
        <v>16</v>
      </c>
      <c r="N79" s="86"/>
      <c r="O79" s="90">
        <f t="shared" si="185"/>
        <v>76</v>
      </c>
      <c r="P79" s="91">
        <f t="shared" si="186"/>
        <v>70</v>
      </c>
      <c r="Q79" s="92">
        <f t="shared" si="187"/>
        <v>20</v>
      </c>
      <c r="R79" s="92">
        <f t="shared" si="188"/>
        <v>30</v>
      </c>
      <c r="S79" s="93">
        <f t="shared" si="189"/>
        <v>1520</v>
      </c>
      <c r="T79" s="94">
        <f t="shared" si="190"/>
        <v>270</v>
      </c>
      <c r="U79" s="94">
        <f t="shared" si="191"/>
        <v>270</v>
      </c>
      <c r="V79" s="12">
        <f t="shared" si="192"/>
        <v>76</v>
      </c>
      <c r="W79" s="12">
        <f t="shared" si="193"/>
        <v>53.199999999999996</v>
      </c>
      <c r="X79" s="12">
        <v>2</v>
      </c>
      <c r="Y79" s="97">
        <f t="shared" si="194"/>
        <v>11</v>
      </c>
      <c r="Z79" s="98"/>
      <c r="AA79" s="99">
        <f t="shared" si="195"/>
        <v>76</v>
      </c>
      <c r="AB79" s="91">
        <f t="shared" si="196"/>
        <v>76</v>
      </c>
      <c r="AC79" s="92">
        <f t="shared" si="197"/>
        <v>20</v>
      </c>
      <c r="AD79" s="92">
        <f t="shared" si="198"/>
        <v>30</v>
      </c>
      <c r="AE79" s="92">
        <f t="shared" si="199"/>
        <v>20</v>
      </c>
      <c r="AF79" s="100">
        <f t="shared" si="200"/>
        <v>228.00000000000003</v>
      </c>
      <c r="AG79" s="100">
        <f t="shared" si="201"/>
        <v>228.00000000000003</v>
      </c>
      <c r="AH79" s="91">
        <f t="shared" si="202"/>
        <v>76</v>
      </c>
      <c r="AI79" s="91">
        <f t="shared" si="203"/>
        <v>1520</v>
      </c>
      <c r="AJ79" s="101">
        <v>1</v>
      </c>
      <c r="AK79" s="102">
        <f t="shared" si="204"/>
        <v>7.6000000000000005</v>
      </c>
    </row>
    <row r="80" spans="2:37">
      <c r="B80" s="6">
        <v>77</v>
      </c>
      <c r="C80" s="81">
        <f t="shared" si="182"/>
        <v>77</v>
      </c>
      <c r="D80" s="82">
        <f t="shared" si="183"/>
        <v>70</v>
      </c>
      <c r="E80" s="83">
        <v>1</v>
      </c>
      <c r="F80" s="83">
        <v>1</v>
      </c>
      <c r="G80" s="84">
        <f t="shared" si="137"/>
        <v>77</v>
      </c>
      <c r="H80" s="85">
        <v>9</v>
      </c>
      <c r="I80" s="85">
        <v>7</v>
      </c>
      <c r="J80" s="86">
        <v>77</v>
      </c>
      <c r="K80" s="86">
        <f t="shared" si="206"/>
        <v>77</v>
      </c>
      <c r="L80" s="86">
        <v>5</v>
      </c>
      <c r="M80" s="89">
        <v>16</v>
      </c>
      <c r="N80" s="86"/>
      <c r="O80" s="90">
        <f t="shared" si="185"/>
        <v>77</v>
      </c>
      <c r="P80" s="91">
        <f t="shared" si="186"/>
        <v>70</v>
      </c>
      <c r="Q80" s="92">
        <f t="shared" si="187"/>
        <v>20</v>
      </c>
      <c r="R80" s="92">
        <f t="shared" si="188"/>
        <v>30</v>
      </c>
      <c r="S80" s="93">
        <f t="shared" si="189"/>
        <v>1540</v>
      </c>
      <c r="T80" s="94">
        <f t="shared" si="190"/>
        <v>270</v>
      </c>
      <c r="U80" s="94">
        <f t="shared" si="191"/>
        <v>270</v>
      </c>
      <c r="V80" s="12">
        <f t="shared" si="192"/>
        <v>77</v>
      </c>
      <c r="W80" s="12">
        <f t="shared" si="193"/>
        <v>53.9</v>
      </c>
      <c r="X80" s="12">
        <v>2</v>
      </c>
      <c r="Y80" s="97">
        <f t="shared" si="194"/>
        <v>11</v>
      </c>
      <c r="Z80" s="98"/>
      <c r="AA80" s="99">
        <f t="shared" si="195"/>
        <v>77</v>
      </c>
      <c r="AB80" s="91">
        <f t="shared" si="196"/>
        <v>77</v>
      </c>
      <c r="AC80" s="92">
        <f t="shared" si="197"/>
        <v>20</v>
      </c>
      <c r="AD80" s="92">
        <f t="shared" si="198"/>
        <v>30</v>
      </c>
      <c r="AE80" s="92">
        <f t="shared" si="199"/>
        <v>20</v>
      </c>
      <c r="AF80" s="100">
        <f t="shared" si="200"/>
        <v>231</v>
      </c>
      <c r="AG80" s="100">
        <f t="shared" si="201"/>
        <v>231</v>
      </c>
      <c r="AH80" s="91">
        <f t="shared" si="202"/>
        <v>77</v>
      </c>
      <c r="AI80" s="91">
        <f t="shared" si="203"/>
        <v>1540</v>
      </c>
      <c r="AJ80" s="101">
        <v>1</v>
      </c>
      <c r="AK80" s="102">
        <f t="shared" si="204"/>
        <v>7.7</v>
      </c>
    </row>
    <row r="81" spans="2:37">
      <c r="B81" s="6">
        <v>78</v>
      </c>
      <c r="C81" s="81">
        <f t="shared" si="182"/>
        <v>78</v>
      </c>
      <c r="D81" s="82">
        <f t="shared" si="183"/>
        <v>70</v>
      </c>
      <c r="E81" s="83">
        <v>1</v>
      </c>
      <c r="F81" s="83">
        <v>1</v>
      </c>
      <c r="G81" s="84">
        <f t="shared" si="137"/>
        <v>78</v>
      </c>
      <c r="H81" s="85">
        <v>9</v>
      </c>
      <c r="I81" s="85">
        <v>7</v>
      </c>
      <c r="J81" s="86">
        <v>78</v>
      </c>
      <c r="K81" s="86">
        <f t="shared" si="206"/>
        <v>78</v>
      </c>
      <c r="L81" s="86">
        <v>5</v>
      </c>
      <c r="M81" s="89">
        <v>16</v>
      </c>
      <c r="N81" s="86"/>
      <c r="O81" s="90">
        <f t="shared" si="185"/>
        <v>78</v>
      </c>
      <c r="P81" s="91">
        <f t="shared" si="186"/>
        <v>70</v>
      </c>
      <c r="Q81" s="92">
        <f t="shared" si="187"/>
        <v>20</v>
      </c>
      <c r="R81" s="92">
        <f t="shared" si="188"/>
        <v>30</v>
      </c>
      <c r="S81" s="93">
        <f t="shared" si="189"/>
        <v>1560</v>
      </c>
      <c r="T81" s="94">
        <f t="shared" si="190"/>
        <v>270</v>
      </c>
      <c r="U81" s="94">
        <f t="shared" si="191"/>
        <v>270</v>
      </c>
      <c r="V81" s="12">
        <f t="shared" si="192"/>
        <v>78</v>
      </c>
      <c r="W81" s="12">
        <f t="shared" si="193"/>
        <v>54.599999999999994</v>
      </c>
      <c r="X81" s="12">
        <v>2</v>
      </c>
      <c r="Y81" s="97">
        <f t="shared" si="194"/>
        <v>11</v>
      </c>
      <c r="Z81" s="98"/>
      <c r="AA81" s="99">
        <f t="shared" si="195"/>
        <v>78</v>
      </c>
      <c r="AB81" s="91">
        <f t="shared" si="196"/>
        <v>78</v>
      </c>
      <c r="AC81" s="92">
        <f t="shared" si="197"/>
        <v>20</v>
      </c>
      <c r="AD81" s="92">
        <f t="shared" si="198"/>
        <v>30</v>
      </c>
      <c r="AE81" s="92">
        <f t="shared" si="199"/>
        <v>20</v>
      </c>
      <c r="AF81" s="100">
        <f t="shared" si="200"/>
        <v>234.00000000000003</v>
      </c>
      <c r="AG81" s="100">
        <f t="shared" si="201"/>
        <v>234.00000000000003</v>
      </c>
      <c r="AH81" s="91">
        <f t="shared" si="202"/>
        <v>78</v>
      </c>
      <c r="AI81" s="91">
        <f t="shared" si="203"/>
        <v>1560</v>
      </c>
      <c r="AJ81" s="101">
        <v>1</v>
      </c>
      <c r="AK81" s="102">
        <f t="shared" si="204"/>
        <v>7.8000000000000007</v>
      </c>
    </row>
    <row r="82" spans="2:37">
      <c r="B82" s="6">
        <v>79</v>
      </c>
      <c r="C82" s="81">
        <f t="shared" si="182"/>
        <v>79</v>
      </c>
      <c r="D82" s="82">
        <f t="shared" si="183"/>
        <v>70</v>
      </c>
      <c r="E82" s="83">
        <v>1</v>
      </c>
      <c r="F82" s="83">
        <v>1</v>
      </c>
      <c r="G82" s="84">
        <f t="shared" si="137"/>
        <v>79</v>
      </c>
      <c r="H82" s="85">
        <v>9</v>
      </c>
      <c r="I82" s="85">
        <v>7</v>
      </c>
      <c r="J82" s="86">
        <v>79</v>
      </c>
      <c r="K82" s="86">
        <f t="shared" si="206"/>
        <v>79</v>
      </c>
      <c r="L82" s="86">
        <v>5</v>
      </c>
      <c r="M82" s="89">
        <v>16</v>
      </c>
      <c r="N82" s="86"/>
      <c r="O82" s="90">
        <f t="shared" si="185"/>
        <v>79</v>
      </c>
      <c r="P82" s="91">
        <f t="shared" si="186"/>
        <v>70</v>
      </c>
      <c r="Q82" s="92">
        <f t="shared" si="187"/>
        <v>20</v>
      </c>
      <c r="R82" s="92">
        <f t="shared" si="188"/>
        <v>30</v>
      </c>
      <c r="S82" s="93">
        <f t="shared" si="189"/>
        <v>1580</v>
      </c>
      <c r="T82" s="94">
        <f t="shared" si="190"/>
        <v>270</v>
      </c>
      <c r="U82" s="94">
        <f t="shared" si="191"/>
        <v>270</v>
      </c>
      <c r="V82" s="12">
        <f t="shared" si="192"/>
        <v>79</v>
      </c>
      <c r="W82" s="12">
        <f t="shared" si="193"/>
        <v>55.3</v>
      </c>
      <c r="X82" s="12">
        <v>2</v>
      </c>
      <c r="Y82" s="97">
        <f t="shared" si="194"/>
        <v>11</v>
      </c>
      <c r="Z82" s="98"/>
      <c r="AA82" s="99">
        <f t="shared" si="195"/>
        <v>79</v>
      </c>
      <c r="AB82" s="91">
        <f t="shared" si="196"/>
        <v>79</v>
      </c>
      <c r="AC82" s="92">
        <f t="shared" si="197"/>
        <v>20</v>
      </c>
      <c r="AD82" s="92">
        <f t="shared" si="198"/>
        <v>30</v>
      </c>
      <c r="AE82" s="92">
        <f t="shared" si="199"/>
        <v>20</v>
      </c>
      <c r="AF82" s="100">
        <f t="shared" si="200"/>
        <v>237</v>
      </c>
      <c r="AG82" s="100">
        <f t="shared" si="201"/>
        <v>237</v>
      </c>
      <c r="AH82" s="91">
        <f t="shared" si="202"/>
        <v>79</v>
      </c>
      <c r="AI82" s="91">
        <f t="shared" si="203"/>
        <v>1580</v>
      </c>
      <c r="AJ82" s="101">
        <v>1</v>
      </c>
      <c r="AK82" s="102">
        <f t="shared" si="204"/>
        <v>7.9</v>
      </c>
    </row>
    <row r="83" spans="2:37">
      <c r="B83" s="6">
        <v>80</v>
      </c>
      <c r="C83" s="81">
        <f t="shared" si="182"/>
        <v>80</v>
      </c>
      <c r="D83" s="82">
        <f t="shared" si="183"/>
        <v>80</v>
      </c>
      <c r="E83" s="83">
        <v>1</v>
      </c>
      <c r="F83" s="83">
        <v>1</v>
      </c>
      <c r="G83" s="84">
        <f t="shared" si="137"/>
        <v>80</v>
      </c>
      <c r="H83" s="85">
        <v>9</v>
      </c>
      <c r="I83" s="85">
        <v>7</v>
      </c>
      <c r="J83" s="86">
        <v>80</v>
      </c>
      <c r="K83" s="86">
        <f t="shared" si="206"/>
        <v>80</v>
      </c>
      <c r="L83" s="86">
        <v>5</v>
      </c>
      <c r="M83" s="89">
        <v>18</v>
      </c>
      <c r="N83" s="86"/>
      <c r="O83" s="90">
        <f t="shared" si="185"/>
        <v>80</v>
      </c>
      <c r="P83" s="91">
        <f t="shared" si="186"/>
        <v>80</v>
      </c>
      <c r="Q83" s="92">
        <f t="shared" si="187"/>
        <v>20</v>
      </c>
      <c r="R83" s="92">
        <f t="shared" si="188"/>
        <v>30</v>
      </c>
      <c r="S83" s="93">
        <f t="shared" si="189"/>
        <v>1600</v>
      </c>
      <c r="T83" s="94">
        <f t="shared" si="190"/>
        <v>270</v>
      </c>
      <c r="U83" s="94">
        <f t="shared" si="191"/>
        <v>270</v>
      </c>
      <c r="V83" s="12">
        <f t="shared" si="192"/>
        <v>80</v>
      </c>
      <c r="W83" s="12">
        <f t="shared" si="193"/>
        <v>56</v>
      </c>
      <c r="X83" s="12">
        <v>3</v>
      </c>
      <c r="Y83" s="97">
        <f t="shared" si="194"/>
        <v>13</v>
      </c>
      <c r="Z83" s="98"/>
      <c r="AA83" s="99">
        <f t="shared" si="195"/>
        <v>80</v>
      </c>
      <c r="AB83" s="91">
        <f t="shared" si="196"/>
        <v>80</v>
      </c>
      <c r="AC83" s="92">
        <f t="shared" si="197"/>
        <v>20</v>
      </c>
      <c r="AD83" s="92">
        <f t="shared" si="198"/>
        <v>30</v>
      </c>
      <c r="AE83" s="92">
        <f t="shared" si="199"/>
        <v>20</v>
      </c>
      <c r="AF83" s="100">
        <f t="shared" si="200"/>
        <v>240</v>
      </c>
      <c r="AG83" s="100">
        <f t="shared" si="201"/>
        <v>240</v>
      </c>
      <c r="AH83" s="91">
        <f t="shared" si="202"/>
        <v>80</v>
      </c>
      <c r="AI83" s="91">
        <f t="shared" si="203"/>
        <v>1600</v>
      </c>
      <c r="AJ83" s="101">
        <v>1</v>
      </c>
      <c r="AK83" s="102">
        <f t="shared" si="204"/>
        <v>8</v>
      </c>
    </row>
    <row r="84" spans="2:37">
      <c r="B84" s="6">
        <v>81</v>
      </c>
      <c r="C84" s="81">
        <f t="shared" si="182"/>
        <v>81</v>
      </c>
      <c r="D84" s="82">
        <f t="shared" si="183"/>
        <v>80</v>
      </c>
      <c r="E84" s="83">
        <v>1</v>
      </c>
      <c r="F84" s="83">
        <v>1</v>
      </c>
      <c r="G84" s="84">
        <f t="shared" si="137"/>
        <v>81</v>
      </c>
      <c r="H84" s="85">
        <v>9</v>
      </c>
      <c r="I84" s="85">
        <v>7</v>
      </c>
      <c r="J84" s="86">
        <v>81</v>
      </c>
      <c r="K84" s="86">
        <f t="shared" si="206"/>
        <v>81</v>
      </c>
      <c r="L84" s="86">
        <v>5</v>
      </c>
      <c r="M84" s="89">
        <v>18</v>
      </c>
      <c r="N84" s="86"/>
      <c r="O84" s="90">
        <f t="shared" si="185"/>
        <v>81</v>
      </c>
      <c r="P84" s="91">
        <f t="shared" si="186"/>
        <v>80</v>
      </c>
      <c r="Q84" s="92">
        <f t="shared" si="187"/>
        <v>20</v>
      </c>
      <c r="R84" s="92">
        <f t="shared" si="188"/>
        <v>30</v>
      </c>
      <c r="S84" s="93">
        <f t="shared" si="189"/>
        <v>1620</v>
      </c>
      <c r="T84" s="94">
        <f t="shared" si="190"/>
        <v>270</v>
      </c>
      <c r="U84" s="94">
        <f t="shared" si="191"/>
        <v>270</v>
      </c>
      <c r="V84" s="12">
        <f t="shared" si="192"/>
        <v>81</v>
      </c>
      <c r="W84" s="12">
        <f t="shared" si="193"/>
        <v>56.699999999999996</v>
      </c>
      <c r="X84" s="12">
        <v>3</v>
      </c>
      <c r="Y84" s="97">
        <f t="shared" si="194"/>
        <v>13</v>
      </c>
      <c r="Z84" s="98"/>
      <c r="AA84" s="99">
        <f t="shared" si="195"/>
        <v>81</v>
      </c>
      <c r="AB84" s="91">
        <f t="shared" si="196"/>
        <v>81</v>
      </c>
      <c r="AC84" s="92">
        <f t="shared" si="197"/>
        <v>20</v>
      </c>
      <c r="AD84" s="92">
        <f t="shared" si="198"/>
        <v>30</v>
      </c>
      <c r="AE84" s="92">
        <f t="shared" si="199"/>
        <v>20</v>
      </c>
      <c r="AF84" s="100">
        <f t="shared" si="200"/>
        <v>243</v>
      </c>
      <c r="AG84" s="100">
        <f t="shared" si="201"/>
        <v>243</v>
      </c>
      <c r="AH84" s="91">
        <f t="shared" si="202"/>
        <v>81</v>
      </c>
      <c r="AI84" s="91">
        <f t="shared" si="203"/>
        <v>1620</v>
      </c>
      <c r="AJ84" s="101">
        <v>1</v>
      </c>
      <c r="AK84" s="102">
        <f t="shared" si="204"/>
        <v>8.1</v>
      </c>
    </row>
    <row r="85" spans="2:37">
      <c r="B85" s="6">
        <v>82</v>
      </c>
      <c r="C85" s="81">
        <f t="shared" si="182"/>
        <v>82</v>
      </c>
      <c r="D85" s="82">
        <f t="shared" si="183"/>
        <v>80</v>
      </c>
      <c r="E85" s="83">
        <v>1</v>
      </c>
      <c r="F85" s="83">
        <v>1</v>
      </c>
      <c r="G85" s="84">
        <f t="shared" ref="G85" si="207">B85</f>
        <v>82</v>
      </c>
      <c r="H85" s="85">
        <v>9</v>
      </c>
      <c r="I85" s="85">
        <v>7</v>
      </c>
      <c r="J85" s="86">
        <v>82</v>
      </c>
      <c r="K85" s="86">
        <f t="shared" si="206"/>
        <v>82</v>
      </c>
      <c r="L85" s="86">
        <v>5</v>
      </c>
      <c r="M85" s="89">
        <v>18</v>
      </c>
      <c r="N85" s="86"/>
      <c r="O85" s="90">
        <f t="shared" si="185"/>
        <v>82</v>
      </c>
      <c r="P85" s="91">
        <f t="shared" si="186"/>
        <v>80</v>
      </c>
      <c r="Q85" s="92">
        <f t="shared" si="187"/>
        <v>20</v>
      </c>
      <c r="R85" s="92">
        <f t="shared" si="188"/>
        <v>30</v>
      </c>
      <c r="S85" s="93">
        <f t="shared" si="189"/>
        <v>1640</v>
      </c>
      <c r="T85" s="94">
        <f t="shared" si="190"/>
        <v>270</v>
      </c>
      <c r="U85" s="94">
        <f t="shared" si="191"/>
        <v>270</v>
      </c>
      <c r="V85" s="12">
        <f t="shared" si="192"/>
        <v>82</v>
      </c>
      <c r="W85" s="12">
        <f t="shared" si="193"/>
        <v>57.4</v>
      </c>
      <c r="X85" s="12">
        <v>3</v>
      </c>
      <c r="Y85" s="97">
        <f t="shared" si="194"/>
        <v>13</v>
      </c>
      <c r="Z85" s="98"/>
      <c r="AA85" s="99">
        <f t="shared" si="195"/>
        <v>82</v>
      </c>
      <c r="AB85" s="91">
        <f t="shared" si="196"/>
        <v>82</v>
      </c>
      <c r="AC85" s="92">
        <f t="shared" si="197"/>
        <v>20</v>
      </c>
      <c r="AD85" s="92">
        <f t="shared" si="198"/>
        <v>30</v>
      </c>
      <c r="AE85" s="92">
        <f t="shared" si="199"/>
        <v>20</v>
      </c>
      <c r="AF85" s="100">
        <f t="shared" si="200"/>
        <v>246.00000000000003</v>
      </c>
      <c r="AG85" s="100">
        <f t="shared" si="201"/>
        <v>246.00000000000003</v>
      </c>
      <c r="AH85" s="91">
        <f t="shared" si="202"/>
        <v>82</v>
      </c>
      <c r="AI85" s="91">
        <f t="shared" si="203"/>
        <v>1640</v>
      </c>
      <c r="AJ85" s="101">
        <v>1</v>
      </c>
      <c r="AK85" s="102">
        <f t="shared" si="204"/>
        <v>8.2000000000000011</v>
      </c>
    </row>
    <row r="86" spans="2:37">
      <c r="B86" s="6">
        <v>83</v>
      </c>
      <c r="C86" s="81">
        <f t="shared" si="182"/>
        <v>83</v>
      </c>
      <c r="D86" s="82">
        <f t="shared" si="183"/>
        <v>80</v>
      </c>
      <c r="E86" s="83">
        <v>1</v>
      </c>
      <c r="F86" s="83">
        <v>1</v>
      </c>
      <c r="G86" s="84">
        <f t="shared" ref="G86" si="208">B86</f>
        <v>83</v>
      </c>
      <c r="H86" s="85">
        <v>9</v>
      </c>
      <c r="I86" s="85">
        <v>7</v>
      </c>
      <c r="J86" s="86">
        <v>83</v>
      </c>
      <c r="K86" s="86">
        <f t="shared" si="206"/>
        <v>83</v>
      </c>
      <c r="L86" s="86">
        <v>5</v>
      </c>
      <c r="M86" s="89">
        <v>18</v>
      </c>
      <c r="N86" s="86"/>
      <c r="O86" s="90">
        <f t="shared" si="185"/>
        <v>83</v>
      </c>
      <c r="P86" s="91">
        <f t="shared" si="186"/>
        <v>80</v>
      </c>
      <c r="Q86" s="92">
        <f t="shared" si="187"/>
        <v>20</v>
      </c>
      <c r="R86" s="92">
        <f t="shared" si="188"/>
        <v>30</v>
      </c>
      <c r="S86" s="93">
        <f t="shared" si="189"/>
        <v>1660</v>
      </c>
      <c r="T86" s="94">
        <f t="shared" si="190"/>
        <v>270</v>
      </c>
      <c r="U86" s="94">
        <f t="shared" si="191"/>
        <v>270</v>
      </c>
      <c r="V86" s="12">
        <f t="shared" si="192"/>
        <v>83</v>
      </c>
      <c r="W86" s="12">
        <f t="shared" si="193"/>
        <v>58.099999999999994</v>
      </c>
      <c r="X86" s="12">
        <v>3</v>
      </c>
      <c r="Y86" s="97">
        <f t="shared" si="194"/>
        <v>13</v>
      </c>
      <c r="Z86" s="98"/>
      <c r="AA86" s="99">
        <f t="shared" si="195"/>
        <v>83</v>
      </c>
      <c r="AB86" s="91">
        <f t="shared" si="196"/>
        <v>83</v>
      </c>
      <c r="AC86" s="92">
        <f t="shared" si="197"/>
        <v>20</v>
      </c>
      <c r="AD86" s="92">
        <f t="shared" si="198"/>
        <v>30</v>
      </c>
      <c r="AE86" s="92">
        <f t="shared" si="199"/>
        <v>20</v>
      </c>
      <c r="AF86" s="100">
        <f t="shared" si="200"/>
        <v>249.00000000000003</v>
      </c>
      <c r="AG86" s="100">
        <f t="shared" si="201"/>
        <v>249.00000000000003</v>
      </c>
      <c r="AH86" s="91">
        <f t="shared" si="202"/>
        <v>83</v>
      </c>
      <c r="AI86" s="91">
        <f t="shared" si="203"/>
        <v>1660</v>
      </c>
      <c r="AJ86" s="101">
        <v>1</v>
      </c>
      <c r="AK86" s="102">
        <f t="shared" si="204"/>
        <v>8.3000000000000007</v>
      </c>
    </row>
    <row r="87" spans="2:37">
      <c r="B87" s="6">
        <v>84</v>
      </c>
      <c r="C87" s="81">
        <f t="shared" si="182"/>
        <v>84</v>
      </c>
      <c r="D87" s="82">
        <f t="shared" si="183"/>
        <v>80</v>
      </c>
      <c r="E87" s="83">
        <v>1</v>
      </c>
      <c r="F87" s="83">
        <v>1</v>
      </c>
      <c r="G87" s="84">
        <f t="shared" ref="G87:G116" si="209">B87</f>
        <v>84</v>
      </c>
      <c r="H87" s="85">
        <v>9</v>
      </c>
      <c r="I87" s="85">
        <v>7</v>
      </c>
      <c r="J87" s="86">
        <v>84</v>
      </c>
      <c r="K87" s="86">
        <f t="shared" si="206"/>
        <v>84</v>
      </c>
      <c r="L87" s="86">
        <v>5</v>
      </c>
      <c r="M87" s="89">
        <v>18</v>
      </c>
      <c r="N87" s="86"/>
      <c r="O87" s="90">
        <f t="shared" si="185"/>
        <v>84</v>
      </c>
      <c r="P87" s="91">
        <f t="shared" si="186"/>
        <v>80</v>
      </c>
      <c r="Q87" s="92">
        <f t="shared" si="187"/>
        <v>20</v>
      </c>
      <c r="R87" s="92">
        <f t="shared" si="188"/>
        <v>30</v>
      </c>
      <c r="S87" s="93">
        <f t="shared" si="189"/>
        <v>1680</v>
      </c>
      <c r="T87" s="94">
        <f t="shared" si="190"/>
        <v>270</v>
      </c>
      <c r="U87" s="94">
        <f t="shared" si="191"/>
        <v>270</v>
      </c>
      <c r="V87" s="12">
        <f t="shared" si="192"/>
        <v>84</v>
      </c>
      <c r="W87" s="12">
        <f t="shared" si="193"/>
        <v>58.8</v>
      </c>
      <c r="X87" s="12">
        <v>3</v>
      </c>
      <c r="Y87" s="97">
        <f t="shared" si="194"/>
        <v>13</v>
      </c>
      <c r="Z87" s="98"/>
      <c r="AA87" s="99">
        <f t="shared" si="195"/>
        <v>84</v>
      </c>
      <c r="AB87" s="91">
        <f t="shared" si="196"/>
        <v>84</v>
      </c>
      <c r="AC87" s="92">
        <f t="shared" si="197"/>
        <v>20</v>
      </c>
      <c r="AD87" s="92">
        <f t="shared" si="198"/>
        <v>30</v>
      </c>
      <c r="AE87" s="92">
        <f t="shared" si="199"/>
        <v>20</v>
      </c>
      <c r="AF87" s="100">
        <f t="shared" si="200"/>
        <v>252</v>
      </c>
      <c r="AG87" s="100">
        <f t="shared" si="201"/>
        <v>252</v>
      </c>
      <c r="AH87" s="91">
        <f t="shared" si="202"/>
        <v>84</v>
      </c>
      <c r="AI87" s="91">
        <f t="shared" si="203"/>
        <v>1680</v>
      </c>
      <c r="AJ87" s="101">
        <v>1</v>
      </c>
      <c r="AK87" s="102">
        <f t="shared" si="204"/>
        <v>8.4</v>
      </c>
    </row>
    <row r="88" spans="2:37">
      <c r="B88" s="6">
        <v>85</v>
      </c>
      <c r="C88" s="81">
        <f t="shared" si="182"/>
        <v>85</v>
      </c>
      <c r="D88" s="82">
        <f t="shared" si="183"/>
        <v>80</v>
      </c>
      <c r="E88" s="83">
        <v>1</v>
      </c>
      <c r="F88" s="83">
        <v>1</v>
      </c>
      <c r="G88" s="84">
        <f t="shared" si="209"/>
        <v>85</v>
      </c>
      <c r="H88" s="85">
        <v>9</v>
      </c>
      <c r="I88" s="85">
        <v>7</v>
      </c>
      <c r="J88" s="86">
        <v>85</v>
      </c>
      <c r="K88" s="86">
        <f t="shared" si="206"/>
        <v>85</v>
      </c>
      <c r="L88" s="86">
        <v>5</v>
      </c>
      <c r="M88" s="89">
        <v>20</v>
      </c>
      <c r="N88" s="86"/>
      <c r="O88" s="90">
        <f t="shared" si="185"/>
        <v>85</v>
      </c>
      <c r="P88" s="91">
        <f t="shared" si="186"/>
        <v>80</v>
      </c>
      <c r="Q88" s="92">
        <f t="shared" si="187"/>
        <v>20</v>
      </c>
      <c r="R88" s="92">
        <f t="shared" si="188"/>
        <v>30</v>
      </c>
      <c r="S88" s="93">
        <f t="shared" si="189"/>
        <v>1700</v>
      </c>
      <c r="T88" s="94">
        <f t="shared" si="190"/>
        <v>270</v>
      </c>
      <c r="U88" s="94">
        <f t="shared" si="191"/>
        <v>270</v>
      </c>
      <c r="V88" s="12">
        <f t="shared" si="192"/>
        <v>85</v>
      </c>
      <c r="W88" s="12">
        <f t="shared" si="193"/>
        <v>59.499999999999993</v>
      </c>
      <c r="X88" s="12">
        <v>3</v>
      </c>
      <c r="Y88" s="97">
        <f t="shared" si="194"/>
        <v>14</v>
      </c>
      <c r="Z88" s="98"/>
      <c r="AA88" s="99">
        <f t="shared" si="195"/>
        <v>85</v>
      </c>
      <c r="AB88" s="91">
        <f t="shared" si="196"/>
        <v>85</v>
      </c>
      <c r="AC88" s="92">
        <f t="shared" si="197"/>
        <v>20</v>
      </c>
      <c r="AD88" s="92">
        <f t="shared" si="198"/>
        <v>30</v>
      </c>
      <c r="AE88" s="92">
        <f t="shared" si="199"/>
        <v>20</v>
      </c>
      <c r="AF88" s="100">
        <f t="shared" si="200"/>
        <v>255</v>
      </c>
      <c r="AG88" s="100">
        <f t="shared" si="201"/>
        <v>255</v>
      </c>
      <c r="AH88" s="91">
        <f t="shared" si="202"/>
        <v>85</v>
      </c>
      <c r="AI88" s="91">
        <f t="shared" si="203"/>
        <v>1700</v>
      </c>
      <c r="AJ88" s="101">
        <v>1</v>
      </c>
      <c r="AK88" s="102">
        <f t="shared" si="204"/>
        <v>8.5</v>
      </c>
    </row>
    <row r="89" spans="2:37">
      <c r="B89" s="6">
        <v>86</v>
      </c>
      <c r="C89" s="81">
        <f t="shared" si="182"/>
        <v>86</v>
      </c>
      <c r="D89" s="82">
        <f t="shared" si="183"/>
        <v>80</v>
      </c>
      <c r="E89" s="83">
        <v>1</v>
      </c>
      <c r="F89" s="83">
        <v>1</v>
      </c>
      <c r="G89" s="84">
        <f t="shared" si="209"/>
        <v>86</v>
      </c>
      <c r="H89" s="85">
        <v>9</v>
      </c>
      <c r="I89" s="85">
        <v>7</v>
      </c>
      <c r="J89" s="86">
        <v>86</v>
      </c>
      <c r="K89" s="86">
        <f t="shared" si="206"/>
        <v>86</v>
      </c>
      <c r="L89" s="86">
        <v>5</v>
      </c>
      <c r="M89" s="89">
        <v>20</v>
      </c>
      <c r="N89" s="86"/>
      <c r="O89" s="90">
        <f t="shared" si="185"/>
        <v>86</v>
      </c>
      <c r="P89" s="91">
        <f t="shared" si="186"/>
        <v>80</v>
      </c>
      <c r="Q89" s="92">
        <f t="shared" si="187"/>
        <v>20</v>
      </c>
      <c r="R89" s="92">
        <f t="shared" si="188"/>
        <v>30</v>
      </c>
      <c r="S89" s="93">
        <f t="shared" si="189"/>
        <v>1720</v>
      </c>
      <c r="T89" s="94">
        <f t="shared" si="190"/>
        <v>270</v>
      </c>
      <c r="U89" s="94">
        <f t="shared" si="191"/>
        <v>270</v>
      </c>
      <c r="V89" s="12">
        <f t="shared" si="192"/>
        <v>86</v>
      </c>
      <c r="W89" s="12">
        <f t="shared" si="193"/>
        <v>60.199999999999996</v>
      </c>
      <c r="X89" s="12">
        <v>3</v>
      </c>
      <c r="Y89" s="97">
        <f t="shared" si="194"/>
        <v>14</v>
      </c>
      <c r="Z89" s="98"/>
      <c r="AA89" s="99">
        <f t="shared" si="195"/>
        <v>86</v>
      </c>
      <c r="AB89" s="91">
        <f t="shared" si="196"/>
        <v>86</v>
      </c>
      <c r="AC89" s="92">
        <f t="shared" si="197"/>
        <v>20</v>
      </c>
      <c r="AD89" s="92">
        <f t="shared" si="198"/>
        <v>30</v>
      </c>
      <c r="AE89" s="92">
        <f t="shared" si="199"/>
        <v>20</v>
      </c>
      <c r="AF89" s="100">
        <f t="shared" si="200"/>
        <v>258</v>
      </c>
      <c r="AG89" s="100">
        <f t="shared" si="201"/>
        <v>258</v>
      </c>
      <c r="AH89" s="91">
        <f t="shared" si="202"/>
        <v>86</v>
      </c>
      <c r="AI89" s="91">
        <f t="shared" si="203"/>
        <v>1720</v>
      </c>
      <c r="AJ89" s="101">
        <v>1</v>
      </c>
      <c r="AK89" s="102">
        <f t="shared" si="204"/>
        <v>8.6</v>
      </c>
    </row>
    <row r="90" spans="2:37">
      <c r="B90" s="6">
        <v>87</v>
      </c>
      <c r="C90" s="81">
        <f t="shared" si="182"/>
        <v>87</v>
      </c>
      <c r="D90" s="82">
        <f t="shared" si="183"/>
        <v>80</v>
      </c>
      <c r="E90" s="83">
        <v>1</v>
      </c>
      <c r="F90" s="83">
        <v>1</v>
      </c>
      <c r="G90" s="84">
        <f t="shared" si="209"/>
        <v>87</v>
      </c>
      <c r="H90" s="85">
        <v>9</v>
      </c>
      <c r="I90" s="85">
        <v>7</v>
      </c>
      <c r="J90" s="86">
        <v>87</v>
      </c>
      <c r="K90" s="86">
        <f t="shared" si="206"/>
        <v>87</v>
      </c>
      <c r="L90" s="86">
        <v>5</v>
      </c>
      <c r="M90" s="89">
        <v>20</v>
      </c>
      <c r="N90" s="86"/>
      <c r="O90" s="90">
        <f t="shared" si="185"/>
        <v>87</v>
      </c>
      <c r="P90" s="91">
        <f t="shared" si="186"/>
        <v>80</v>
      </c>
      <c r="Q90" s="92">
        <f t="shared" si="187"/>
        <v>20</v>
      </c>
      <c r="R90" s="92">
        <f t="shared" si="188"/>
        <v>30</v>
      </c>
      <c r="S90" s="93">
        <f t="shared" si="189"/>
        <v>1740</v>
      </c>
      <c r="T90" s="94">
        <f t="shared" si="190"/>
        <v>270</v>
      </c>
      <c r="U90" s="94">
        <f t="shared" si="191"/>
        <v>270</v>
      </c>
      <c r="V90" s="12">
        <f t="shared" si="192"/>
        <v>87</v>
      </c>
      <c r="W90" s="12">
        <f t="shared" si="193"/>
        <v>60.9</v>
      </c>
      <c r="X90" s="12">
        <v>3</v>
      </c>
      <c r="Y90" s="97">
        <f t="shared" si="194"/>
        <v>14</v>
      </c>
      <c r="Z90" s="98"/>
      <c r="AA90" s="99">
        <f t="shared" si="195"/>
        <v>87</v>
      </c>
      <c r="AB90" s="91">
        <f t="shared" si="196"/>
        <v>87</v>
      </c>
      <c r="AC90" s="92">
        <f t="shared" si="197"/>
        <v>20</v>
      </c>
      <c r="AD90" s="92">
        <f t="shared" si="198"/>
        <v>30</v>
      </c>
      <c r="AE90" s="92">
        <f t="shared" si="199"/>
        <v>20</v>
      </c>
      <c r="AF90" s="100">
        <f t="shared" si="200"/>
        <v>261.00000000000006</v>
      </c>
      <c r="AG90" s="100">
        <f t="shared" si="201"/>
        <v>261.00000000000006</v>
      </c>
      <c r="AH90" s="91">
        <f t="shared" si="202"/>
        <v>87</v>
      </c>
      <c r="AI90" s="91">
        <f t="shared" si="203"/>
        <v>1740</v>
      </c>
      <c r="AJ90" s="101">
        <v>1</v>
      </c>
      <c r="AK90" s="102">
        <f t="shared" si="204"/>
        <v>8.7000000000000011</v>
      </c>
    </row>
    <row r="91" spans="2:37">
      <c r="B91" s="6">
        <v>88</v>
      </c>
      <c r="C91" s="81">
        <f t="shared" si="182"/>
        <v>88</v>
      </c>
      <c r="D91" s="82">
        <f t="shared" si="183"/>
        <v>80</v>
      </c>
      <c r="E91" s="83">
        <v>1</v>
      </c>
      <c r="F91" s="83">
        <v>1</v>
      </c>
      <c r="G91" s="84">
        <f t="shared" si="209"/>
        <v>88</v>
      </c>
      <c r="H91" s="85">
        <v>9</v>
      </c>
      <c r="I91" s="85">
        <v>7</v>
      </c>
      <c r="J91" s="86">
        <v>88</v>
      </c>
      <c r="K91" s="86">
        <f t="shared" si="206"/>
        <v>88</v>
      </c>
      <c r="L91" s="86">
        <v>5</v>
      </c>
      <c r="M91" s="89">
        <v>20</v>
      </c>
      <c r="N91" s="86"/>
      <c r="O91" s="90">
        <f t="shared" si="185"/>
        <v>88</v>
      </c>
      <c r="P91" s="91">
        <f t="shared" si="186"/>
        <v>80</v>
      </c>
      <c r="Q91" s="92">
        <f t="shared" si="187"/>
        <v>20</v>
      </c>
      <c r="R91" s="92">
        <f t="shared" si="188"/>
        <v>30</v>
      </c>
      <c r="S91" s="93">
        <f t="shared" si="189"/>
        <v>1760</v>
      </c>
      <c r="T91" s="94">
        <f t="shared" si="190"/>
        <v>270</v>
      </c>
      <c r="U91" s="94">
        <f t="shared" si="191"/>
        <v>270</v>
      </c>
      <c r="V91" s="12">
        <f t="shared" si="192"/>
        <v>88</v>
      </c>
      <c r="W91" s="12">
        <f t="shared" si="193"/>
        <v>61.599999999999994</v>
      </c>
      <c r="X91" s="12">
        <v>3</v>
      </c>
      <c r="Y91" s="97">
        <f t="shared" si="194"/>
        <v>14</v>
      </c>
      <c r="Z91" s="98"/>
      <c r="AA91" s="99">
        <f t="shared" si="195"/>
        <v>88</v>
      </c>
      <c r="AB91" s="91">
        <f t="shared" si="196"/>
        <v>88</v>
      </c>
      <c r="AC91" s="92">
        <f t="shared" si="197"/>
        <v>20</v>
      </c>
      <c r="AD91" s="92">
        <f t="shared" si="198"/>
        <v>30</v>
      </c>
      <c r="AE91" s="92">
        <f t="shared" si="199"/>
        <v>20</v>
      </c>
      <c r="AF91" s="100">
        <f t="shared" si="200"/>
        <v>264</v>
      </c>
      <c r="AG91" s="100">
        <f t="shared" si="201"/>
        <v>264</v>
      </c>
      <c r="AH91" s="91">
        <f t="shared" si="202"/>
        <v>88</v>
      </c>
      <c r="AI91" s="91">
        <f t="shared" si="203"/>
        <v>1760</v>
      </c>
      <c r="AJ91" s="101">
        <v>1</v>
      </c>
      <c r="AK91" s="102">
        <f t="shared" si="204"/>
        <v>8.8000000000000007</v>
      </c>
    </row>
    <row r="92" spans="2:37">
      <c r="B92" s="6">
        <v>89</v>
      </c>
      <c r="C92" s="81">
        <f t="shared" si="182"/>
        <v>89</v>
      </c>
      <c r="D92" s="82">
        <f t="shared" si="183"/>
        <v>80</v>
      </c>
      <c r="E92" s="83">
        <v>1</v>
      </c>
      <c r="F92" s="83">
        <v>1</v>
      </c>
      <c r="G92" s="84">
        <f t="shared" si="209"/>
        <v>89</v>
      </c>
      <c r="H92" s="85">
        <v>9</v>
      </c>
      <c r="I92" s="85">
        <v>7</v>
      </c>
      <c r="J92" s="86">
        <v>89</v>
      </c>
      <c r="K92" s="86">
        <f t="shared" si="206"/>
        <v>89</v>
      </c>
      <c r="L92" s="86">
        <v>5</v>
      </c>
      <c r="M92" s="89">
        <v>20</v>
      </c>
      <c r="N92" s="86"/>
      <c r="O92" s="90">
        <f t="shared" si="185"/>
        <v>89</v>
      </c>
      <c r="P92" s="91">
        <f t="shared" si="186"/>
        <v>80</v>
      </c>
      <c r="Q92" s="92">
        <f t="shared" si="187"/>
        <v>20</v>
      </c>
      <c r="R92" s="92">
        <f t="shared" si="188"/>
        <v>30</v>
      </c>
      <c r="S92" s="93">
        <f t="shared" si="189"/>
        <v>1780</v>
      </c>
      <c r="T92" s="94">
        <f t="shared" si="190"/>
        <v>270</v>
      </c>
      <c r="U92" s="94">
        <f t="shared" si="191"/>
        <v>270</v>
      </c>
      <c r="V92" s="12">
        <f t="shared" si="192"/>
        <v>89</v>
      </c>
      <c r="W92" s="12">
        <f t="shared" si="193"/>
        <v>62.3</v>
      </c>
      <c r="X92" s="12">
        <v>3</v>
      </c>
      <c r="Y92" s="97">
        <f t="shared" si="194"/>
        <v>14</v>
      </c>
      <c r="Z92" s="98"/>
      <c r="AA92" s="99">
        <f t="shared" si="195"/>
        <v>89</v>
      </c>
      <c r="AB92" s="91">
        <f t="shared" si="196"/>
        <v>89</v>
      </c>
      <c r="AC92" s="92">
        <f t="shared" si="197"/>
        <v>20</v>
      </c>
      <c r="AD92" s="92">
        <f t="shared" si="198"/>
        <v>30</v>
      </c>
      <c r="AE92" s="92">
        <f t="shared" si="199"/>
        <v>20</v>
      </c>
      <c r="AF92" s="100">
        <f t="shared" si="200"/>
        <v>267</v>
      </c>
      <c r="AG92" s="100">
        <f t="shared" si="201"/>
        <v>267</v>
      </c>
      <c r="AH92" s="91">
        <f t="shared" si="202"/>
        <v>89</v>
      </c>
      <c r="AI92" s="91">
        <f t="shared" si="203"/>
        <v>1780</v>
      </c>
      <c r="AJ92" s="101">
        <v>1</v>
      </c>
      <c r="AK92" s="102">
        <f t="shared" si="204"/>
        <v>8.9</v>
      </c>
    </row>
    <row r="93" spans="2:37">
      <c r="B93" s="6">
        <v>90</v>
      </c>
      <c r="C93" s="81">
        <f t="shared" si="182"/>
        <v>90</v>
      </c>
      <c r="D93" s="82">
        <f t="shared" si="183"/>
        <v>90</v>
      </c>
      <c r="E93" s="83">
        <v>1</v>
      </c>
      <c r="F93" s="83">
        <v>1</v>
      </c>
      <c r="G93" s="84">
        <f t="shared" si="209"/>
        <v>90</v>
      </c>
      <c r="H93" s="85">
        <v>9</v>
      </c>
      <c r="I93" s="85">
        <v>7</v>
      </c>
      <c r="J93" s="86">
        <v>90</v>
      </c>
      <c r="K93" s="86">
        <f t="shared" si="206"/>
        <v>90</v>
      </c>
      <c r="L93" s="86">
        <v>5</v>
      </c>
      <c r="M93" s="89">
        <v>20</v>
      </c>
      <c r="N93" s="86"/>
      <c r="O93" s="90">
        <f t="shared" si="185"/>
        <v>90</v>
      </c>
      <c r="P93" s="91">
        <f t="shared" si="186"/>
        <v>90</v>
      </c>
      <c r="Q93" s="92">
        <f t="shared" si="187"/>
        <v>20</v>
      </c>
      <c r="R93" s="92">
        <f t="shared" si="188"/>
        <v>30</v>
      </c>
      <c r="S93" s="93">
        <f t="shared" si="189"/>
        <v>1800</v>
      </c>
      <c r="T93" s="94">
        <f t="shared" si="190"/>
        <v>270</v>
      </c>
      <c r="U93" s="94">
        <f t="shared" si="191"/>
        <v>270</v>
      </c>
      <c r="V93" s="12">
        <f t="shared" si="192"/>
        <v>90</v>
      </c>
      <c r="W93" s="12">
        <f t="shared" si="193"/>
        <v>62.999999999999993</v>
      </c>
      <c r="X93" s="12">
        <v>4</v>
      </c>
      <c r="Y93" s="97">
        <f t="shared" si="194"/>
        <v>14</v>
      </c>
      <c r="Z93" s="98"/>
      <c r="AA93" s="99">
        <f t="shared" si="195"/>
        <v>90</v>
      </c>
      <c r="AB93" s="91">
        <f t="shared" si="196"/>
        <v>90</v>
      </c>
      <c r="AC93" s="92">
        <f t="shared" si="197"/>
        <v>20</v>
      </c>
      <c r="AD93" s="92">
        <f t="shared" si="198"/>
        <v>30</v>
      </c>
      <c r="AE93" s="92">
        <f t="shared" si="199"/>
        <v>20</v>
      </c>
      <c r="AF93" s="100">
        <f t="shared" si="200"/>
        <v>270</v>
      </c>
      <c r="AG93" s="100">
        <f t="shared" si="201"/>
        <v>270</v>
      </c>
      <c r="AH93" s="91">
        <f t="shared" si="202"/>
        <v>90</v>
      </c>
      <c r="AI93" s="91">
        <f t="shared" si="203"/>
        <v>1800</v>
      </c>
      <c r="AJ93" s="101">
        <v>1</v>
      </c>
      <c r="AK93" s="102">
        <f t="shared" si="204"/>
        <v>9</v>
      </c>
    </row>
    <row r="94" spans="2:37">
      <c r="B94" s="6">
        <v>91</v>
      </c>
      <c r="C94" s="81">
        <f t="shared" si="182"/>
        <v>91</v>
      </c>
      <c r="D94" s="82">
        <f t="shared" si="183"/>
        <v>90</v>
      </c>
      <c r="E94" s="83">
        <v>1</v>
      </c>
      <c r="F94" s="83">
        <v>1</v>
      </c>
      <c r="G94" s="84">
        <f t="shared" si="209"/>
        <v>91</v>
      </c>
      <c r="H94" s="85">
        <v>9</v>
      </c>
      <c r="I94" s="85">
        <v>7</v>
      </c>
      <c r="J94" s="86">
        <v>91</v>
      </c>
      <c r="K94" s="86">
        <f t="shared" si="206"/>
        <v>91</v>
      </c>
      <c r="L94" s="86">
        <v>5</v>
      </c>
      <c r="M94" s="89">
        <v>20</v>
      </c>
      <c r="N94" s="86"/>
      <c r="O94" s="90">
        <f t="shared" si="185"/>
        <v>91</v>
      </c>
      <c r="P94" s="91">
        <f t="shared" si="186"/>
        <v>90</v>
      </c>
      <c r="Q94" s="92">
        <f t="shared" si="187"/>
        <v>20</v>
      </c>
      <c r="R94" s="92">
        <f t="shared" si="188"/>
        <v>30</v>
      </c>
      <c r="S94" s="93">
        <f t="shared" si="189"/>
        <v>1820</v>
      </c>
      <c r="T94" s="94">
        <f t="shared" si="190"/>
        <v>270</v>
      </c>
      <c r="U94" s="94">
        <f t="shared" si="191"/>
        <v>270</v>
      </c>
      <c r="V94" s="12">
        <f t="shared" si="192"/>
        <v>91</v>
      </c>
      <c r="W94" s="12">
        <f t="shared" si="193"/>
        <v>63.699999999999996</v>
      </c>
      <c r="X94" s="12">
        <v>4</v>
      </c>
      <c r="Y94" s="97">
        <f t="shared" si="194"/>
        <v>14</v>
      </c>
      <c r="Z94" s="98"/>
      <c r="AA94" s="99">
        <f t="shared" si="195"/>
        <v>91</v>
      </c>
      <c r="AB94" s="91">
        <f t="shared" si="196"/>
        <v>91</v>
      </c>
      <c r="AC94" s="92">
        <f t="shared" si="197"/>
        <v>20</v>
      </c>
      <c r="AD94" s="92">
        <f t="shared" si="198"/>
        <v>30</v>
      </c>
      <c r="AE94" s="92">
        <f t="shared" si="199"/>
        <v>20</v>
      </c>
      <c r="AF94" s="100">
        <f t="shared" si="200"/>
        <v>273</v>
      </c>
      <c r="AG94" s="100">
        <f t="shared" si="201"/>
        <v>273</v>
      </c>
      <c r="AH94" s="91">
        <f t="shared" si="202"/>
        <v>91</v>
      </c>
      <c r="AI94" s="91">
        <f t="shared" si="203"/>
        <v>1820</v>
      </c>
      <c r="AJ94" s="101">
        <v>1</v>
      </c>
      <c r="AK94" s="102">
        <f t="shared" si="204"/>
        <v>9.1</v>
      </c>
    </row>
    <row r="95" spans="2:37">
      <c r="B95" s="6">
        <v>92</v>
      </c>
      <c r="C95" s="81">
        <f t="shared" si="182"/>
        <v>92</v>
      </c>
      <c r="D95" s="82">
        <f t="shared" si="183"/>
        <v>90</v>
      </c>
      <c r="E95" s="83">
        <v>1</v>
      </c>
      <c r="F95" s="83">
        <v>1</v>
      </c>
      <c r="G95" s="84">
        <f t="shared" si="209"/>
        <v>92</v>
      </c>
      <c r="H95" s="85">
        <v>9</v>
      </c>
      <c r="I95" s="85">
        <v>7</v>
      </c>
      <c r="J95" s="86">
        <v>92</v>
      </c>
      <c r="K95" s="86">
        <f t="shared" si="206"/>
        <v>92</v>
      </c>
      <c r="L95" s="86">
        <v>5</v>
      </c>
      <c r="M95" s="89">
        <v>20</v>
      </c>
      <c r="N95" s="86"/>
      <c r="O95" s="90">
        <f t="shared" si="185"/>
        <v>92</v>
      </c>
      <c r="P95" s="91">
        <f t="shared" si="186"/>
        <v>90</v>
      </c>
      <c r="Q95" s="92">
        <f t="shared" si="187"/>
        <v>20</v>
      </c>
      <c r="R95" s="92">
        <f t="shared" si="188"/>
        <v>30</v>
      </c>
      <c r="S95" s="93">
        <f t="shared" si="189"/>
        <v>1840</v>
      </c>
      <c r="T95" s="94">
        <f t="shared" si="190"/>
        <v>270</v>
      </c>
      <c r="U95" s="94">
        <f t="shared" si="191"/>
        <v>270</v>
      </c>
      <c r="V95" s="12">
        <f t="shared" si="192"/>
        <v>92</v>
      </c>
      <c r="W95" s="12">
        <f t="shared" si="193"/>
        <v>64.399999999999991</v>
      </c>
      <c r="X95" s="12">
        <v>4</v>
      </c>
      <c r="Y95" s="97">
        <f t="shared" si="194"/>
        <v>14</v>
      </c>
      <c r="Z95" s="98"/>
      <c r="AA95" s="99">
        <f t="shared" si="195"/>
        <v>92</v>
      </c>
      <c r="AB95" s="91">
        <f t="shared" si="196"/>
        <v>92</v>
      </c>
      <c r="AC95" s="92">
        <f t="shared" si="197"/>
        <v>20</v>
      </c>
      <c r="AD95" s="92">
        <f t="shared" si="198"/>
        <v>30</v>
      </c>
      <c r="AE95" s="92">
        <f t="shared" si="199"/>
        <v>20</v>
      </c>
      <c r="AF95" s="100">
        <f t="shared" si="200"/>
        <v>276.00000000000006</v>
      </c>
      <c r="AG95" s="100">
        <f t="shared" si="201"/>
        <v>276.00000000000006</v>
      </c>
      <c r="AH95" s="91">
        <f t="shared" si="202"/>
        <v>92</v>
      </c>
      <c r="AI95" s="91">
        <f t="shared" si="203"/>
        <v>1840</v>
      </c>
      <c r="AJ95" s="101">
        <v>1</v>
      </c>
      <c r="AK95" s="102">
        <f t="shared" si="204"/>
        <v>9.2000000000000011</v>
      </c>
    </row>
    <row r="96" spans="2:37">
      <c r="B96" s="6">
        <v>93</v>
      </c>
      <c r="C96" s="81">
        <f t="shared" si="182"/>
        <v>93</v>
      </c>
      <c r="D96" s="82">
        <f t="shared" si="183"/>
        <v>90</v>
      </c>
      <c r="E96" s="83">
        <v>1</v>
      </c>
      <c r="F96" s="83">
        <v>1</v>
      </c>
      <c r="G96" s="84">
        <f t="shared" si="209"/>
        <v>93</v>
      </c>
      <c r="H96" s="85">
        <v>9</v>
      </c>
      <c r="I96" s="85">
        <v>7</v>
      </c>
      <c r="J96" s="86">
        <v>93</v>
      </c>
      <c r="K96" s="86">
        <f t="shared" si="206"/>
        <v>93</v>
      </c>
      <c r="L96" s="86">
        <v>5</v>
      </c>
      <c r="M96" s="89">
        <v>20</v>
      </c>
      <c r="N96" s="86"/>
      <c r="O96" s="90">
        <f t="shared" si="185"/>
        <v>93</v>
      </c>
      <c r="P96" s="91">
        <f t="shared" si="186"/>
        <v>90</v>
      </c>
      <c r="Q96" s="92">
        <f t="shared" si="187"/>
        <v>20</v>
      </c>
      <c r="R96" s="92">
        <f t="shared" si="188"/>
        <v>30</v>
      </c>
      <c r="S96" s="93">
        <f t="shared" si="189"/>
        <v>1860</v>
      </c>
      <c r="T96" s="94">
        <f t="shared" si="190"/>
        <v>270</v>
      </c>
      <c r="U96" s="94">
        <f t="shared" si="191"/>
        <v>270</v>
      </c>
      <c r="V96" s="12">
        <f t="shared" si="192"/>
        <v>93</v>
      </c>
      <c r="W96" s="12">
        <f t="shared" si="193"/>
        <v>65.099999999999994</v>
      </c>
      <c r="X96" s="12">
        <v>4</v>
      </c>
      <c r="Y96" s="97">
        <f t="shared" si="194"/>
        <v>14</v>
      </c>
      <c r="Z96" s="98"/>
      <c r="AA96" s="99">
        <f t="shared" si="195"/>
        <v>93</v>
      </c>
      <c r="AB96" s="91">
        <f t="shared" si="196"/>
        <v>93</v>
      </c>
      <c r="AC96" s="92">
        <f t="shared" si="197"/>
        <v>20</v>
      </c>
      <c r="AD96" s="92">
        <f t="shared" si="198"/>
        <v>30</v>
      </c>
      <c r="AE96" s="92">
        <f t="shared" si="199"/>
        <v>20</v>
      </c>
      <c r="AF96" s="100">
        <f t="shared" si="200"/>
        <v>279</v>
      </c>
      <c r="AG96" s="100">
        <f t="shared" si="201"/>
        <v>279</v>
      </c>
      <c r="AH96" s="91">
        <f t="shared" si="202"/>
        <v>93</v>
      </c>
      <c r="AI96" s="91">
        <f t="shared" si="203"/>
        <v>1860</v>
      </c>
      <c r="AJ96" s="101">
        <v>1</v>
      </c>
      <c r="AK96" s="102">
        <f t="shared" si="204"/>
        <v>9.3000000000000007</v>
      </c>
    </row>
    <row r="97" spans="2:37">
      <c r="B97" s="6">
        <v>94</v>
      </c>
      <c r="C97" s="81">
        <f t="shared" si="182"/>
        <v>94</v>
      </c>
      <c r="D97" s="82">
        <f t="shared" si="183"/>
        <v>90</v>
      </c>
      <c r="E97" s="83">
        <v>1</v>
      </c>
      <c r="F97" s="83">
        <v>1</v>
      </c>
      <c r="G97" s="84">
        <f t="shared" si="209"/>
        <v>94</v>
      </c>
      <c r="H97" s="85">
        <v>9</v>
      </c>
      <c r="I97" s="85">
        <v>7</v>
      </c>
      <c r="J97" s="86">
        <v>94</v>
      </c>
      <c r="K97" s="86">
        <f t="shared" si="206"/>
        <v>94</v>
      </c>
      <c r="L97" s="86">
        <v>5</v>
      </c>
      <c r="M97" s="89">
        <v>20</v>
      </c>
      <c r="N97" s="86"/>
      <c r="O97" s="90">
        <f t="shared" si="185"/>
        <v>94</v>
      </c>
      <c r="P97" s="91">
        <f t="shared" si="186"/>
        <v>90</v>
      </c>
      <c r="Q97" s="92">
        <f t="shared" si="187"/>
        <v>20</v>
      </c>
      <c r="R97" s="92">
        <f t="shared" si="188"/>
        <v>30</v>
      </c>
      <c r="S97" s="93">
        <f t="shared" si="189"/>
        <v>1880</v>
      </c>
      <c r="T97" s="94">
        <f t="shared" si="190"/>
        <v>270</v>
      </c>
      <c r="U97" s="94">
        <f t="shared" si="191"/>
        <v>270</v>
      </c>
      <c r="V97" s="12">
        <f t="shared" si="192"/>
        <v>94</v>
      </c>
      <c r="W97" s="12">
        <f t="shared" si="193"/>
        <v>65.8</v>
      </c>
      <c r="X97" s="12">
        <v>4</v>
      </c>
      <c r="Y97" s="97">
        <f t="shared" si="194"/>
        <v>14</v>
      </c>
      <c r="Z97" s="98"/>
      <c r="AA97" s="99">
        <f t="shared" si="195"/>
        <v>94</v>
      </c>
      <c r="AB97" s="91">
        <f t="shared" si="196"/>
        <v>94</v>
      </c>
      <c r="AC97" s="92">
        <f t="shared" si="197"/>
        <v>20</v>
      </c>
      <c r="AD97" s="92">
        <f t="shared" si="198"/>
        <v>30</v>
      </c>
      <c r="AE97" s="92">
        <f t="shared" si="199"/>
        <v>20</v>
      </c>
      <c r="AF97" s="100">
        <f t="shared" si="200"/>
        <v>282</v>
      </c>
      <c r="AG97" s="100">
        <f t="shared" si="201"/>
        <v>282</v>
      </c>
      <c r="AH97" s="91">
        <f t="shared" si="202"/>
        <v>94</v>
      </c>
      <c r="AI97" s="91">
        <f t="shared" si="203"/>
        <v>1880</v>
      </c>
      <c r="AJ97" s="101">
        <v>1</v>
      </c>
      <c r="AK97" s="102">
        <f t="shared" si="204"/>
        <v>9.4</v>
      </c>
    </row>
    <row r="98" spans="2:37">
      <c r="B98" s="6">
        <v>95</v>
      </c>
      <c r="C98" s="81">
        <f t="shared" si="182"/>
        <v>95</v>
      </c>
      <c r="D98" s="82">
        <f t="shared" si="183"/>
        <v>90</v>
      </c>
      <c r="E98" s="83">
        <v>1</v>
      </c>
      <c r="F98" s="83">
        <v>1</v>
      </c>
      <c r="G98" s="84">
        <f t="shared" si="209"/>
        <v>95</v>
      </c>
      <c r="H98" s="85">
        <v>9</v>
      </c>
      <c r="I98" s="85">
        <v>7</v>
      </c>
      <c r="J98" s="86">
        <v>95</v>
      </c>
      <c r="K98" s="86">
        <f t="shared" si="206"/>
        <v>95</v>
      </c>
      <c r="L98" s="86">
        <v>5</v>
      </c>
      <c r="M98" s="89">
        <v>20</v>
      </c>
      <c r="N98" s="86"/>
      <c r="O98" s="90">
        <f t="shared" si="185"/>
        <v>95</v>
      </c>
      <c r="P98" s="91">
        <f t="shared" si="186"/>
        <v>90</v>
      </c>
      <c r="Q98" s="92">
        <f t="shared" si="187"/>
        <v>20</v>
      </c>
      <c r="R98" s="92">
        <f t="shared" si="188"/>
        <v>30</v>
      </c>
      <c r="S98" s="93">
        <f t="shared" si="189"/>
        <v>1900</v>
      </c>
      <c r="T98" s="94">
        <f t="shared" si="190"/>
        <v>270</v>
      </c>
      <c r="U98" s="94">
        <f t="shared" si="191"/>
        <v>270</v>
      </c>
      <c r="V98" s="12">
        <f t="shared" si="192"/>
        <v>95</v>
      </c>
      <c r="W98" s="12">
        <f t="shared" si="193"/>
        <v>66.5</v>
      </c>
      <c r="X98" s="12">
        <v>4</v>
      </c>
      <c r="Y98" s="97">
        <f t="shared" si="194"/>
        <v>14</v>
      </c>
      <c r="Z98" s="98"/>
      <c r="AA98" s="99">
        <f t="shared" si="195"/>
        <v>95</v>
      </c>
      <c r="AB98" s="91">
        <f t="shared" si="196"/>
        <v>95</v>
      </c>
      <c r="AC98" s="92">
        <f t="shared" si="197"/>
        <v>20</v>
      </c>
      <c r="AD98" s="92">
        <f t="shared" si="198"/>
        <v>30</v>
      </c>
      <c r="AE98" s="92">
        <f t="shared" si="199"/>
        <v>20</v>
      </c>
      <c r="AF98" s="100">
        <f t="shared" si="200"/>
        <v>285</v>
      </c>
      <c r="AG98" s="100">
        <f t="shared" si="201"/>
        <v>285</v>
      </c>
      <c r="AH98" s="91">
        <f t="shared" si="202"/>
        <v>95</v>
      </c>
      <c r="AI98" s="91">
        <f t="shared" si="203"/>
        <v>1900</v>
      </c>
      <c r="AJ98" s="101">
        <v>1</v>
      </c>
      <c r="AK98" s="102">
        <f t="shared" si="204"/>
        <v>9.5</v>
      </c>
    </row>
    <row r="99" spans="2:37">
      <c r="B99" s="6">
        <v>96</v>
      </c>
      <c r="C99" s="81">
        <f t="shared" si="182"/>
        <v>96</v>
      </c>
      <c r="D99" s="82">
        <f t="shared" si="183"/>
        <v>90</v>
      </c>
      <c r="E99" s="83">
        <v>1</v>
      </c>
      <c r="F99" s="83">
        <v>1</v>
      </c>
      <c r="G99" s="84">
        <f t="shared" si="209"/>
        <v>96</v>
      </c>
      <c r="H99" s="85">
        <v>9</v>
      </c>
      <c r="I99" s="85">
        <v>7</v>
      </c>
      <c r="J99" s="86">
        <v>96</v>
      </c>
      <c r="K99" s="86">
        <f t="shared" si="206"/>
        <v>96</v>
      </c>
      <c r="L99" s="86">
        <v>5</v>
      </c>
      <c r="M99" s="89">
        <v>20</v>
      </c>
      <c r="N99" s="86"/>
      <c r="O99" s="90">
        <f t="shared" si="185"/>
        <v>96</v>
      </c>
      <c r="P99" s="91">
        <f t="shared" si="186"/>
        <v>90</v>
      </c>
      <c r="Q99" s="92">
        <f t="shared" si="187"/>
        <v>20</v>
      </c>
      <c r="R99" s="92">
        <f t="shared" si="188"/>
        <v>30</v>
      </c>
      <c r="S99" s="93">
        <f t="shared" si="189"/>
        <v>1920</v>
      </c>
      <c r="T99" s="94">
        <f t="shared" si="190"/>
        <v>270</v>
      </c>
      <c r="U99" s="94">
        <f t="shared" si="191"/>
        <v>270</v>
      </c>
      <c r="V99" s="12">
        <f t="shared" si="192"/>
        <v>96</v>
      </c>
      <c r="W99" s="12">
        <f t="shared" si="193"/>
        <v>67.199999999999989</v>
      </c>
      <c r="X99" s="12">
        <v>4</v>
      </c>
      <c r="Y99" s="97">
        <f t="shared" si="194"/>
        <v>14</v>
      </c>
      <c r="Z99" s="98"/>
      <c r="AA99" s="99">
        <f t="shared" si="195"/>
        <v>96</v>
      </c>
      <c r="AB99" s="91">
        <f t="shared" si="196"/>
        <v>96</v>
      </c>
      <c r="AC99" s="92">
        <f t="shared" si="197"/>
        <v>20</v>
      </c>
      <c r="AD99" s="92">
        <f t="shared" si="198"/>
        <v>30</v>
      </c>
      <c r="AE99" s="92">
        <f t="shared" si="199"/>
        <v>20</v>
      </c>
      <c r="AF99" s="100">
        <f t="shared" si="200"/>
        <v>288.00000000000006</v>
      </c>
      <c r="AG99" s="100">
        <f t="shared" si="201"/>
        <v>288.00000000000006</v>
      </c>
      <c r="AH99" s="91">
        <f t="shared" si="202"/>
        <v>96</v>
      </c>
      <c r="AI99" s="91">
        <f t="shared" si="203"/>
        <v>1920</v>
      </c>
      <c r="AJ99" s="101">
        <v>1</v>
      </c>
      <c r="AK99" s="102">
        <f t="shared" si="204"/>
        <v>9.6000000000000014</v>
      </c>
    </row>
    <row r="100" spans="2:37">
      <c r="B100" s="6">
        <v>97</v>
      </c>
      <c r="C100" s="81">
        <f t="shared" ref="C100" si="210">B100</f>
        <v>97</v>
      </c>
      <c r="D100" s="82">
        <f t="shared" ref="D100" si="211">IF(B100&lt;10,1,ROUNDDOWN(B100,-1))</f>
        <v>90</v>
      </c>
      <c r="E100" s="83">
        <v>1</v>
      </c>
      <c r="F100" s="83">
        <v>1</v>
      </c>
      <c r="G100" s="84">
        <f t="shared" si="209"/>
        <v>97</v>
      </c>
      <c r="H100" s="85">
        <v>9</v>
      </c>
      <c r="I100" s="85">
        <v>7</v>
      </c>
      <c r="J100" s="86">
        <v>97</v>
      </c>
      <c r="K100" s="86">
        <f t="shared" si="206"/>
        <v>97</v>
      </c>
      <c r="L100" s="86">
        <v>5</v>
      </c>
      <c r="M100" s="89">
        <v>20</v>
      </c>
      <c r="N100" s="86"/>
      <c r="O100" s="90">
        <f t="shared" ref="O100" si="212">C100</f>
        <v>97</v>
      </c>
      <c r="P100" s="91">
        <f t="shared" ref="P100" si="213">D100</f>
        <v>90</v>
      </c>
      <c r="Q100" s="92">
        <f t="shared" ref="Q100" si="214">E100*$D$25</f>
        <v>20</v>
      </c>
      <c r="R100" s="92">
        <f t="shared" ref="R100" si="215">F100*$D$36</f>
        <v>30</v>
      </c>
      <c r="S100" s="93">
        <f t="shared" ref="S100" si="216">G100*$D$27</f>
        <v>1940</v>
      </c>
      <c r="T100" s="94">
        <f t="shared" ref="T100" si="217">H100*$D$39</f>
        <v>270</v>
      </c>
      <c r="U100" s="94">
        <f t="shared" ref="U100" si="218">H100*$D$40</f>
        <v>270</v>
      </c>
      <c r="V100" s="12">
        <f t="shared" ref="V100" si="219">J100</f>
        <v>97</v>
      </c>
      <c r="W100" s="12">
        <f t="shared" ref="W100" si="220">K100*0.7</f>
        <v>67.899999999999991</v>
      </c>
      <c r="X100" s="12">
        <v>4</v>
      </c>
      <c r="Y100" s="97">
        <f t="shared" ref="Y100" si="221">ROUND(MAX(M100*0.7,),0)</f>
        <v>14</v>
      </c>
      <c r="Z100" s="98"/>
      <c r="AA100" s="99">
        <f t="shared" ref="AA100" si="222">C100</f>
        <v>97</v>
      </c>
      <c r="AB100" s="91">
        <f t="shared" ref="AB100" si="223">B100</f>
        <v>97</v>
      </c>
      <c r="AC100" s="92">
        <f t="shared" ref="AC100" si="224">$D$25</f>
        <v>20</v>
      </c>
      <c r="AD100" s="92">
        <f t="shared" ref="AD100" si="225">$D$36</f>
        <v>30</v>
      </c>
      <c r="AE100" s="92">
        <f t="shared" ref="AE100" si="226">$D$27</f>
        <v>20</v>
      </c>
      <c r="AF100" s="100">
        <f t="shared" ref="AF100" si="227">B100*0.1*$D$39</f>
        <v>291.00000000000006</v>
      </c>
      <c r="AG100" s="100">
        <f t="shared" ref="AG100" si="228">B100*0.1*$D$40</f>
        <v>291.00000000000006</v>
      </c>
      <c r="AH100" s="91">
        <f t="shared" ref="AH100" si="229">B100</f>
        <v>97</v>
      </c>
      <c r="AI100" s="91">
        <f t="shared" ref="AI100" si="230">B100*$D$26</f>
        <v>1940</v>
      </c>
      <c r="AJ100" s="101">
        <v>1</v>
      </c>
      <c r="AK100" s="102">
        <f t="shared" ref="AK100" si="231">MIN(AA100*0.1,20)</f>
        <v>9.7000000000000011</v>
      </c>
    </row>
    <row r="101" spans="2:37">
      <c r="B101" s="6">
        <v>98</v>
      </c>
      <c r="C101" s="81">
        <f t="shared" ref="C101" si="232">B101</f>
        <v>98</v>
      </c>
      <c r="D101" s="82">
        <f t="shared" ref="D101" si="233">IF(B101&lt;10,1,ROUNDDOWN(B101,-1))</f>
        <v>90</v>
      </c>
      <c r="E101" s="83">
        <v>1</v>
      </c>
      <c r="F101" s="83">
        <v>1</v>
      </c>
      <c r="G101" s="84">
        <f t="shared" si="209"/>
        <v>98</v>
      </c>
      <c r="H101" s="85">
        <v>9</v>
      </c>
      <c r="I101" s="85">
        <v>7</v>
      </c>
      <c r="J101" s="86">
        <v>98</v>
      </c>
      <c r="K101" s="86">
        <f t="shared" si="206"/>
        <v>98</v>
      </c>
      <c r="L101" s="86">
        <v>5</v>
      </c>
      <c r="M101" s="89">
        <v>20</v>
      </c>
      <c r="N101" s="86"/>
      <c r="O101" s="90">
        <f t="shared" ref="O101" si="234">C101</f>
        <v>98</v>
      </c>
      <c r="P101" s="91">
        <f t="shared" ref="P101" si="235">D101</f>
        <v>90</v>
      </c>
      <c r="Q101" s="92">
        <f t="shared" ref="Q101" si="236">E101*$D$25</f>
        <v>20</v>
      </c>
      <c r="R101" s="92">
        <f t="shared" ref="R101" si="237">F101*$D$36</f>
        <v>30</v>
      </c>
      <c r="S101" s="93">
        <f t="shared" ref="S101" si="238">G101*$D$27</f>
        <v>1960</v>
      </c>
      <c r="T101" s="94">
        <f t="shared" ref="T101" si="239">H101*$D$39</f>
        <v>270</v>
      </c>
      <c r="U101" s="94">
        <f t="shared" ref="U101" si="240">H101*$D$40</f>
        <v>270</v>
      </c>
      <c r="V101" s="12">
        <f t="shared" ref="V101" si="241">J101</f>
        <v>98</v>
      </c>
      <c r="W101" s="12">
        <f t="shared" ref="W101" si="242">K101*0.7</f>
        <v>68.599999999999994</v>
      </c>
      <c r="X101" s="12">
        <v>4</v>
      </c>
      <c r="Y101" s="97">
        <f t="shared" ref="Y101" si="243">ROUND(MAX(M101*0.7,),0)</f>
        <v>14</v>
      </c>
      <c r="Z101" s="98"/>
      <c r="AA101" s="99">
        <f t="shared" ref="AA101" si="244">C101</f>
        <v>98</v>
      </c>
      <c r="AB101" s="91">
        <f t="shared" ref="AB101" si="245">B101</f>
        <v>98</v>
      </c>
      <c r="AC101" s="92">
        <f t="shared" ref="AC101" si="246">$D$25</f>
        <v>20</v>
      </c>
      <c r="AD101" s="92">
        <f t="shared" ref="AD101" si="247">$D$36</f>
        <v>30</v>
      </c>
      <c r="AE101" s="92">
        <f t="shared" ref="AE101" si="248">$D$27</f>
        <v>20</v>
      </c>
      <c r="AF101" s="100">
        <f t="shared" ref="AF101" si="249">B101*0.1*$D$39</f>
        <v>294</v>
      </c>
      <c r="AG101" s="100">
        <f t="shared" ref="AG101" si="250">B101*0.1*$D$40</f>
        <v>294</v>
      </c>
      <c r="AH101" s="91">
        <f t="shared" ref="AH101" si="251">B101</f>
        <v>98</v>
      </c>
      <c r="AI101" s="91">
        <f t="shared" ref="AI101" si="252">B101*$D$26</f>
        <v>1960</v>
      </c>
      <c r="AJ101" s="101">
        <v>1</v>
      </c>
      <c r="AK101" s="102">
        <f t="shared" ref="AK101" si="253">MIN(AA101*0.1,20)</f>
        <v>9.8000000000000007</v>
      </c>
    </row>
    <row r="102" spans="2:37">
      <c r="B102" s="6">
        <v>99</v>
      </c>
      <c r="C102" s="81">
        <f t="shared" ref="C102:C131" si="254">B102</f>
        <v>99</v>
      </c>
      <c r="D102" s="82">
        <f t="shared" ref="D102:D131" si="255">IF(B102&lt;10,1,ROUNDDOWN(B102,-1))</f>
        <v>90</v>
      </c>
      <c r="E102" s="83">
        <v>1</v>
      </c>
      <c r="F102" s="83">
        <v>1</v>
      </c>
      <c r="G102" s="84">
        <f t="shared" si="209"/>
        <v>99</v>
      </c>
      <c r="H102" s="85">
        <v>9</v>
      </c>
      <c r="I102" s="85">
        <v>7</v>
      </c>
      <c r="J102" s="86">
        <v>99</v>
      </c>
      <c r="K102" s="86">
        <f t="shared" ref="K102" si="256">B102</f>
        <v>99</v>
      </c>
      <c r="L102" s="86">
        <v>5</v>
      </c>
      <c r="M102" s="89">
        <v>20</v>
      </c>
      <c r="N102" s="86"/>
      <c r="O102" s="90">
        <f t="shared" ref="O102:O131" si="257">C102</f>
        <v>99</v>
      </c>
      <c r="P102" s="91">
        <f t="shared" ref="P102:P131" si="258">D102</f>
        <v>90</v>
      </c>
      <c r="Q102" s="92">
        <f t="shared" ref="Q102:Q131" si="259">E102*$D$25</f>
        <v>20</v>
      </c>
      <c r="R102" s="92">
        <f t="shared" ref="R102:R131" si="260">F102*$D$36</f>
        <v>30</v>
      </c>
      <c r="S102" s="93">
        <f t="shared" ref="S102:S131" si="261">G102*$D$27</f>
        <v>1980</v>
      </c>
      <c r="T102" s="94">
        <f t="shared" ref="T102:T131" si="262">H102*$D$39</f>
        <v>270</v>
      </c>
      <c r="U102" s="94">
        <f t="shared" ref="U102:U131" si="263">H102*$D$40</f>
        <v>270</v>
      </c>
      <c r="V102" s="12">
        <f t="shared" ref="V102:V131" si="264">J102</f>
        <v>99</v>
      </c>
      <c r="W102" s="12">
        <f t="shared" ref="W102:W131" si="265">K102*0.7</f>
        <v>69.3</v>
      </c>
      <c r="X102" s="12">
        <v>4</v>
      </c>
      <c r="Y102" s="97">
        <f t="shared" ref="Y102:Y131" si="266">ROUND(MAX(M102*0.7,),0)</f>
        <v>14</v>
      </c>
      <c r="Z102" s="98"/>
      <c r="AA102" s="99">
        <f t="shared" ref="AA102:AA131" si="267">C102</f>
        <v>99</v>
      </c>
      <c r="AB102" s="91">
        <f t="shared" ref="AB102:AB131" si="268">B102</f>
        <v>99</v>
      </c>
      <c r="AC102" s="92">
        <f t="shared" ref="AC102:AC131" si="269">$D$25</f>
        <v>20</v>
      </c>
      <c r="AD102" s="92">
        <f t="shared" ref="AD102:AD131" si="270">$D$36</f>
        <v>30</v>
      </c>
      <c r="AE102" s="92">
        <f t="shared" ref="AE102:AE131" si="271">$D$27</f>
        <v>20</v>
      </c>
      <c r="AF102" s="100">
        <f t="shared" ref="AF102:AF131" si="272">B102*0.1*$D$39</f>
        <v>297</v>
      </c>
      <c r="AG102" s="100">
        <f t="shared" ref="AG102:AG131" si="273">B102*0.1*$D$40</f>
        <v>297</v>
      </c>
      <c r="AH102" s="91">
        <f t="shared" ref="AH102:AH131" si="274">B102</f>
        <v>99</v>
      </c>
      <c r="AI102" s="91">
        <f t="shared" ref="AI102:AI131" si="275">B102*$D$26</f>
        <v>1980</v>
      </c>
      <c r="AJ102" s="101">
        <v>1</v>
      </c>
      <c r="AK102" s="102">
        <f t="shared" ref="AK102:AK131" si="276">MIN(AA102*0.1,20)</f>
        <v>9.9</v>
      </c>
    </row>
    <row r="103" spans="2:37">
      <c r="B103" s="6">
        <v>100</v>
      </c>
      <c r="C103" s="81">
        <f t="shared" si="254"/>
        <v>100</v>
      </c>
      <c r="D103" s="82">
        <f t="shared" si="255"/>
        <v>100</v>
      </c>
      <c r="E103" s="83">
        <v>1</v>
      </c>
      <c r="F103" s="83">
        <v>1</v>
      </c>
      <c r="G103" s="84">
        <f t="shared" si="209"/>
        <v>100</v>
      </c>
      <c r="H103" s="85">
        <v>9</v>
      </c>
      <c r="I103" s="85">
        <v>7</v>
      </c>
      <c r="J103" s="86">
        <v>100</v>
      </c>
      <c r="K103" s="86">
        <f t="shared" ref="K103" si="277">B103</f>
        <v>100</v>
      </c>
      <c r="L103" s="86">
        <v>5</v>
      </c>
      <c r="M103" s="89">
        <v>20</v>
      </c>
      <c r="N103" s="86"/>
      <c r="O103" s="90">
        <f t="shared" si="257"/>
        <v>100</v>
      </c>
      <c r="P103" s="91">
        <f t="shared" si="258"/>
        <v>100</v>
      </c>
      <c r="Q103" s="92">
        <f t="shared" si="259"/>
        <v>20</v>
      </c>
      <c r="R103" s="92">
        <f t="shared" si="260"/>
        <v>30</v>
      </c>
      <c r="S103" s="93">
        <f t="shared" si="261"/>
        <v>2000</v>
      </c>
      <c r="T103" s="94">
        <f t="shared" si="262"/>
        <v>270</v>
      </c>
      <c r="U103" s="94">
        <f t="shared" si="263"/>
        <v>270</v>
      </c>
      <c r="V103" s="12">
        <f t="shared" si="264"/>
        <v>100</v>
      </c>
      <c r="W103" s="12">
        <f t="shared" si="265"/>
        <v>70</v>
      </c>
      <c r="X103" s="12">
        <v>5</v>
      </c>
      <c r="Y103" s="97">
        <f t="shared" si="266"/>
        <v>14</v>
      </c>
      <c r="Z103" s="98"/>
      <c r="AA103" s="99">
        <f t="shared" si="267"/>
        <v>100</v>
      </c>
      <c r="AB103" s="91">
        <f t="shared" si="268"/>
        <v>100</v>
      </c>
      <c r="AC103" s="92">
        <f t="shared" si="269"/>
        <v>20</v>
      </c>
      <c r="AD103" s="92">
        <f t="shared" si="270"/>
        <v>30</v>
      </c>
      <c r="AE103" s="92">
        <f t="shared" si="271"/>
        <v>20</v>
      </c>
      <c r="AF103" s="100">
        <f t="shared" si="272"/>
        <v>300</v>
      </c>
      <c r="AG103" s="100">
        <f t="shared" si="273"/>
        <v>300</v>
      </c>
      <c r="AH103" s="91">
        <f t="shared" si="274"/>
        <v>100</v>
      </c>
      <c r="AI103" s="91">
        <f t="shared" si="275"/>
        <v>2000</v>
      </c>
      <c r="AJ103" s="101">
        <v>1</v>
      </c>
      <c r="AK103" s="102">
        <f t="shared" si="276"/>
        <v>10</v>
      </c>
    </row>
    <row r="104" spans="2:37">
      <c r="B104" s="6">
        <v>101</v>
      </c>
      <c r="C104" s="81">
        <f t="shared" si="254"/>
        <v>101</v>
      </c>
      <c r="D104" s="82">
        <f t="shared" si="255"/>
        <v>100</v>
      </c>
      <c r="E104" s="83">
        <v>1</v>
      </c>
      <c r="F104" s="83">
        <v>1</v>
      </c>
      <c r="G104" s="84">
        <f t="shared" si="209"/>
        <v>101</v>
      </c>
      <c r="H104" s="85">
        <v>9</v>
      </c>
      <c r="I104" s="85">
        <v>7</v>
      </c>
      <c r="J104" s="86">
        <v>101</v>
      </c>
      <c r="K104" s="86">
        <f t="shared" ref="K104:K133" si="278">B104</f>
        <v>101</v>
      </c>
      <c r="L104" s="86">
        <v>5</v>
      </c>
      <c r="M104" s="89">
        <v>20</v>
      </c>
      <c r="N104" s="86"/>
      <c r="O104" s="90">
        <f t="shared" si="257"/>
        <v>101</v>
      </c>
      <c r="P104" s="91">
        <f t="shared" si="258"/>
        <v>100</v>
      </c>
      <c r="Q104" s="92">
        <f t="shared" si="259"/>
        <v>20</v>
      </c>
      <c r="R104" s="92">
        <f t="shared" si="260"/>
        <v>30</v>
      </c>
      <c r="S104" s="93">
        <f t="shared" si="261"/>
        <v>2020</v>
      </c>
      <c r="T104" s="94">
        <f t="shared" si="262"/>
        <v>270</v>
      </c>
      <c r="U104" s="94">
        <f t="shared" si="263"/>
        <v>270</v>
      </c>
      <c r="V104" s="12">
        <f t="shared" si="264"/>
        <v>101</v>
      </c>
      <c r="W104" s="12">
        <f t="shared" si="265"/>
        <v>70.699999999999989</v>
      </c>
      <c r="X104" s="12">
        <v>5</v>
      </c>
      <c r="Y104" s="97">
        <f t="shared" si="266"/>
        <v>14</v>
      </c>
      <c r="Z104" s="98"/>
      <c r="AA104" s="99">
        <f t="shared" si="267"/>
        <v>101</v>
      </c>
      <c r="AB104" s="91">
        <f t="shared" si="268"/>
        <v>101</v>
      </c>
      <c r="AC104" s="92">
        <f t="shared" si="269"/>
        <v>20</v>
      </c>
      <c r="AD104" s="92">
        <f t="shared" si="270"/>
        <v>30</v>
      </c>
      <c r="AE104" s="92">
        <f t="shared" si="271"/>
        <v>20</v>
      </c>
      <c r="AF104" s="100">
        <f t="shared" si="272"/>
        <v>303.00000000000006</v>
      </c>
      <c r="AG104" s="100">
        <f t="shared" si="273"/>
        <v>303.00000000000006</v>
      </c>
      <c r="AH104" s="91">
        <f t="shared" si="274"/>
        <v>101</v>
      </c>
      <c r="AI104" s="91">
        <f t="shared" si="275"/>
        <v>2020</v>
      </c>
      <c r="AJ104" s="101">
        <v>1</v>
      </c>
      <c r="AK104" s="102">
        <f t="shared" si="276"/>
        <v>10.100000000000001</v>
      </c>
    </row>
    <row r="105" spans="2:37">
      <c r="B105" s="6">
        <v>102</v>
      </c>
      <c r="C105" s="81">
        <f t="shared" si="254"/>
        <v>102</v>
      </c>
      <c r="D105" s="82">
        <f t="shared" si="255"/>
        <v>100</v>
      </c>
      <c r="E105" s="83">
        <v>1</v>
      </c>
      <c r="F105" s="83">
        <v>1</v>
      </c>
      <c r="G105" s="84">
        <f t="shared" si="209"/>
        <v>102</v>
      </c>
      <c r="H105" s="85">
        <v>9</v>
      </c>
      <c r="I105" s="85">
        <v>7</v>
      </c>
      <c r="J105" s="86">
        <v>102</v>
      </c>
      <c r="K105" s="86">
        <f t="shared" si="278"/>
        <v>102</v>
      </c>
      <c r="L105" s="86">
        <v>5</v>
      </c>
      <c r="M105" s="89">
        <v>20</v>
      </c>
      <c r="N105" s="86"/>
      <c r="O105" s="90">
        <f t="shared" si="257"/>
        <v>102</v>
      </c>
      <c r="P105" s="91">
        <f t="shared" si="258"/>
        <v>100</v>
      </c>
      <c r="Q105" s="92">
        <f t="shared" si="259"/>
        <v>20</v>
      </c>
      <c r="R105" s="92">
        <f t="shared" si="260"/>
        <v>30</v>
      </c>
      <c r="S105" s="93">
        <f t="shared" si="261"/>
        <v>2040</v>
      </c>
      <c r="T105" s="94">
        <f t="shared" si="262"/>
        <v>270</v>
      </c>
      <c r="U105" s="94">
        <f t="shared" si="263"/>
        <v>270</v>
      </c>
      <c r="V105" s="12">
        <f t="shared" si="264"/>
        <v>102</v>
      </c>
      <c r="W105" s="12">
        <f t="shared" si="265"/>
        <v>71.399999999999991</v>
      </c>
      <c r="X105" s="12">
        <v>5</v>
      </c>
      <c r="Y105" s="97">
        <f t="shared" si="266"/>
        <v>14</v>
      </c>
      <c r="Z105" s="98"/>
      <c r="AA105" s="99">
        <f t="shared" si="267"/>
        <v>102</v>
      </c>
      <c r="AB105" s="91">
        <f t="shared" si="268"/>
        <v>102</v>
      </c>
      <c r="AC105" s="92">
        <f t="shared" si="269"/>
        <v>20</v>
      </c>
      <c r="AD105" s="92">
        <f t="shared" si="270"/>
        <v>30</v>
      </c>
      <c r="AE105" s="92">
        <f t="shared" si="271"/>
        <v>20</v>
      </c>
      <c r="AF105" s="100">
        <f t="shared" si="272"/>
        <v>306.00000000000006</v>
      </c>
      <c r="AG105" s="100">
        <f t="shared" si="273"/>
        <v>306.00000000000006</v>
      </c>
      <c r="AH105" s="91">
        <f t="shared" si="274"/>
        <v>102</v>
      </c>
      <c r="AI105" s="91">
        <f t="shared" si="275"/>
        <v>2040</v>
      </c>
      <c r="AJ105" s="101">
        <v>1</v>
      </c>
      <c r="AK105" s="102">
        <f t="shared" si="276"/>
        <v>10.200000000000001</v>
      </c>
    </row>
    <row r="106" spans="2:37">
      <c r="B106" s="6">
        <v>103</v>
      </c>
      <c r="C106" s="81">
        <f t="shared" si="254"/>
        <v>103</v>
      </c>
      <c r="D106" s="82">
        <f t="shared" si="255"/>
        <v>100</v>
      </c>
      <c r="E106" s="83">
        <v>1</v>
      </c>
      <c r="F106" s="83">
        <v>1</v>
      </c>
      <c r="G106" s="84">
        <f t="shared" si="209"/>
        <v>103</v>
      </c>
      <c r="H106" s="85">
        <v>9</v>
      </c>
      <c r="I106" s="85">
        <v>7</v>
      </c>
      <c r="J106" s="86">
        <v>103</v>
      </c>
      <c r="K106" s="86">
        <f t="shared" si="278"/>
        <v>103</v>
      </c>
      <c r="L106" s="86">
        <v>5</v>
      </c>
      <c r="M106" s="89">
        <v>20</v>
      </c>
      <c r="N106" s="86"/>
      <c r="O106" s="90">
        <f t="shared" si="257"/>
        <v>103</v>
      </c>
      <c r="P106" s="91">
        <f t="shared" si="258"/>
        <v>100</v>
      </c>
      <c r="Q106" s="92">
        <f t="shared" si="259"/>
        <v>20</v>
      </c>
      <c r="R106" s="92">
        <f t="shared" si="260"/>
        <v>30</v>
      </c>
      <c r="S106" s="93">
        <f t="shared" si="261"/>
        <v>2060</v>
      </c>
      <c r="T106" s="94">
        <f t="shared" si="262"/>
        <v>270</v>
      </c>
      <c r="U106" s="94">
        <f t="shared" si="263"/>
        <v>270</v>
      </c>
      <c r="V106" s="12">
        <f t="shared" si="264"/>
        <v>103</v>
      </c>
      <c r="W106" s="12">
        <f t="shared" si="265"/>
        <v>72.099999999999994</v>
      </c>
      <c r="X106" s="12">
        <v>5</v>
      </c>
      <c r="Y106" s="97">
        <f t="shared" si="266"/>
        <v>14</v>
      </c>
      <c r="Z106" s="98"/>
      <c r="AA106" s="99">
        <f t="shared" si="267"/>
        <v>103</v>
      </c>
      <c r="AB106" s="91">
        <f t="shared" si="268"/>
        <v>103</v>
      </c>
      <c r="AC106" s="92">
        <f t="shared" si="269"/>
        <v>20</v>
      </c>
      <c r="AD106" s="92">
        <f t="shared" si="270"/>
        <v>30</v>
      </c>
      <c r="AE106" s="92">
        <f t="shared" si="271"/>
        <v>20</v>
      </c>
      <c r="AF106" s="100">
        <f t="shared" si="272"/>
        <v>309</v>
      </c>
      <c r="AG106" s="100">
        <f t="shared" si="273"/>
        <v>309</v>
      </c>
      <c r="AH106" s="91">
        <f t="shared" si="274"/>
        <v>103</v>
      </c>
      <c r="AI106" s="91">
        <f t="shared" si="275"/>
        <v>2060</v>
      </c>
      <c r="AJ106" s="101">
        <v>1</v>
      </c>
      <c r="AK106" s="102">
        <f t="shared" si="276"/>
        <v>10.3</v>
      </c>
    </row>
    <row r="107" spans="2:37">
      <c r="B107" s="6">
        <v>104</v>
      </c>
      <c r="C107" s="81">
        <f t="shared" si="254"/>
        <v>104</v>
      </c>
      <c r="D107" s="82">
        <f t="shared" si="255"/>
        <v>100</v>
      </c>
      <c r="E107" s="83">
        <v>1</v>
      </c>
      <c r="F107" s="83">
        <v>1</v>
      </c>
      <c r="G107" s="84">
        <f t="shared" si="209"/>
        <v>104</v>
      </c>
      <c r="H107" s="85">
        <v>9</v>
      </c>
      <c r="I107" s="85">
        <v>7</v>
      </c>
      <c r="J107" s="86">
        <v>104</v>
      </c>
      <c r="K107" s="86">
        <f t="shared" si="278"/>
        <v>104</v>
      </c>
      <c r="L107" s="86">
        <v>5</v>
      </c>
      <c r="M107" s="89">
        <v>20</v>
      </c>
      <c r="N107" s="86"/>
      <c r="O107" s="90">
        <f t="shared" si="257"/>
        <v>104</v>
      </c>
      <c r="P107" s="91">
        <f t="shared" si="258"/>
        <v>100</v>
      </c>
      <c r="Q107" s="92">
        <f t="shared" si="259"/>
        <v>20</v>
      </c>
      <c r="R107" s="92">
        <f t="shared" si="260"/>
        <v>30</v>
      </c>
      <c r="S107" s="93">
        <f t="shared" si="261"/>
        <v>2080</v>
      </c>
      <c r="T107" s="94">
        <f t="shared" si="262"/>
        <v>270</v>
      </c>
      <c r="U107" s="94">
        <f t="shared" si="263"/>
        <v>270</v>
      </c>
      <c r="V107" s="12">
        <f t="shared" si="264"/>
        <v>104</v>
      </c>
      <c r="W107" s="12">
        <f t="shared" si="265"/>
        <v>72.8</v>
      </c>
      <c r="X107" s="12">
        <v>5</v>
      </c>
      <c r="Y107" s="97">
        <f t="shared" si="266"/>
        <v>14</v>
      </c>
      <c r="Z107" s="98"/>
      <c r="AA107" s="99">
        <f t="shared" si="267"/>
        <v>104</v>
      </c>
      <c r="AB107" s="91">
        <f t="shared" si="268"/>
        <v>104</v>
      </c>
      <c r="AC107" s="92">
        <f t="shared" si="269"/>
        <v>20</v>
      </c>
      <c r="AD107" s="92">
        <f t="shared" si="270"/>
        <v>30</v>
      </c>
      <c r="AE107" s="92">
        <f t="shared" si="271"/>
        <v>20</v>
      </c>
      <c r="AF107" s="100">
        <f t="shared" si="272"/>
        <v>312</v>
      </c>
      <c r="AG107" s="100">
        <f t="shared" si="273"/>
        <v>312</v>
      </c>
      <c r="AH107" s="91">
        <f t="shared" si="274"/>
        <v>104</v>
      </c>
      <c r="AI107" s="91">
        <f t="shared" si="275"/>
        <v>2080</v>
      </c>
      <c r="AJ107" s="101">
        <v>1</v>
      </c>
      <c r="AK107" s="102">
        <f t="shared" si="276"/>
        <v>10.4</v>
      </c>
    </row>
    <row r="108" spans="2:37">
      <c r="B108" s="6">
        <v>105</v>
      </c>
      <c r="C108" s="81">
        <f t="shared" si="254"/>
        <v>105</v>
      </c>
      <c r="D108" s="82">
        <f t="shared" si="255"/>
        <v>100</v>
      </c>
      <c r="E108" s="83">
        <v>1</v>
      </c>
      <c r="F108" s="83">
        <v>1</v>
      </c>
      <c r="G108" s="84">
        <f t="shared" si="209"/>
        <v>105</v>
      </c>
      <c r="H108" s="85">
        <v>9</v>
      </c>
      <c r="I108" s="85">
        <v>7</v>
      </c>
      <c r="J108" s="86">
        <v>105</v>
      </c>
      <c r="K108" s="86">
        <f t="shared" si="278"/>
        <v>105</v>
      </c>
      <c r="L108" s="86">
        <v>5</v>
      </c>
      <c r="M108" s="89">
        <v>20</v>
      </c>
      <c r="N108" s="86"/>
      <c r="O108" s="90">
        <f t="shared" si="257"/>
        <v>105</v>
      </c>
      <c r="P108" s="91">
        <f t="shared" si="258"/>
        <v>100</v>
      </c>
      <c r="Q108" s="92">
        <f t="shared" si="259"/>
        <v>20</v>
      </c>
      <c r="R108" s="92">
        <f t="shared" si="260"/>
        <v>30</v>
      </c>
      <c r="S108" s="93">
        <f t="shared" si="261"/>
        <v>2100</v>
      </c>
      <c r="T108" s="94">
        <f t="shared" si="262"/>
        <v>270</v>
      </c>
      <c r="U108" s="94">
        <f t="shared" si="263"/>
        <v>270</v>
      </c>
      <c r="V108" s="12">
        <f t="shared" si="264"/>
        <v>105</v>
      </c>
      <c r="W108" s="12">
        <f t="shared" si="265"/>
        <v>73.5</v>
      </c>
      <c r="X108" s="12">
        <v>5</v>
      </c>
      <c r="Y108" s="97">
        <f t="shared" si="266"/>
        <v>14</v>
      </c>
      <c r="Z108" s="98"/>
      <c r="AA108" s="99">
        <f t="shared" si="267"/>
        <v>105</v>
      </c>
      <c r="AB108" s="91">
        <f t="shared" si="268"/>
        <v>105</v>
      </c>
      <c r="AC108" s="92">
        <f t="shared" si="269"/>
        <v>20</v>
      </c>
      <c r="AD108" s="92">
        <f t="shared" si="270"/>
        <v>30</v>
      </c>
      <c r="AE108" s="92">
        <f t="shared" si="271"/>
        <v>20</v>
      </c>
      <c r="AF108" s="100">
        <f t="shared" si="272"/>
        <v>315</v>
      </c>
      <c r="AG108" s="100">
        <f t="shared" si="273"/>
        <v>315</v>
      </c>
      <c r="AH108" s="91">
        <f t="shared" si="274"/>
        <v>105</v>
      </c>
      <c r="AI108" s="91">
        <f t="shared" si="275"/>
        <v>2100</v>
      </c>
      <c r="AJ108" s="101">
        <v>1</v>
      </c>
      <c r="AK108" s="102">
        <f t="shared" si="276"/>
        <v>10.5</v>
      </c>
    </row>
    <row r="109" spans="2:37">
      <c r="B109" s="6">
        <v>106</v>
      </c>
      <c r="C109" s="81">
        <f t="shared" si="254"/>
        <v>106</v>
      </c>
      <c r="D109" s="82">
        <f t="shared" si="255"/>
        <v>100</v>
      </c>
      <c r="E109" s="83">
        <v>1</v>
      </c>
      <c r="F109" s="83">
        <v>1</v>
      </c>
      <c r="G109" s="84">
        <f t="shared" si="209"/>
        <v>106</v>
      </c>
      <c r="H109" s="85">
        <v>9</v>
      </c>
      <c r="I109" s="85">
        <v>7</v>
      </c>
      <c r="J109" s="86">
        <v>106</v>
      </c>
      <c r="K109" s="86">
        <f t="shared" si="278"/>
        <v>106</v>
      </c>
      <c r="L109" s="86">
        <v>5</v>
      </c>
      <c r="M109" s="89">
        <v>20</v>
      </c>
      <c r="N109" s="86"/>
      <c r="O109" s="90">
        <f t="shared" si="257"/>
        <v>106</v>
      </c>
      <c r="P109" s="91">
        <f t="shared" si="258"/>
        <v>100</v>
      </c>
      <c r="Q109" s="92">
        <f t="shared" si="259"/>
        <v>20</v>
      </c>
      <c r="R109" s="92">
        <f t="shared" si="260"/>
        <v>30</v>
      </c>
      <c r="S109" s="93">
        <f t="shared" si="261"/>
        <v>2120</v>
      </c>
      <c r="T109" s="94">
        <f t="shared" si="262"/>
        <v>270</v>
      </c>
      <c r="U109" s="94">
        <f t="shared" si="263"/>
        <v>270</v>
      </c>
      <c r="V109" s="12">
        <f t="shared" si="264"/>
        <v>106</v>
      </c>
      <c r="W109" s="12">
        <f t="shared" si="265"/>
        <v>74.199999999999989</v>
      </c>
      <c r="X109" s="12">
        <v>5</v>
      </c>
      <c r="Y109" s="97">
        <f t="shared" si="266"/>
        <v>14</v>
      </c>
      <c r="Z109" s="98"/>
      <c r="AA109" s="99">
        <f t="shared" si="267"/>
        <v>106</v>
      </c>
      <c r="AB109" s="91">
        <f t="shared" si="268"/>
        <v>106</v>
      </c>
      <c r="AC109" s="92">
        <f t="shared" si="269"/>
        <v>20</v>
      </c>
      <c r="AD109" s="92">
        <f t="shared" si="270"/>
        <v>30</v>
      </c>
      <c r="AE109" s="92">
        <f t="shared" si="271"/>
        <v>20</v>
      </c>
      <c r="AF109" s="100">
        <f t="shared" si="272"/>
        <v>318.00000000000006</v>
      </c>
      <c r="AG109" s="100">
        <f t="shared" si="273"/>
        <v>318.00000000000006</v>
      </c>
      <c r="AH109" s="91">
        <f t="shared" si="274"/>
        <v>106</v>
      </c>
      <c r="AI109" s="91">
        <f t="shared" si="275"/>
        <v>2120</v>
      </c>
      <c r="AJ109" s="101">
        <v>1</v>
      </c>
      <c r="AK109" s="102">
        <f t="shared" si="276"/>
        <v>10.600000000000001</v>
      </c>
    </row>
    <row r="110" spans="2:37">
      <c r="B110" s="6">
        <v>107</v>
      </c>
      <c r="C110" s="81">
        <f t="shared" si="254"/>
        <v>107</v>
      </c>
      <c r="D110" s="82">
        <f t="shared" si="255"/>
        <v>100</v>
      </c>
      <c r="E110" s="83">
        <v>1</v>
      </c>
      <c r="F110" s="83">
        <v>1</v>
      </c>
      <c r="G110" s="84">
        <f t="shared" si="209"/>
        <v>107</v>
      </c>
      <c r="H110" s="85">
        <v>9</v>
      </c>
      <c r="I110" s="85">
        <v>7</v>
      </c>
      <c r="J110" s="86">
        <v>107</v>
      </c>
      <c r="K110" s="86">
        <f t="shared" si="278"/>
        <v>107</v>
      </c>
      <c r="L110" s="86">
        <v>5</v>
      </c>
      <c r="M110" s="89">
        <v>20</v>
      </c>
      <c r="N110" s="86"/>
      <c r="O110" s="90">
        <f t="shared" si="257"/>
        <v>107</v>
      </c>
      <c r="P110" s="91">
        <f t="shared" si="258"/>
        <v>100</v>
      </c>
      <c r="Q110" s="92">
        <f t="shared" si="259"/>
        <v>20</v>
      </c>
      <c r="R110" s="92">
        <f t="shared" si="260"/>
        <v>30</v>
      </c>
      <c r="S110" s="93">
        <f t="shared" si="261"/>
        <v>2140</v>
      </c>
      <c r="T110" s="94">
        <f t="shared" si="262"/>
        <v>270</v>
      </c>
      <c r="U110" s="94">
        <f t="shared" si="263"/>
        <v>270</v>
      </c>
      <c r="V110" s="12">
        <f t="shared" si="264"/>
        <v>107</v>
      </c>
      <c r="W110" s="12">
        <f t="shared" si="265"/>
        <v>74.899999999999991</v>
      </c>
      <c r="X110" s="12">
        <v>5</v>
      </c>
      <c r="Y110" s="97">
        <f t="shared" si="266"/>
        <v>14</v>
      </c>
      <c r="Z110" s="98"/>
      <c r="AA110" s="99">
        <f t="shared" si="267"/>
        <v>107</v>
      </c>
      <c r="AB110" s="91">
        <f t="shared" si="268"/>
        <v>107</v>
      </c>
      <c r="AC110" s="92">
        <f t="shared" si="269"/>
        <v>20</v>
      </c>
      <c r="AD110" s="92">
        <f t="shared" si="270"/>
        <v>30</v>
      </c>
      <c r="AE110" s="92">
        <f t="shared" si="271"/>
        <v>20</v>
      </c>
      <c r="AF110" s="100">
        <f t="shared" si="272"/>
        <v>321.00000000000006</v>
      </c>
      <c r="AG110" s="100">
        <f t="shared" si="273"/>
        <v>321.00000000000006</v>
      </c>
      <c r="AH110" s="91">
        <f t="shared" si="274"/>
        <v>107</v>
      </c>
      <c r="AI110" s="91">
        <f t="shared" si="275"/>
        <v>2140</v>
      </c>
      <c r="AJ110" s="101">
        <v>1</v>
      </c>
      <c r="AK110" s="102">
        <f t="shared" si="276"/>
        <v>10.700000000000001</v>
      </c>
    </row>
    <row r="111" spans="2:37">
      <c r="B111" s="6">
        <v>108</v>
      </c>
      <c r="C111" s="81">
        <f t="shared" si="254"/>
        <v>108</v>
      </c>
      <c r="D111" s="82">
        <f t="shared" si="255"/>
        <v>100</v>
      </c>
      <c r="E111" s="83">
        <v>1</v>
      </c>
      <c r="F111" s="83">
        <v>1</v>
      </c>
      <c r="G111" s="84">
        <f t="shared" si="209"/>
        <v>108</v>
      </c>
      <c r="H111" s="85">
        <v>9</v>
      </c>
      <c r="I111" s="85">
        <v>7</v>
      </c>
      <c r="J111" s="86">
        <v>108</v>
      </c>
      <c r="K111" s="86">
        <f t="shared" si="278"/>
        <v>108</v>
      </c>
      <c r="L111" s="86">
        <v>5</v>
      </c>
      <c r="M111" s="89">
        <v>20</v>
      </c>
      <c r="N111" s="86"/>
      <c r="O111" s="90">
        <f t="shared" si="257"/>
        <v>108</v>
      </c>
      <c r="P111" s="91">
        <f t="shared" si="258"/>
        <v>100</v>
      </c>
      <c r="Q111" s="92">
        <f t="shared" si="259"/>
        <v>20</v>
      </c>
      <c r="R111" s="92">
        <f t="shared" si="260"/>
        <v>30</v>
      </c>
      <c r="S111" s="93">
        <f t="shared" si="261"/>
        <v>2160</v>
      </c>
      <c r="T111" s="94">
        <f t="shared" si="262"/>
        <v>270</v>
      </c>
      <c r="U111" s="94">
        <f t="shared" si="263"/>
        <v>270</v>
      </c>
      <c r="V111" s="12">
        <f t="shared" si="264"/>
        <v>108</v>
      </c>
      <c r="W111" s="12">
        <f t="shared" si="265"/>
        <v>75.599999999999994</v>
      </c>
      <c r="X111" s="12">
        <v>5</v>
      </c>
      <c r="Y111" s="97">
        <f t="shared" si="266"/>
        <v>14</v>
      </c>
      <c r="Z111" s="98"/>
      <c r="AA111" s="99">
        <f t="shared" si="267"/>
        <v>108</v>
      </c>
      <c r="AB111" s="91">
        <f t="shared" si="268"/>
        <v>108</v>
      </c>
      <c r="AC111" s="92">
        <f t="shared" si="269"/>
        <v>20</v>
      </c>
      <c r="AD111" s="92">
        <f t="shared" si="270"/>
        <v>30</v>
      </c>
      <c r="AE111" s="92">
        <f t="shared" si="271"/>
        <v>20</v>
      </c>
      <c r="AF111" s="100">
        <f t="shared" si="272"/>
        <v>324</v>
      </c>
      <c r="AG111" s="100">
        <f t="shared" si="273"/>
        <v>324</v>
      </c>
      <c r="AH111" s="91">
        <f t="shared" si="274"/>
        <v>108</v>
      </c>
      <c r="AI111" s="91">
        <f t="shared" si="275"/>
        <v>2160</v>
      </c>
      <c r="AJ111" s="101">
        <v>1</v>
      </c>
      <c r="AK111" s="102">
        <f t="shared" si="276"/>
        <v>10.8</v>
      </c>
    </row>
    <row r="112" spans="2:37">
      <c r="B112" s="6">
        <v>109</v>
      </c>
      <c r="C112" s="81">
        <f t="shared" si="254"/>
        <v>109</v>
      </c>
      <c r="D112" s="82">
        <f t="shared" si="255"/>
        <v>100</v>
      </c>
      <c r="E112" s="83">
        <v>1</v>
      </c>
      <c r="F112" s="83">
        <v>1</v>
      </c>
      <c r="G112" s="84">
        <f t="shared" si="209"/>
        <v>109</v>
      </c>
      <c r="H112" s="85">
        <v>9</v>
      </c>
      <c r="I112" s="85">
        <v>7</v>
      </c>
      <c r="J112" s="86">
        <v>109</v>
      </c>
      <c r="K112" s="86">
        <f t="shared" si="278"/>
        <v>109</v>
      </c>
      <c r="L112" s="86">
        <v>5</v>
      </c>
      <c r="M112" s="89">
        <v>20</v>
      </c>
      <c r="N112" s="86"/>
      <c r="O112" s="90">
        <f t="shared" si="257"/>
        <v>109</v>
      </c>
      <c r="P112" s="91">
        <f t="shared" si="258"/>
        <v>100</v>
      </c>
      <c r="Q112" s="92">
        <f t="shared" si="259"/>
        <v>20</v>
      </c>
      <c r="R112" s="92">
        <f t="shared" si="260"/>
        <v>30</v>
      </c>
      <c r="S112" s="93">
        <f t="shared" si="261"/>
        <v>2180</v>
      </c>
      <c r="T112" s="94">
        <f t="shared" si="262"/>
        <v>270</v>
      </c>
      <c r="U112" s="94">
        <f t="shared" si="263"/>
        <v>270</v>
      </c>
      <c r="V112" s="12">
        <f t="shared" si="264"/>
        <v>109</v>
      </c>
      <c r="W112" s="12">
        <f t="shared" si="265"/>
        <v>76.3</v>
      </c>
      <c r="X112" s="12">
        <v>5</v>
      </c>
      <c r="Y112" s="97">
        <f t="shared" si="266"/>
        <v>14</v>
      </c>
      <c r="Z112" s="98"/>
      <c r="AA112" s="99">
        <f t="shared" si="267"/>
        <v>109</v>
      </c>
      <c r="AB112" s="91">
        <f t="shared" si="268"/>
        <v>109</v>
      </c>
      <c r="AC112" s="92">
        <f t="shared" si="269"/>
        <v>20</v>
      </c>
      <c r="AD112" s="92">
        <f t="shared" si="270"/>
        <v>30</v>
      </c>
      <c r="AE112" s="92">
        <f t="shared" si="271"/>
        <v>20</v>
      </c>
      <c r="AF112" s="100">
        <f t="shared" si="272"/>
        <v>327</v>
      </c>
      <c r="AG112" s="100">
        <f t="shared" si="273"/>
        <v>327</v>
      </c>
      <c r="AH112" s="91">
        <f t="shared" si="274"/>
        <v>109</v>
      </c>
      <c r="AI112" s="91">
        <f t="shared" si="275"/>
        <v>2180</v>
      </c>
      <c r="AJ112" s="101">
        <v>1</v>
      </c>
      <c r="AK112" s="102">
        <f t="shared" si="276"/>
        <v>10.9</v>
      </c>
    </row>
    <row r="113" spans="2:37">
      <c r="B113" s="6">
        <v>110</v>
      </c>
      <c r="C113" s="81">
        <f t="shared" si="254"/>
        <v>110</v>
      </c>
      <c r="D113" s="82">
        <f t="shared" si="255"/>
        <v>110</v>
      </c>
      <c r="E113" s="83">
        <v>1</v>
      </c>
      <c r="F113" s="83">
        <v>1</v>
      </c>
      <c r="G113" s="84">
        <f t="shared" si="209"/>
        <v>110</v>
      </c>
      <c r="H113" s="85">
        <v>9</v>
      </c>
      <c r="I113" s="85">
        <v>7</v>
      </c>
      <c r="J113" s="86">
        <v>110</v>
      </c>
      <c r="K113" s="86">
        <f t="shared" si="278"/>
        <v>110</v>
      </c>
      <c r="L113" s="86">
        <v>5</v>
      </c>
      <c r="M113" s="89">
        <v>20</v>
      </c>
      <c r="N113" s="86"/>
      <c r="O113" s="90">
        <f t="shared" si="257"/>
        <v>110</v>
      </c>
      <c r="P113" s="91">
        <f t="shared" si="258"/>
        <v>110</v>
      </c>
      <c r="Q113" s="92">
        <f t="shared" si="259"/>
        <v>20</v>
      </c>
      <c r="R113" s="92">
        <f t="shared" si="260"/>
        <v>30</v>
      </c>
      <c r="S113" s="93">
        <f t="shared" si="261"/>
        <v>2200</v>
      </c>
      <c r="T113" s="94">
        <f t="shared" si="262"/>
        <v>270</v>
      </c>
      <c r="U113" s="94">
        <f t="shared" si="263"/>
        <v>270</v>
      </c>
      <c r="V113" s="12">
        <f t="shared" si="264"/>
        <v>110</v>
      </c>
      <c r="W113" s="12">
        <f t="shared" si="265"/>
        <v>77</v>
      </c>
      <c r="X113" s="12">
        <v>5</v>
      </c>
      <c r="Y113" s="97">
        <f t="shared" si="266"/>
        <v>14</v>
      </c>
      <c r="Z113" s="98"/>
      <c r="AA113" s="99">
        <f t="shared" si="267"/>
        <v>110</v>
      </c>
      <c r="AB113" s="91">
        <f t="shared" si="268"/>
        <v>110</v>
      </c>
      <c r="AC113" s="92">
        <f t="shared" si="269"/>
        <v>20</v>
      </c>
      <c r="AD113" s="92">
        <f t="shared" si="270"/>
        <v>30</v>
      </c>
      <c r="AE113" s="92">
        <f t="shared" si="271"/>
        <v>20</v>
      </c>
      <c r="AF113" s="100">
        <f t="shared" si="272"/>
        <v>330</v>
      </c>
      <c r="AG113" s="100">
        <f t="shared" si="273"/>
        <v>330</v>
      </c>
      <c r="AH113" s="91">
        <f t="shared" si="274"/>
        <v>110</v>
      </c>
      <c r="AI113" s="91">
        <f t="shared" si="275"/>
        <v>2200</v>
      </c>
      <c r="AJ113" s="101">
        <v>1</v>
      </c>
      <c r="AK113" s="102">
        <f t="shared" si="276"/>
        <v>11</v>
      </c>
    </row>
    <row r="114" spans="2:37">
      <c r="B114" s="6">
        <v>111</v>
      </c>
      <c r="C114" s="81">
        <f t="shared" si="254"/>
        <v>111</v>
      </c>
      <c r="D114" s="82">
        <f t="shared" si="255"/>
        <v>110</v>
      </c>
      <c r="E114" s="83">
        <v>1</v>
      </c>
      <c r="F114" s="83">
        <v>1</v>
      </c>
      <c r="G114" s="84">
        <f t="shared" si="209"/>
        <v>111</v>
      </c>
      <c r="H114" s="85">
        <v>9</v>
      </c>
      <c r="I114" s="85">
        <v>7</v>
      </c>
      <c r="J114" s="86">
        <v>111</v>
      </c>
      <c r="K114" s="86">
        <f t="shared" si="278"/>
        <v>111</v>
      </c>
      <c r="L114" s="86">
        <v>5</v>
      </c>
      <c r="M114" s="89">
        <v>20</v>
      </c>
      <c r="N114" s="86"/>
      <c r="O114" s="90">
        <f t="shared" si="257"/>
        <v>111</v>
      </c>
      <c r="P114" s="91">
        <f t="shared" si="258"/>
        <v>110</v>
      </c>
      <c r="Q114" s="92">
        <f t="shared" si="259"/>
        <v>20</v>
      </c>
      <c r="R114" s="92">
        <f t="shared" si="260"/>
        <v>30</v>
      </c>
      <c r="S114" s="93">
        <f t="shared" si="261"/>
        <v>2220</v>
      </c>
      <c r="T114" s="94">
        <f t="shared" si="262"/>
        <v>270</v>
      </c>
      <c r="U114" s="94">
        <f t="shared" si="263"/>
        <v>270</v>
      </c>
      <c r="V114" s="12">
        <f t="shared" si="264"/>
        <v>111</v>
      </c>
      <c r="W114" s="12">
        <f t="shared" si="265"/>
        <v>77.699999999999989</v>
      </c>
      <c r="X114" s="12">
        <v>5</v>
      </c>
      <c r="Y114" s="97">
        <f t="shared" si="266"/>
        <v>14</v>
      </c>
      <c r="Z114" s="98"/>
      <c r="AA114" s="99">
        <f t="shared" si="267"/>
        <v>111</v>
      </c>
      <c r="AB114" s="91">
        <f t="shared" si="268"/>
        <v>111</v>
      </c>
      <c r="AC114" s="92">
        <f t="shared" si="269"/>
        <v>20</v>
      </c>
      <c r="AD114" s="92">
        <f t="shared" si="270"/>
        <v>30</v>
      </c>
      <c r="AE114" s="92">
        <f t="shared" si="271"/>
        <v>20</v>
      </c>
      <c r="AF114" s="100">
        <f t="shared" si="272"/>
        <v>333.00000000000006</v>
      </c>
      <c r="AG114" s="100">
        <f t="shared" si="273"/>
        <v>333.00000000000006</v>
      </c>
      <c r="AH114" s="91">
        <f t="shared" si="274"/>
        <v>111</v>
      </c>
      <c r="AI114" s="91">
        <f t="shared" si="275"/>
        <v>2220</v>
      </c>
      <c r="AJ114" s="101">
        <v>1</v>
      </c>
      <c r="AK114" s="102">
        <f t="shared" si="276"/>
        <v>11.100000000000001</v>
      </c>
    </row>
    <row r="115" spans="2:37">
      <c r="B115" s="6">
        <v>112</v>
      </c>
      <c r="C115" s="81">
        <f t="shared" si="254"/>
        <v>112</v>
      </c>
      <c r="D115" s="82">
        <f t="shared" si="255"/>
        <v>110</v>
      </c>
      <c r="E115" s="83">
        <v>1</v>
      </c>
      <c r="F115" s="83">
        <v>1</v>
      </c>
      <c r="G115" s="84">
        <f t="shared" si="209"/>
        <v>112</v>
      </c>
      <c r="H115" s="85">
        <v>9</v>
      </c>
      <c r="I115" s="85">
        <v>7</v>
      </c>
      <c r="J115" s="86">
        <v>112</v>
      </c>
      <c r="K115" s="86">
        <f t="shared" si="278"/>
        <v>112</v>
      </c>
      <c r="L115" s="86">
        <v>5</v>
      </c>
      <c r="M115" s="89">
        <v>20</v>
      </c>
      <c r="N115" s="86"/>
      <c r="O115" s="90">
        <f t="shared" si="257"/>
        <v>112</v>
      </c>
      <c r="P115" s="91">
        <f t="shared" si="258"/>
        <v>110</v>
      </c>
      <c r="Q115" s="92">
        <f t="shared" si="259"/>
        <v>20</v>
      </c>
      <c r="R115" s="92">
        <f t="shared" si="260"/>
        <v>30</v>
      </c>
      <c r="S115" s="93">
        <f t="shared" si="261"/>
        <v>2240</v>
      </c>
      <c r="T115" s="94">
        <f t="shared" si="262"/>
        <v>270</v>
      </c>
      <c r="U115" s="94">
        <f t="shared" si="263"/>
        <v>270</v>
      </c>
      <c r="V115" s="12">
        <f t="shared" si="264"/>
        <v>112</v>
      </c>
      <c r="W115" s="12">
        <f t="shared" si="265"/>
        <v>78.399999999999991</v>
      </c>
      <c r="X115" s="12">
        <v>5</v>
      </c>
      <c r="Y115" s="97">
        <f t="shared" si="266"/>
        <v>14</v>
      </c>
      <c r="Z115" s="98"/>
      <c r="AA115" s="99">
        <f t="shared" si="267"/>
        <v>112</v>
      </c>
      <c r="AB115" s="91">
        <f t="shared" si="268"/>
        <v>112</v>
      </c>
      <c r="AC115" s="92">
        <f t="shared" si="269"/>
        <v>20</v>
      </c>
      <c r="AD115" s="92">
        <f t="shared" si="270"/>
        <v>30</v>
      </c>
      <c r="AE115" s="92">
        <f t="shared" si="271"/>
        <v>20</v>
      </c>
      <c r="AF115" s="100">
        <f t="shared" si="272"/>
        <v>336.00000000000006</v>
      </c>
      <c r="AG115" s="100">
        <f t="shared" si="273"/>
        <v>336.00000000000006</v>
      </c>
      <c r="AH115" s="91">
        <f t="shared" si="274"/>
        <v>112</v>
      </c>
      <c r="AI115" s="91">
        <f t="shared" si="275"/>
        <v>2240</v>
      </c>
      <c r="AJ115" s="101">
        <v>1</v>
      </c>
      <c r="AK115" s="102">
        <f t="shared" si="276"/>
        <v>11.200000000000001</v>
      </c>
    </row>
    <row r="116" spans="2:37">
      <c r="B116" s="6">
        <v>113</v>
      </c>
      <c r="C116" s="81">
        <f t="shared" si="254"/>
        <v>113</v>
      </c>
      <c r="D116" s="82">
        <f t="shared" si="255"/>
        <v>110</v>
      </c>
      <c r="E116" s="83">
        <v>1</v>
      </c>
      <c r="F116" s="83">
        <v>1</v>
      </c>
      <c r="G116" s="84">
        <f t="shared" si="209"/>
        <v>113</v>
      </c>
      <c r="H116" s="85">
        <v>9</v>
      </c>
      <c r="I116" s="85">
        <v>7</v>
      </c>
      <c r="J116" s="86">
        <v>113</v>
      </c>
      <c r="K116" s="86">
        <f t="shared" si="278"/>
        <v>113</v>
      </c>
      <c r="L116" s="86">
        <v>5</v>
      </c>
      <c r="M116" s="89">
        <v>20</v>
      </c>
      <c r="N116" s="86"/>
      <c r="O116" s="90">
        <f t="shared" si="257"/>
        <v>113</v>
      </c>
      <c r="P116" s="91">
        <f t="shared" si="258"/>
        <v>110</v>
      </c>
      <c r="Q116" s="92">
        <f t="shared" si="259"/>
        <v>20</v>
      </c>
      <c r="R116" s="92">
        <f t="shared" si="260"/>
        <v>30</v>
      </c>
      <c r="S116" s="93">
        <f t="shared" si="261"/>
        <v>2260</v>
      </c>
      <c r="T116" s="94">
        <f t="shared" si="262"/>
        <v>270</v>
      </c>
      <c r="U116" s="94">
        <f t="shared" si="263"/>
        <v>270</v>
      </c>
      <c r="V116" s="12">
        <f t="shared" si="264"/>
        <v>113</v>
      </c>
      <c r="W116" s="12">
        <f t="shared" si="265"/>
        <v>79.099999999999994</v>
      </c>
      <c r="X116" s="12">
        <v>5</v>
      </c>
      <c r="Y116" s="97">
        <f t="shared" si="266"/>
        <v>14</v>
      </c>
      <c r="Z116" s="98"/>
      <c r="AA116" s="99">
        <f t="shared" si="267"/>
        <v>113</v>
      </c>
      <c r="AB116" s="91">
        <f t="shared" si="268"/>
        <v>113</v>
      </c>
      <c r="AC116" s="92">
        <f t="shared" si="269"/>
        <v>20</v>
      </c>
      <c r="AD116" s="92">
        <f t="shared" si="270"/>
        <v>30</v>
      </c>
      <c r="AE116" s="92">
        <f t="shared" si="271"/>
        <v>20</v>
      </c>
      <c r="AF116" s="100">
        <f t="shared" si="272"/>
        <v>339</v>
      </c>
      <c r="AG116" s="100">
        <f t="shared" si="273"/>
        <v>339</v>
      </c>
      <c r="AH116" s="91">
        <f t="shared" si="274"/>
        <v>113</v>
      </c>
      <c r="AI116" s="91">
        <f t="shared" si="275"/>
        <v>2260</v>
      </c>
      <c r="AJ116" s="101">
        <v>1</v>
      </c>
      <c r="AK116" s="102">
        <f t="shared" si="276"/>
        <v>11.3</v>
      </c>
    </row>
    <row r="117" spans="2:37">
      <c r="B117" s="6">
        <v>114</v>
      </c>
      <c r="C117" s="81">
        <f t="shared" si="254"/>
        <v>114</v>
      </c>
      <c r="D117" s="82">
        <f t="shared" si="255"/>
        <v>110</v>
      </c>
      <c r="E117" s="83">
        <v>1</v>
      </c>
      <c r="F117" s="83">
        <v>1</v>
      </c>
      <c r="G117" s="84">
        <f t="shared" ref="G117" si="279">B117</f>
        <v>114</v>
      </c>
      <c r="H117" s="85">
        <v>9</v>
      </c>
      <c r="I117" s="85">
        <v>7</v>
      </c>
      <c r="J117" s="86">
        <v>114</v>
      </c>
      <c r="K117" s="86">
        <f t="shared" si="278"/>
        <v>114</v>
      </c>
      <c r="L117" s="86">
        <v>5</v>
      </c>
      <c r="M117" s="89">
        <v>20</v>
      </c>
      <c r="N117" s="86"/>
      <c r="O117" s="90">
        <f t="shared" si="257"/>
        <v>114</v>
      </c>
      <c r="P117" s="91">
        <f t="shared" si="258"/>
        <v>110</v>
      </c>
      <c r="Q117" s="92">
        <f t="shared" si="259"/>
        <v>20</v>
      </c>
      <c r="R117" s="92">
        <f t="shared" si="260"/>
        <v>30</v>
      </c>
      <c r="S117" s="93">
        <f t="shared" si="261"/>
        <v>2280</v>
      </c>
      <c r="T117" s="94">
        <f t="shared" si="262"/>
        <v>270</v>
      </c>
      <c r="U117" s="94">
        <f t="shared" si="263"/>
        <v>270</v>
      </c>
      <c r="V117" s="12">
        <f t="shared" si="264"/>
        <v>114</v>
      </c>
      <c r="W117" s="12">
        <f t="shared" si="265"/>
        <v>79.8</v>
      </c>
      <c r="X117" s="12">
        <v>5</v>
      </c>
      <c r="Y117" s="97">
        <f t="shared" si="266"/>
        <v>14</v>
      </c>
      <c r="Z117" s="98"/>
      <c r="AA117" s="99">
        <f t="shared" si="267"/>
        <v>114</v>
      </c>
      <c r="AB117" s="91">
        <f t="shared" si="268"/>
        <v>114</v>
      </c>
      <c r="AC117" s="92">
        <f t="shared" si="269"/>
        <v>20</v>
      </c>
      <c r="AD117" s="92">
        <f t="shared" si="270"/>
        <v>30</v>
      </c>
      <c r="AE117" s="92">
        <f t="shared" si="271"/>
        <v>20</v>
      </c>
      <c r="AF117" s="100">
        <f t="shared" si="272"/>
        <v>342</v>
      </c>
      <c r="AG117" s="100">
        <f t="shared" si="273"/>
        <v>342</v>
      </c>
      <c r="AH117" s="91">
        <f t="shared" si="274"/>
        <v>114</v>
      </c>
      <c r="AI117" s="91">
        <f t="shared" si="275"/>
        <v>2280</v>
      </c>
      <c r="AJ117" s="101">
        <v>1</v>
      </c>
      <c r="AK117" s="102">
        <f t="shared" si="276"/>
        <v>11.4</v>
      </c>
    </row>
    <row r="118" spans="2:37">
      <c r="B118" s="6">
        <v>115</v>
      </c>
      <c r="C118" s="81">
        <f t="shared" si="254"/>
        <v>115</v>
      </c>
      <c r="D118" s="82">
        <f t="shared" si="255"/>
        <v>110</v>
      </c>
      <c r="E118" s="83">
        <v>1</v>
      </c>
      <c r="F118" s="83">
        <v>1</v>
      </c>
      <c r="G118" s="84">
        <f t="shared" ref="G118" si="280">B118</f>
        <v>115</v>
      </c>
      <c r="H118" s="85">
        <v>9</v>
      </c>
      <c r="I118" s="85">
        <v>7</v>
      </c>
      <c r="J118" s="86">
        <v>115</v>
      </c>
      <c r="K118" s="86">
        <f t="shared" si="278"/>
        <v>115</v>
      </c>
      <c r="L118" s="86">
        <v>5</v>
      </c>
      <c r="M118" s="89">
        <v>20</v>
      </c>
      <c r="N118" s="86"/>
      <c r="O118" s="90">
        <f t="shared" si="257"/>
        <v>115</v>
      </c>
      <c r="P118" s="91">
        <f t="shared" si="258"/>
        <v>110</v>
      </c>
      <c r="Q118" s="92">
        <f t="shared" si="259"/>
        <v>20</v>
      </c>
      <c r="R118" s="92">
        <f t="shared" si="260"/>
        <v>30</v>
      </c>
      <c r="S118" s="93">
        <f t="shared" si="261"/>
        <v>2300</v>
      </c>
      <c r="T118" s="94">
        <f t="shared" si="262"/>
        <v>270</v>
      </c>
      <c r="U118" s="94">
        <f t="shared" si="263"/>
        <v>270</v>
      </c>
      <c r="V118" s="12">
        <f t="shared" si="264"/>
        <v>115</v>
      </c>
      <c r="W118" s="12">
        <f t="shared" si="265"/>
        <v>80.5</v>
      </c>
      <c r="X118" s="12">
        <v>5</v>
      </c>
      <c r="Y118" s="97">
        <f t="shared" si="266"/>
        <v>14</v>
      </c>
      <c r="Z118" s="98"/>
      <c r="AA118" s="99">
        <f t="shared" si="267"/>
        <v>115</v>
      </c>
      <c r="AB118" s="91">
        <f t="shared" si="268"/>
        <v>115</v>
      </c>
      <c r="AC118" s="92">
        <f t="shared" si="269"/>
        <v>20</v>
      </c>
      <c r="AD118" s="92">
        <f t="shared" si="270"/>
        <v>30</v>
      </c>
      <c r="AE118" s="92">
        <f t="shared" si="271"/>
        <v>20</v>
      </c>
      <c r="AF118" s="100">
        <f t="shared" si="272"/>
        <v>345</v>
      </c>
      <c r="AG118" s="100">
        <f t="shared" si="273"/>
        <v>345</v>
      </c>
      <c r="AH118" s="91">
        <f t="shared" si="274"/>
        <v>115</v>
      </c>
      <c r="AI118" s="91">
        <f t="shared" si="275"/>
        <v>2300</v>
      </c>
      <c r="AJ118" s="101">
        <v>1</v>
      </c>
      <c r="AK118" s="102">
        <f t="shared" si="276"/>
        <v>11.5</v>
      </c>
    </row>
    <row r="119" spans="2:37">
      <c r="B119" s="6">
        <v>116</v>
      </c>
      <c r="C119" s="81">
        <f t="shared" si="254"/>
        <v>116</v>
      </c>
      <c r="D119" s="82">
        <f t="shared" si="255"/>
        <v>110</v>
      </c>
      <c r="E119" s="83">
        <v>1</v>
      </c>
      <c r="F119" s="83">
        <v>1</v>
      </c>
      <c r="G119" s="84">
        <f t="shared" ref="G119:G153" si="281">B119</f>
        <v>116</v>
      </c>
      <c r="H119" s="85">
        <v>9</v>
      </c>
      <c r="I119" s="85">
        <v>7</v>
      </c>
      <c r="J119" s="86">
        <v>116</v>
      </c>
      <c r="K119" s="86">
        <f t="shared" si="278"/>
        <v>116</v>
      </c>
      <c r="L119" s="86">
        <v>5</v>
      </c>
      <c r="M119" s="89">
        <v>20</v>
      </c>
      <c r="N119" s="86"/>
      <c r="O119" s="90">
        <f t="shared" si="257"/>
        <v>116</v>
      </c>
      <c r="P119" s="91">
        <f t="shared" si="258"/>
        <v>110</v>
      </c>
      <c r="Q119" s="92">
        <f t="shared" si="259"/>
        <v>20</v>
      </c>
      <c r="R119" s="92">
        <f t="shared" si="260"/>
        <v>30</v>
      </c>
      <c r="S119" s="93">
        <f t="shared" si="261"/>
        <v>2320</v>
      </c>
      <c r="T119" s="94">
        <f t="shared" si="262"/>
        <v>270</v>
      </c>
      <c r="U119" s="94">
        <f t="shared" si="263"/>
        <v>270</v>
      </c>
      <c r="V119" s="12">
        <f t="shared" si="264"/>
        <v>116</v>
      </c>
      <c r="W119" s="12">
        <f t="shared" si="265"/>
        <v>81.199999999999989</v>
      </c>
      <c r="X119" s="12">
        <v>5</v>
      </c>
      <c r="Y119" s="97">
        <f t="shared" si="266"/>
        <v>14</v>
      </c>
      <c r="Z119" s="98"/>
      <c r="AA119" s="99">
        <f t="shared" si="267"/>
        <v>116</v>
      </c>
      <c r="AB119" s="91">
        <f t="shared" si="268"/>
        <v>116</v>
      </c>
      <c r="AC119" s="92">
        <f t="shared" si="269"/>
        <v>20</v>
      </c>
      <c r="AD119" s="92">
        <f t="shared" si="270"/>
        <v>30</v>
      </c>
      <c r="AE119" s="92">
        <f t="shared" si="271"/>
        <v>20</v>
      </c>
      <c r="AF119" s="100">
        <f t="shared" si="272"/>
        <v>348.00000000000006</v>
      </c>
      <c r="AG119" s="100">
        <f t="shared" si="273"/>
        <v>348.00000000000006</v>
      </c>
      <c r="AH119" s="91">
        <f t="shared" si="274"/>
        <v>116</v>
      </c>
      <c r="AI119" s="91">
        <f t="shared" si="275"/>
        <v>2320</v>
      </c>
      <c r="AJ119" s="101">
        <v>1</v>
      </c>
      <c r="AK119" s="102">
        <f t="shared" si="276"/>
        <v>11.600000000000001</v>
      </c>
    </row>
    <row r="120" spans="2:37">
      <c r="B120" s="6">
        <v>117</v>
      </c>
      <c r="C120" s="81">
        <f t="shared" si="254"/>
        <v>117</v>
      </c>
      <c r="D120" s="82">
        <f t="shared" si="255"/>
        <v>110</v>
      </c>
      <c r="E120" s="83">
        <v>1</v>
      </c>
      <c r="F120" s="83">
        <v>1</v>
      </c>
      <c r="G120" s="84">
        <f t="shared" si="281"/>
        <v>117</v>
      </c>
      <c r="H120" s="85">
        <v>9</v>
      </c>
      <c r="I120" s="85">
        <v>7</v>
      </c>
      <c r="J120" s="86">
        <v>117</v>
      </c>
      <c r="K120" s="86">
        <f t="shared" si="278"/>
        <v>117</v>
      </c>
      <c r="L120" s="86">
        <v>5</v>
      </c>
      <c r="M120" s="89">
        <v>20</v>
      </c>
      <c r="N120" s="86"/>
      <c r="O120" s="90">
        <f t="shared" si="257"/>
        <v>117</v>
      </c>
      <c r="P120" s="91">
        <f t="shared" si="258"/>
        <v>110</v>
      </c>
      <c r="Q120" s="92">
        <f t="shared" si="259"/>
        <v>20</v>
      </c>
      <c r="R120" s="92">
        <f t="shared" si="260"/>
        <v>30</v>
      </c>
      <c r="S120" s="93">
        <f t="shared" si="261"/>
        <v>2340</v>
      </c>
      <c r="T120" s="94">
        <f t="shared" si="262"/>
        <v>270</v>
      </c>
      <c r="U120" s="94">
        <f t="shared" si="263"/>
        <v>270</v>
      </c>
      <c r="V120" s="12">
        <f t="shared" si="264"/>
        <v>117</v>
      </c>
      <c r="W120" s="12">
        <f t="shared" si="265"/>
        <v>81.899999999999991</v>
      </c>
      <c r="X120" s="12">
        <v>5</v>
      </c>
      <c r="Y120" s="97">
        <f t="shared" si="266"/>
        <v>14</v>
      </c>
      <c r="Z120" s="98"/>
      <c r="AA120" s="99">
        <f t="shared" si="267"/>
        <v>117</v>
      </c>
      <c r="AB120" s="91">
        <f t="shared" si="268"/>
        <v>117</v>
      </c>
      <c r="AC120" s="92">
        <f t="shared" si="269"/>
        <v>20</v>
      </c>
      <c r="AD120" s="92">
        <f t="shared" si="270"/>
        <v>30</v>
      </c>
      <c r="AE120" s="92">
        <f t="shared" si="271"/>
        <v>20</v>
      </c>
      <c r="AF120" s="100">
        <f t="shared" si="272"/>
        <v>351.00000000000006</v>
      </c>
      <c r="AG120" s="100">
        <f t="shared" si="273"/>
        <v>351.00000000000006</v>
      </c>
      <c r="AH120" s="91">
        <f t="shared" si="274"/>
        <v>117</v>
      </c>
      <c r="AI120" s="91">
        <f t="shared" si="275"/>
        <v>2340</v>
      </c>
      <c r="AJ120" s="101">
        <v>1</v>
      </c>
      <c r="AK120" s="102">
        <f t="shared" si="276"/>
        <v>11.700000000000001</v>
      </c>
    </row>
    <row r="121" spans="2:37">
      <c r="B121" s="6">
        <v>118</v>
      </c>
      <c r="C121" s="81">
        <f t="shared" si="254"/>
        <v>118</v>
      </c>
      <c r="D121" s="82">
        <f t="shared" si="255"/>
        <v>110</v>
      </c>
      <c r="E121" s="83">
        <v>1</v>
      </c>
      <c r="F121" s="83">
        <v>1</v>
      </c>
      <c r="G121" s="84">
        <f t="shared" si="281"/>
        <v>118</v>
      </c>
      <c r="H121" s="85">
        <v>9</v>
      </c>
      <c r="I121" s="85">
        <v>7</v>
      </c>
      <c r="J121" s="86">
        <v>118</v>
      </c>
      <c r="K121" s="86">
        <f t="shared" si="278"/>
        <v>118</v>
      </c>
      <c r="L121" s="86">
        <v>5</v>
      </c>
      <c r="M121" s="89">
        <v>20</v>
      </c>
      <c r="N121" s="86"/>
      <c r="O121" s="90">
        <f t="shared" si="257"/>
        <v>118</v>
      </c>
      <c r="P121" s="91">
        <f t="shared" si="258"/>
        <v>110</v>
      </c>
      <c r="Q121" s="92">
        <f t="shared" si="259"/>
        <v>20</v>
      </c>
      <c r="R121" s="92">
        <f t="shared" si="260"/>
        <v>30</v>
      </c>
      <c r="S121" s="93">
        <f t="shared" si="261"/>
        <v>2360</v>
      </c>
      <c r="T121" s="94">
        <f t="shared" si="262"/>
        <v>270</v>
      </c>
      <c r="U121" s="94">
        <f t="shared" si="263"/>
        <v>270</v>
      </c>
      <c r="V121" s="12">
        <f t="shared" si="264"/>
        <v>118</v>
      </c>
      <c r="W121" s="12">
        <f t="shared" si="265"/>
        <v>82.6</v>
      </c>
      <c r="X121" s="12">
        <v>5</v>
      </c>
      <c r="Y121" s="97">
        <f t="shared" si="266"/>
        <v>14</v>
      </c>
      <c r="Z121" s="98"/>
      <c r="AA121" s="99">
        <f t="shared" si="267"/>
        <v>118</v>
      </c>
      <c r="AB121" s="91">
        <f t="shared" si="268"/>
        <v>118</v>
      </c>
      <c r="AC121" s="92">
        <f t="shared" si="269"/>
        <v>20</v>
      </c>
      <c r="AD121" s="92">
        <f t="shared" si="270"/>
        <v>30</v>
      </c>
      <c r="AE121" s="92">
        <f t="shared" si="271"/>
        <v>20</v>
      </c>
      <c r="AF121" s="100">
        <f t="shared" si="272"/>
        <v>354</v>
      </c>
      <c r="AG121" s="100">
        <f t="shared" si="273"/>
        <v>354</v>
      </c>
      <c r="AH121" s="91">
        <f t="shared" si="274"/>
        <v>118</v>
      </c>
      <c r="AI121" s="91">
        <f t="shared" si="275"/>
        <v>2360</v>
      </c>
      <c r="AJ121" s="101">
        <v>1</v>
      </c>
      <c r="AK121" s="102">
        <f t="shared" si="276"/>
        <v>11.8</v>
      </c>
    </row>
    <row r="122" spans="2:37">
      <c r="B122" s="6">
        <v>119</v>
      </c>
      <c r="C122" s="81">
        <f t="shared" si="254"/>
        <v>119</v>
      </c>
      <c r="D122" s="82">
        <f t="shared" si="255"/>
        <v>110</v>
      </c>
      <c r="E122" s="83">
        <v>1</v>
      </c>
      <c r="F122" s="83">
        <v>1</v>
      </c>
      <c r="G122" s="84">
        <f t="shared" si="281"/>
        <v>119</v>
      </c>
      <c r="H122" s="85">
        <v>9</v>
      </c>
      <c r="I122" s="85">
        <v>7</v>
      </c>
      <c r="J122" s="86">
        <v>119</v>
      </c>
      <c r="K122" s="86">
        <f t="shared" si="278"/>
        <v>119</v>
      </c>
      <c r="L122" s="86">
        <v>5</v>
      </c>
      <c r="M122" s="89">
        <v>20</v>
      </c>
      <c r="N122" s="86"/>
      <c r="O122" s="90">
        <f t="shared" si="257"/>
        <v>119</v>
      </c>
      <c r="P122" s="91">
        <f t="shared" si="258"/>
        <v>110</v>
      </c>
      <c r="Q122" s="92">
        <f t="shared" si="259"/>
        <v>20</v>
      </c>
      <c r="R122" s="92">
        <f t="shared" si="260"/>
        <v>30</v>
      </c>
      <c r="S122" s="93">
        <f t="shared" si="261"/>
        <v>2380</v>
      </c>
      <c r="T122" s="94">
        <f t="shared" si="262"/>
        <v>270</v>
      </c>
      <c r="U122" s="94">
        <f t="shared" si="263"/>
        <v>270</v>
      </c>
      <c r="V122" s="12">
        <f t="shared" si="264"/>
        <v>119</v>
      </c>
      <c r="W122" s="12">
        <f t="shared" si="265"/>
        <v>83.3</v>
      </c>
      <c r="X122" s="12">
        <v>5</v>
      </c>
      <c r="Y122" s="97">
        <f t="shared" si="266"/>
        <v>14</v>
      </c>
      <c r="Z122" s="98"/>
      <c r="AA122" s="99">
        <f t="shared" si="267"/>
        <v>119</v>
      </c>
      <c r="AB122" s="91">
        <f t="shared" si="268"/>
        <v>119</v>
      </c>
      <c r="AC122" s="92">
        <f t="shared" si="269"/>
        <v>20</v>
      </c>
      <c r="AD122" s="92">
        <f t="shared" si="270"/>
        <v>30</v>
      </c>
      <c r="AE122" s="92">
        <f t="shared" si="271"/>
        <v>20</v>
      </c>
      <c r="AF122" s="100">
        <f t="shared" si="272"/>
        <v>357</v>
      </c>
      <c r="AG122" s="100">
        <f t="shared" si="273"/>
        <v>357</v>
      </c>
      <c r="AH122" s="91">
        <f t="shared" si="274"/>
        <v>119</v>
      </c>
      <c r="AI122" s="91">
        <f t="shared" si="275"/>
        <v>2380</v>
      </c>
      <c r="AJ122" s="101">
        <v>1</v>
      </c>
      <c r="AK122" s="102">
        <f t="shared" si="276"/>
        <v>11.9</v>
      </c>
    </row>
    <row r="123" spans="2:37">
      <c r="B123" s="6">
        <v>120</v>
      </c>
      <c r="C123" s="81">
        <f t="shared" si="254"/>
        <v>120</v>
      </c>
      <c r="D123" s="82">
        <f t="shared" si="255"/>
        <v>120</v>
      </c>
      <c r="E123" s="83">
        <v>1</v>
      </c>
      <c r="F123" s="83">
        <v>1</v>
      </c>
      <c r="G123" s="84">
        <f t="shared" si="281"/>
        <v>120</v>
      </c>
      <c r="H123" s="85">
        <v>9</v>
      </c>
      <c r="I123" s="85">
        <v>7</v>
      </c>
      <c r="J123" s="86">
        <v>120</v>
      </c>
      <c r="K123" s="86">
        <f t="shared" si="278"/>
        <v>120</v>
      </c>
      <c r="L123" s="86">
        <v>5</v>
      </c>
      <c r="M123" s="89">
        <v>20</v>
      </c>
      <c r="N123" s="86"/>
      <c r="O123" s="90">
        <f t="shared" si="257"/>
        <v>120</v>
      </c>
      <c r="P123" s="91">
        <f t="shared" si="258"/>
        <v>120</v>
      </c>
      <c r="Q123" s="92">
        <f t="shared" si="259"/>
        <v>20</v>
      </c>
      <c r="R123" s="92">
        <f t="shared" si="260"/>
        <v>30</v>
      </c>
      <c r="S123" s="93">
        <f t="shared" si="261"/>
        <v>2400</v>
      </c>
      <c r="T123" s="94">
        <f t="shared" si="262"/>
        <v>270</v>
      </c>
      <c r="U123" s="94">
        <f t="shared" si="263"/>
        <v>270</v>
      </c>
      <c r="V123" s="12">
        <f t="shared" si="264"/>
        <v>120</v>
      </c>
      <c r="W123" s="12">
        <f t="shared" si="265"/>
        <v>84</v>
      </c>
      <c r="X123" s="12">
        <v>5</v>
      </c>
      <c r="Y123" s="97">
        <f t="shared" si="266"/>
        <v>14</v>
      </c>
      <c r="Z123" s="98"/>
      <c r="AA123" s="99">
        <f t="shared" si="267"/>
        <v>120</v>
      </c>
      <c r="AB123" s="91">
        <f t="shared" si="268"/>
        <v>120</v>
      </c>
      <c r="AC123" s="92">
        <f t="shared" si="269"/>
        <v>20</v>
      </c>
      <c r="AD123" s="92">
        <f t="shared" si="270"/>
        <v>30</v>
      </c>
      <c r="AE123" s="92">
        <f t="shared" si="271"/>
        <v>20</v>
      </c>
      <c r="AF123" s="100">
        <f t="shared" si="272"/>
        <v>360</v>
      </c>
      <c r="AG123" s="100">
        <f t="shared" si="273"/>
        <v>360</v>
      </c>
      <c r="AH123" s="91">
        <f t="shared" si="274"/>
        <v>120</v>
      </c>
      <c r="AI123" s="91">
        <f t="shared" si="275"/>
        <v>2400</v>
      </c>
      <c r="AJ123" s="101">
        <v>1</v>
      </c>
      <c r="AK123" s="102">
        <f t="shared" si="276"/>
        <v>12</v>
      </c>
    </row>
    <row r="124" spans="2:37">
      <c r="B124" s="6">
        <v>121</v>
      </c>
      <c r="C124" s="81">
        <f t="shared" si="254"/>
        <v>121</v>
      </c>
      <c r="D124" s="82">
        <f t="shared" si="255"/>
        <v>120</v>
      </c>
      <c r="E124" s="83">
        <v>1</v>
      </c>
      <c r="F124" s="83">
        <v>1</v>
      </c>
      <c r="G124" s="84">
        <f t="shared" si="281"/>
        <v>121</v>
      </c>
      <c r="H124" s="85">
        <v>9</v>
      </c>
      <c r="I124" s="85">
        <v>7</v>
      </c>
      <c r="J124" s="86">
        <v>121</v>
      </c>
      <c r="K124" s="86">
        <f t="shared" si="278"/>
        <v>121</v>
      </c>
      <c r="L124" s="86">
        <v>5</v>
      </c>
      <c r="M124" s="89">
        <v>20</v>
      </c>
      <c r="N124" s="86"/>
      <c r="O124" s="90">
        <f t="shared" si="257"/>
        <v>121</v>
      </c>
      <c r="P124" s="91">
        <f t="shared" si="258"/>
        <v>120</v>
      </c>
      <c r="Q124" s="92">
        <f t="shared" si="259"/>
        <v>20</v>
      </c>
      <c r="R124" s="92">
        <f t="shared" si="260"/>
        <v>30</v>
      </c>
      <c r="S124" s="93">
        <f t="shared" si="261"/>
        <v>2420</v>
      </c>
      <c r="T124" s="94">
        <f t="shared" si="262"/>
        <v>270</v>
      </c>
      <c r="U124" s="94">
        <f t="shared" si="263"/>
        <v>270</v>
      </c>
      <c r="V124" s="12">
        <f t="shared" si="264"/>
        <v>121</v>
      </c>
      <c r="W124" s="12">
        <f t="shared" si="265"/>
        <v>84.699999999999989</v>
      </c>
      <c r="X124" s="12">
        <v>5</v>
      </c>
      <c r="Y124" s="97">
        <f t="shared" si="266"/>
        <v>14</v>
      </c>
      <c r="Z124" s="98"/>
      <c r="AA124" s="99">
        <f t="shared" si="267"/>
        <v>121</v>
      </c>
      <c r="AB124" s="91">
        <f t="shared" si="268"/>
        <v>121</v>
      </c>
      <c r="AC124" s="92">
        <f t="shared" si="269"/>
        <v>20</v>
      </c>
      <c r="AD124" s="92">
        <f t="shared" si="270"/>
        <v>30</v>
      </c>
      <c r="AE124" s="92">
        <f t="shared" si="271"/>
        <v>20</v>
      </c>
      <c r="AF124" s="100">
        <f t="shared" si="272"/>
        <v>363.00000000000006</v>
      </c>
      <c r="AG124" s="100">
        <f t="shared" si="273"/>
        <v>363.00000000000006</v>
      </c>
      <c r="AH124" s="91">
        <f t="shared" si="274"/>
        <v>121</v>
      </c>
      <c r="AI124" s="91">
        <f t="shared" si="275"/>
        <v>2420</v>
      </c>
      <c r="AJ124" s="101">
        <v>1</v>
      </c>
      <c r="AK124" s="102">
        <f t="shared" si="276"/>
        <v>12.100000000000001</v>
      </c>
    </row>
    <row r="125" spans="2:37">
      <c r="B125" s="6">
        <v>122</v>
      </c>
      <c r="C125" s="81">
        <f t="shared" si="254"/>
        <v>122</v>
      </c>
      <c r="D125" s="82">
        <f t="shared" si="255"/>
        <v>120</v>
      </c>
      <c r="E125" s="83">
        <v>1</v>
      </c>
      <c r="F125" s="83">
        <v>1</v>
      </c>
      <c r="G125" s="84">
        <f t="shared" si="281"/>
        <v>122</v>
      </c>
      <c r="H125" s="85">
        <v>9</v>
      </c>
      <c r="I125" s="85">
        <v>7</v>
      </c>
      <c r="J125" s="86">
        <v>122</v>
      </c>
      <c r="K125" s="86">
        <f t="shared" si="278"/>
        <v>122</v>
      </c>
      <c r="L125" s="86">
        <v>5</v>
      </c>
      <c r="M125" s="89">
        <v>20</v>
      </c>
      <c r="N125" s="86"/>
      <c r="O125" s="90">
        <f t="shared" si="257"/>
        <v>122</v>
      </c>
      <c r="P125" s="91">
        <f t="shared" si="258"/>
        <v>120</v>
      </c>
      <c r="Q125" s="92">
        <f t="shared" si="259"/>
        <v>20</v>
      </c>
      <c r="R125" s="92">
        <f t="shared" si="260"/>
        <v>30</v>
      </c>
      <c r="S125" s="93">
        <f t="shared" si="261"/>
        <v>2440</v>
      </c>
      <c r="T125" s="94">
        <f t="shared" si="262"/>
        <v>270</v>
      </c>
      <c r="U125" s="94">
        <f t="shared" si="263"/>
        <v>270</v>
      </c>
      <c r="V125" s="12">
        <f t="shared" si="264"/>
        <v>122</v>
      </c>
      <c r="W125" s="12">
        <f t="shared" si="265"/>
        <v>85.399999999999991</v>
      </c>
      <c r="X125" s="12">
        <v>5</v>
      </c>
      <c r="Y125" s="97">
        <f t="shared" si="266"/>
        <v>14</v>
      </c>
      <c r="Z125" s="98"/>
      <c r="AA125" s="99">
        <f t="shared" si="267"/>
        <v>122</v>
      </c>
      <c r="AB125" s="91">
        <f t="shared" si="268"/>
        <v>122</v>
      </c>
      <c r="AC125" s="92">
        <f t="shared" si="269"/>
        <v>20</v>
      </c>
      <c r="AD125" s="92">
        <f t="shared" si="270"/>
        <v>30</v>
      </c>
      <c r="AE125" s="92">
        <f t="shared" si="271"/>
        <v>20</v>
      </c>
      <c r="AF125" s="100">
        <f t="shared" si="272"/>
        <v>366.00000000000006</v>
      </c>
      <c r="AG125" s="100">
        <f t="shared" si="273"/>
        <v>366.00000000000006</v>
      </c>
      <c r="AH125" s="91">
        <f t="shared" si="274"/>
        <v>122</v>
      </c>
      <c r="AI125" s="91">
        <f t="shared" si="275"/>
        <v>2440</v>
      </c>
      <c r="AJ125" s="101">
        <v>1</v>
      </c>
      <c r="AK125" s="102">
        <f t="shared" si="276"/>
        <v>12.200000000000001</v>
      </c>
    </row>
    <row r="126" spans="2:37">
      <c r="B126" s="6">
        <v>123</v>
      </c>
      <c r="C126" s="81">
        <f t="shared" si="254"/>
        <v>123</v>
      </c>
      <c r="D126" s="82">
        <f t="shared" si="255"/>
        <v>120</v>
      </c>
      <c r="E126" s="83">
        <v>1</v>
      </c>
      <c r="F126" s="83">
        <v>1</v>
      </c>
      <c r="G126" s="84">
        <f t="shared" si="281"/>
        <v>123</v>
      </c>
      <c r="H126" s="85">
        <v>9</v>
      </c>
      <c r="I126" s="85">
        <v>7</v>
      </c>
      <c r="J126" s="86">
        <v>123</v>
      </c>
      <c r="K126" s="86">
        <f t="shared" si="278"/>
        <v>123</v>
      </c>
      <c r="L126" s="86">
        <v>5</v>
      </c>
      <c r="M126" s="89">
        <v>20</v>
      </c>
      <c r="N126" s="86"/>
      <c r="O126" s="90">
        <f t="shared" si="257"/>
        <v>123</v>
      </c>
      <c r="P126" s="91">
        <f t="shared" si="258"/>
        <v>120</v>
      </c>
      <c r="Q126" s="92">
        <f t="shared" si="259"/>
        <v>20</v>
      </c>
      <c r="R126" s="92">
        <f t="shared" si="260"/>
        <v>30</v>
      </c>
      <c r="S126" s="93">
        <f t="shared" si="261"/>
        <v>2460</v>
      </c>
      <c r="T126" s="94">
        <f t="shared" si="262"/>
        <v>270</v>
      </c>
      <c r="U126" s="94">
        <f t="shared" si="263"/>
        <v>270</v>
      </c>
      <c r="V126" s="12">
        <f t="shared" si="264"/>
        <v>123</v>
      </c>
      <c r="W126" s="12">
        <f t="shared" si="265"/>
        <v>86.1</v>
      </c>
      <c r="X126" s="12">
        <v>5</v>
      </c>
      <c r="Y126" s="97">
        <f t="shared" si="266"/>
        <v>14</v>
      </c>
      <c r="Z126" s="98"/>
      <c r="AA126" s="99">
        <f t="shared" si="267"/>
        <v>123</v>
      </c>
      <c r="AB126" s="91">
        <f t="shared" si="268"/>
        <v>123</v>
      </c>
      <c r="AC126" s="92">
        <f t="shared" si="269"/>
        <v>20</v>
      </c>
      <c r="AD126" s="92">
        <f t="shared" si="270"/>
        <v>30</v>
      </c>
      <c r="AE126" s="92">
        <f t="shared" si="271"/>
        <v>20</v>
      </c>
      <c r="AF126" s="100">
        <f t="shared" si="272"/>
        <v>369</v>
      </c>
      <c r="AG126" s="100">
        <f t="shared" si="273"/>
        <v>369</v>
      </c>
      <c r="AH126" s="91">
        <f t="shared" si="274"/>
        <v>123</v>
      </c>
      <c r="AI126" s="91">
        <f t="shared" si="275"/>
        <v>2460</v>
      </c>
      <c r="AJ126" s="101">
        <v>1</v>
      </c>
      <c r="AK126" s="102">
        <f t="shared" si="276"/>
        <v>12.3</v>
      </c>
    </row>
    <row r="127" spans="2:37">
      <c r="B127" s="6">
        <v>124</v>
      </c>
      <c r="C127" s="81">
        <f t="shared" si="254"/>
        <v>124</v>
      </c>
      <c r="D127" s="82">
        <f t="shared" si="255"/>
        <v>120</v>
      </c>
      <c r="E127" s="83">
        <v>1</v>
      </c>
      <c r="F127" s="83">
        <v>1</v>
      </c>
      <c r="G127" s="84">
        <f t="shared" si="281"/>
        <v>124</v>
      </c>
      <c r="H127" s="85">
        <v>9</v>
      </c>
      <c r="I127" s="85">
        <v>7</v>
      </c>
      <c r="J127" s="86">
        <v>124</v>
      </c>
      <c r="K127" s="86">
        <f t="shared" si="278"/>
        <v>124</v>
      </c>
      <c r="L127" s="86">
        <v>5</v>
      </c>
      <c r="M127" s="89">
        <v>20</v>
      </c>
      <c r="N127" s="86"/>
      <c r="O127" s="90">
        <f t="shared" si="257"/>
        <v>124</v>
      </c>
      <c r="P127" s="91">
        <f t="shared" si="258"/>
        <v>120</v>
      </c>
      <c r="Q127" s="92">
        <f t="shared" si="259"/>
        <v>20</v>
      </c>
      <c r="R127" s="92">
        <f t="shared" si="260"/>
        <v>30</v>
      </c>
      <c r="S127" s="93">
        <f t="shared" si="261"/>
        <v>2480</v>
      </c>
      <c r="T127" s="94">
        <f t="shared" si="262"/>
        <v>270</v>
      </c>
      <c r="U127" s="94">
        <f t="shared" si="263"/>
        <v>270</v>
      </c>
      <c r="V127" s="12">
        <f t="shared" si="264"/>
        <v>124</v>
      </c>
      <c r="W127" s="12">
        <f t="shared" si="265"/>
        <v>86.8</v>
      </c>
      <c r="X127" s="12">
        <v>5</v>
      </c>
      <c r="Y127" s="97">
        <f t="shared" si="266"/>
        <v>14</v>
      </c>
      <c r="Z127" s="98"/>
      <c r="AA127" s="99">
        <f t="shared" si="267"/>
        <v>124</v>
      </c>
      <c r="AB127" s="91">
        <f t="shared" si="268"/>
        <v>124</v>
      </c>
      <c r="AC127" s="92">
        <f t="shared" si="269"/>
        <v>20</v>
      </c>
      <c r="AD127" s="92">
        <f t="shared" si="270"/>
        <v>30</v>
      </c>
      <c r="AE127" s="92">
        <f t="shared" si="271"/>
        <v>20</v>
      </c>
      <c r="AF127" s="100">
        <f t="shared" si="272"/>
        <v>372</v>
      </c>
      <c r="AG127" s="100">
        <f t="shared" si="273"/>
        <v>372</v>
      </c>
      <c r="AH127" s="91">
        <f t="shared" si="274"/>
        <v>124</v>
      </c>
      <c r="AI127" s="91">
        <f t="shared" si="275"/>
        <v>2480</v>
      </c>
      <c r="AJ127" s="101">
        <v>1</v>
      </c>
      <c r="AK127" s="102">
        <f t="shared" si="276"/>
        <v>12.4</v>
      </c>
    </row>
    <row r="128" spans="2:37">
      <c r="B128" s="6">
        <v>125</v>
      </c>
      <c r="C128" s="81">
        <f t="shared" si="254"/>
        <v>125</v>
      </c>
      <c r="D128" s="82">
        <f t="shared" si="255"/>
        <v>120</v>
      </c>
      <c r="E128" s="83">
        <v>1</v>
      </c>
      <c r="F128" s="83">
        <v>1</v>
      </c>
      <c r="G128" s="84">
        <f t="shared" si="281"/>
        <v>125</v>
      </c>
      <c r="H128" s="85">
        <v>9</v>
      </c>
      <c r="I128" s="85">
        <v>7</v>
      </c>
      <c r="J128" s="86">
        <v>125</v>
      </c>
      <c r="K128" s="86">
        <f t="shared" si="278"/>
        <v>125</v>
      </c>
      <c r="L128" s="86">
        <v>5</v>
      </c>
      <c r="M128" s="89">
        <v>20</v>
      </c>
      <c r="N128" s="86"/>
      <c r="O128" s="90">
        <f t="shared" si="257"/>
        <v>125</v>
      </c>
      <c r="P128" s="91">
        <f t="shared" si="258"/>
        <v>120</v>
      </c>
      <c r="Q128" s="92">
        <f t="shared" si="259"/>
        <v>20</v>
      </c>
      <c r="R128" s="92">
        <f t="shared" si="260"/>
        <v>30</v>
      </c>
      <c r="S128" s="93">
        <f t="shared" si="261"/>
        <v>2500</v>
      </c>
      <c r="T128" s="94">
        <f t="shared" si="262"/>
        <v>270</v>
      </c>
      <c r="U128" s="94">
        <f t="shared" si="263"/>
        <v>270</v>
      </c>
      <c r="V128" s="12">
        <f t="shared" si="264"/>
        <v>125</v>
      </c>
      <c r="W128" s="12">
        <f t="shared" si="265"/>
        <v>87.5</v>
      </c>
      <c r="X128" s="12">
        <v>5</v>
      </c>
      <c r="Y128" s="97">
        <f t="shared" si="266"/>
        <v>14</v>
      </c>
      <c r="Z128" s="98"/>
      <c r="AA128" s="99">
        <f t="shared" si="267"/>
        <v>125</v>
      </c>
      <c r="AB128" s="91">
        <f t="shared" si="268"/>
        <v>125</v>
      </c>
      <c r="AC128" s="92">
        <f t="shared" si="269"/>
        <v>20</v>
      </c>
      <c r="AD128" s="92">
        <f t="shared" si="270"/>
        <v>30</v>
      </c>
      <c r="AE128" s="92">
        <f t="shared" si="271"/>
        <v>20</v>
      </c>
      <c r="AF128" s="100">
        <f t="shared" si="272"/>
        <v>375</v>
      </c>
      <c r="AG128" s="100">
        <f t="shared" si="273"/>
        <v>375</v>
      </c>
      <c r="AH128" s="91">
        <f t="shared" si="274"/>
        <v>125</v>
      </c>
      <c r="AI128" s="91">
        <f t="shared" si="275"/>
        <v>2500</v>
      </c>
      <c r="AJ128" s="101">
        <v>1</v>
      </c>
      <c r="AK128" s="102">
        <f t="shared" si="276"/>
        <v>12.5</v>
      </c>
    </row>
    <row r="129" spans="2:37">
      <c r="B129" s="6">
        <v>126</v>
      </c>
      <c r="C129" s="81">
        <f t="shared" si="254"/>
        <v>126</v>
      </c>
      <c r="D129" s="82">
        <f t="shared" si="255"/>
        <v>120</v>
      </c>
      <c r="E129" s="83">
        <v>1</v>
      </c>
      <c r="F129" s="83">
        <v>1</v>
      </c>
      <c r="G129" s="84">
        <f t="shared" si="281"/>
        <v>126</v>
      </c>
      <c r="H129" s="85">
        <v>9</v>
      </c>
      <c r="I129" s="85">
        <v>7</v>
      </c>
      <c r="J129" s="86">
        <v>126</v>
      </c>
      <c r="K129" s="86">
        <f t="shared" si="278"/>
        <v>126</v>
      </c>
      <c r="L129" s="86">
        <v>5</v>
      </c>
      <c r="M129" s="89">
        <v>20</v>
      </c>
      <c r="N129" s="86"/>
      <c r="O129" s="90">
        <f t="shared" si="257"/>
        <v>126</v>
      </c>
      <c r="P129" s="91">
        <f t="shared" si="258"/>
        <v>120</v>
      </c>
      <c r="Q129" s="92">
        <f t="shared" si="259"/>
        <v>20</v>
      </c>
      <c r="R129" s="92">
        <f t="shared" si="260"/>
        <v>30</v>
      </c>
      <c r="S129" s="93">
        <f t="shared" si="261"/>
        <v>2520</v>
      </c>
      <c r="T129" s="94">
        <f t="shared" si="262"/>
        <v>270</v>
      </c>
      <c r="U129" s="94">
        <f t="shared" si="263"/>
        <v>270</v>
      </c>
      <c r="V129" s="12">
        <f t="shared" si="264"/>
        <v>126</v>
      </c>
      <c r="W129" s="12">
        <f t="shared" si="265"/>
        <v>88.199999999999989</v>
      </c>
      <c r="X129" s="12">
        <v>5</v>
      </c>
      <c r="Y129" s="97">
        <f t="shared" si="266"/>
        <v>14</v>
      </c>
      <c r="Z129" s="98"/>
      <c r="AA129" s="99">
        <f t="shared" si="267"/>
        <v>126</v>
      </c>
      <c r="AB129" s="91">
        <f t="shared" si="268"/>
        <v>126</v>
      </c>
      <c r="AC129" s="92">
        <f t="shared" si="269"/>
        <v>20</v>
      </c>
      <c r="AD129" s="92">
        <f t="shared" si="270"/>
        <v>30</v>
      </c>
      <c r="AE129" s="92">
        <f t="shared" si="271"/>
        <v>20</v>
      </c>
      <c r="AF129" s="100">
        <f t="shared" si="272"/>
        <v>378.00000000000006</v>
      </c>
      <c r="AG129" s="100">
        <f t="shared" si="273"/>
        <v>378.00000000000006</v>
      </c>
      <c r="AH129" s="91">
        <f t="shared" si="274"/>
        <v>126</v>
      </c>
      <c r="AI129" s="91">
        <f t="shared" si="275"/>
        <v>2520</v>
      </c>
      <c r="AJ129" s="101">
        <v>1</v>
      </c>
      <c r="AK129" s="102">
        <f t="shared" si="276"/>
        <v>12.600000000000001</v>
      </c>
    </row>
    <row r="130" spans="2:37">
      <c r="B130" s="6">
        <v>127</v>
      </c>
      <c r="C130" s="81">
        <f t="shared" si="254"/>
        <v>127</v>
      </c>
      <c r="D130" s="82">
        <f t="shared" si="255"/>
        <v>120</v>
      </c>
      <c r="E130" s="83">
        <v>1</v>
      </c>
      <c r="F130" s="83">
        <v>1</v>
      </c>
      <c r="G130" s="84">
        <f t="shared" si="281"/>
        <v>127</v>
      </c>
      <c r="H130" s="85">
        <v>9</v>
      </c>
      <c r="I130" s="85">
        <v>7</v>
      </c>
      <c r="J130" s="86">
        <v>127</v>
      </c>
      <c r="K130" s="86">
        <f t="shared" si="278"/>
        <v>127</v>
      </c>
      <c r="L130" s="86">
        <v>5</v>
      </c>
      <c r="M130" s="89">
        <v>20</v>
      </c>
      <c r="N130" s="86"/>
      <c r="O130" s="90">
        <f t="shared" si="257"/>
        <v>127</v>
      </c>
      <c r="P130" s="91">
        <f t="shared" si="258"/>
        <v>120</v>
      </c>
      <c r="Q130" s="92">
        <f t="shared" si="259"/>
        <v>20</v>
      </c>
      <c r="R130" s="92">
        <f t="shared" si="260"/>
        <v>30</v>
      </c>
      <c r="S130" s="93">
        <f t="shared" si="261"/>
        <v>2540</v>
      </c>
      <c r="T130" s="94">
        <f t="shared" si="262"/>
        <v>270</v>
      </c>
      <c r="U130" s="94">
        <f t="shared" si="263"/>
        <v>270</v>
      </c>
      <c r="V130" s="12">
        <f t="shared" si="264"/>
        <v>127</v>
      </c>
      <c r="W130" s="12">
        <f t="shared" si="265"/>
        <v>88.899999999999991</v>
      </c>
      <c r="X130" s="12">
        <v>5</v>
      </c>
      <c r="Y130" s="97">
        <f t="shared" si="266"/>
        <v>14</v>
      </c>
      <c r="Z130" s="98"/>
      <c r="AA130" s="99">
        <f t="shared" si="267"/>
        <v>127</v>
      </c>
      <c r="AB130" s="91">
        <f t="shared" si="268"/>
        <v>127</v>
      </c>
      <c r="AC130" s="92">
        <f t="shared" si="269"/>
        <v>20</v>
      </c>
      <c r="AD130" s="92">
        <f t="shared" si="270"/>
        <v>30</v>
      </c>
      <c r="AE130" s="92">
        <f t="shared" si="271"/>
        <v>20</v>
      </c>
      <c r="AF130" s="100">
        <f t="shared" si="272"/>
        <v>381.00000000000006</v>
      </c>
      <c r="AG130" s="100">
        <f t="shared" si="273"/>
        <v>381.00000000000006</v>
      </c>
      <c r="AH130" s="91">
        <f t="shared" si="274"/>
        <v>127</v>
      </c>
      <c r="AI130" s="91">
        <f t="shared" si="275"/>
        <v>2540</v>
      </c>
      <c r="AJ130" s="101">
        <v>1</v>
      </c>
      <c r="AK130" s="102">
        <f t="shared" si="276"/>
        <v>12.700000000000001</v>
      </c>
    </row>
    <row r="131" spans="2:37">
      <c r="B131" s="6">
        <v>128</v>
      </c>
      <c r="C131" s="81">
        <f t="shared" si="254"/>
        <v>128</v>
      </c>
      <c r="D131" s="82">
        <f t="shared" si="255"/>
        <v>120</v>
      </c>
      <c r="E131" s="83">
        <v>1</v>
      </c>
      <c r="F131" s="83">
        <v>1</v>
      </c>
      <c r="G131" s="84">
        <f t="shared" si="281"/>
        <v>128</v>
      </c>
      <c r="H131" s="85">
        <v>9</v>
      </c>
      <c r="I131" s="85">
        <v>7</v>
      </c>
      <c r="J131" s="86">
        <v>128</v>
      </c>
      <c r="K131" s="86">
        <f t="shared" si="278"/>
        <v>128</v>
      </c>
      <c r="L131" s="86">
        <v>5</v>
      </c>
      <c r="M131" s="89">
        <v>20</v>
      </c>
      <c r="N131" s="86"/>
      <c r="O131" s="90">
        <f t="shared" si="257"/>
        <v>128</v>
      </c>
      <c r="P131" s="91">
        <f t="shared" si="258"/>
        <v>120</v>
      </c>
      <c r="Q131" s="92">
        <f t="shared" si="259"/>
        <v>20</v>
      </c>
      <c r="R131" s="92">
        <f t="shared" si="260"/>
        <v>30</v>
      </c>
      <c r="S131" s="93">
        <f t="shared" si="261"/>
        <v>2560</v>
      </c>
      <c r="T131" s="94">
        <f t="shared" si="262"/>
        <v>270</v>
      </c>
      <c r="U131" s="94">
        <f t="shared" si="263"/>
        <v>270</v>
      </c>
      <c r="V131" s="12">
        <f t="shared" si="264"/>
        <v>128</v>
      </c>
      <c r="W131" s="12">
        <f t="shared" si="265"/>
        <v>89.6</v>
      </c>
      <c r="X131" s="12">
        <v>5</v>
      </c>
      <c r="Y131" s="97">
        <f t="shared" si="266"/>
        <v>14</v>
      </c>
      <c r="Z131" s="98"/>
      <c r="AA131" s="99">
        <f t="shared" si="267"/>
        <v>128</v>
      </c>
      <c r="AB131" s="91">
        <f t="shared" si="268"/>
        <v>128</v>
      </c>
      <c r="AC131" s="92">
        <f t="shared" si="269"/>
        <v>20</v>
      </c>
      <c r="AD131" s="92">
        <f t="shared" si="270"/>
        <v>30</v>
      </c>
      <c r="AE131" s="92">
        <f t="shared" si="271"/>
        <v>20</v>
      </c>
      <c r="AF131" s="100">
        <f t="shared" si="272"/>
        <v>384</v>
      </c>
      <c r="AG131" s="100">
        <f t="shared" si="273"/>
        <v>384</v>
      </c>
      <c r="AH131" s="91">
        <f t="shared" si="274"/>
        <v>128</v>
      </c>
      <c r="AI131" s="91">
        <f t="shared" si="275"/>
        <v>2560</v>
      </c>
      <c r="AJ131" s="101">
        <v>1</v>
      </c>
      <c r="AK131" s="102">
        <f t="shared" si="276"/>
        <v>12.8</v>
      </c>
    </row>
    <row r="132" spans="2:37">
      <c r="B132" s="6">
        <v>129</v>
      </c>
      <c r="C132" s="81">
        <f t="shared" ref="C132" si="282">B132</f>
        <v>129</v>
      </c>
      <c r="D132" s="82">
        <f t="shared" ref="D132" si="283">IF(B132&lt;10,1,ROUNDDOWN(B132,-1))</f>
        <v>120</v>
      </c>
      <c r="E132" s="83">
        <v>1</v>
      </c>
      <c r="F132" s="83">
        <v>1</v>
      </c>
      <c r="G132" s="84">
        <f t="shared" si="281"/>
        <v>129</v>
      </c>
      <c r="H132" s="85">
        <v>9</v>
      </c>
      <c r="I132" s="85">
        <v>7</v>
      </c>
      <c r="J132" s="86">
        <v>129</v>
      </c>
      <c r="K132" s="86">
        <f t="shared" si="278"/>
        <v>129</v>
      </c>
      <c r="L132" s="86">
        <v>5</v>
      </c>
      <c r="M132" s="89">
        <v>20</v>
      </c>
      <c r="N132" s="86"/>
      <c r="O132" s="90">
        <f t="shared" ref="O132" si="284">C132</f>
        <v>129</v>
      </c>
      <c r="P132" s="91">
        <f t="shared" ref="P132" si="285">D132</f>
        <v>120</v>
      </c>
      <c r="Q132" s="92">
        <f t="shared" ref="Q132" si="286">E132*$D$25</f>
        <v>20</v>
      </c>
      <c r="R132" s="92">
        <f t="shared" ref="R132" si="287">F132*$D$36</f>
        <v>30</v>
      </c>
      <c r="S132" s="93">
        <f t="shared" ref="S132" si="288">G132*$D$27</f>
        <v>2580</v>
      </c>
      <c r="T132" s="94">
        <f t="shared" ref="T132" si="289">H132*$D$39</f>
        <v>270</v>
      </c>
      <c r="U132" s="94">
        <f t="shared" ref="U132" si="290">H132*$D$40</f>
        <v>270</v>
      </c>
      <c r="V132" s="12">
        <f t="shared" ref="V132" si="291">J132</f>
        <v>129</v>
      </c>
      <c r="W132" s="12">
        <f t="shared" ref="W132" si="292">K132*0.7</f>
        <v>90.3</v>
      </c>
      <c r="X132" s="12">
        <v>5</v>
      </c>
      <c r="Y132" s="97">
        <f t="shared" ref="Y132" si="293">ROUND(MAX(M132*0.7,),0)</f>
        <v>14</v>
      </c>
      <c r="Z132" s="98"/>
      <c r="AA132" s="99">
        <f t="shared" ref="AA132" si="294">C132</f>
        <v>129</v>
      </c>
      <c r="AB132" s="91">
        <f t="shared" ref="AB132" si="295">B132</f>
        <v>129</v>
      </c>
      <c r="AC132" s="92">
        <f t="shared" ref="AC132" si="296">$D$25</f>
        <v>20</v>
      </c>
      <c r="AD132" s="92">
        <f t="shared" ref="AD132" si="297">$D$36</f>
        <v>30</v>
      </c>
      <c r="AE132" s="92">
        <f t="shared" ref="AE132" si="298">$D$27</f>
        <v>20</v>
      </c>
      <c r="AF132" s="100">
        <f t="shared" ref="AF132" si="299">B132*0.1*$D$39</f>
        <v>387</v>
      </c>
      <c r="AG132" s="100">
        <f t="shared" ref="AG132" si="300">B132*0.1*$D$40</f>
        <v>387</v>
      </c>
      <c r="AH132" s="91">
        <f t="shared" ref="AH132" si="301">B132</f>
        <v>129</v>
      </c>
      <c r="AI132" s="91">
        <f t="shared" ref="AI132" si="302">B132*$D$26</f>
        <v>2580</v>
      </c>
      <c r="AJ132" s="101">
        <v>1</v>
      </c>
      <c r="AK132" s="102">
        <f t="shared" ref="AK132" si="303">MIN(AA132*0.1,20)</f>
        <v>12.9</v>
      </c>
    </row>
    <row r="133" spans="2:37">
      <c r="B133" s="6">
        <v>130</v>
      </c>
      <c r="C133" s="81">
        <f t="shared" ref="C133" si="304">B133</f>
        <v>130</v>
      </c>
      <c r="D133" s="82">
        <f t="shared" ref="D133" si="305">IF(B133&lt;10,1,ROUNDDOWN(B133,-1))</f>
        <v>130</v>
      </c>
      <c r="E133" s="83">
        <v>1</v>
      </c>
      <c r="F133" s="83">
        <v>1</v>
      </c>
      <c r="G133" s="84">
        <f t="shared" si="281"/>
        <v>130</v>
      </c>
      <c r="H133" s="85">
        <v>9</v>
      </c>
      <c r="I133" s="85">
        <v>7</v>
      </c>
      <c r="J133" s="86">
        <v>130</v>
      </c>
      <c r="K133" s="86">
        <f t="shared" si="278"/>
        <v>130</v>
      </c>
      <c r="L133" s="86">
        <v>5</v>
      </c>
      <c r="M133" s="89">
        <v>20</v>
      </c>
      <c r="N133" s="86"/>
      <c r="O133" s="90">
        <f t="shared" ref="O133" si="306">C133</f>
        <v>130</v>
      </c>
      <c r="P133" s="91">
        <f t="shared" ref="P133" si="307">D133</f>
        <v>130</v>
      </c>
      <c r="Q133" s="92">
        <f t="shared" ref="Q133" si="308">E133*$D$25</f>
        <v>20</v>
      </c>
      <c r="R133" s="92">
        <f t="shared" ref="R133" si="309">F133*$D$36</f>
        <v>30</v>
      </c>
      <c r="S133" s="93">
        <f t="shared" ref="S133" si="310">G133*$D$27</f>
        <v>2600</v>
      </c>
      <c r="T133" s="94">
        <f t="shared" ref="T133" si="311">H133*$D$39</f>
        <v>270</v>
      </c>
      <c r="U133" s="94">
        <f t="shared" ref="U133" si="312">H133*$D$40</f>
        <v>270</v>
      </c>
      <c r="V133" s="12">
        <f t="shared" ref="V133" si="313">J133</f>
        <v>130</v>
      </c>
      <c r="W133" s="12">
        <f t="shared" ref="W133" si="314">K133*0.7</f>
        <v>91</v>
      </c>
      <c r="X133" s="12">
        <v>5</v>
      </c>
      <c r="Y133" s="97">
        <f t="shared" ref="Y133" si="315">ROUND(MAX(M133*0.7,),0)</f>
        <v>14</v>
      </c>
      <c r="Z133" s="98"/>
      <c r="AA133" s="99">
        <f t="shared" ref="AA133" si="316">C133</f>
        <v>130</v>
      </c>
      <c r="AB133" s="91">
        <f t="shared" ref="AB133" si="317">B133</f>
        <v>130</v>
      </c>
      <c r="AC133" s="92">
        <f t="shared" ref="AC133" si="318">$D$25</f>
        <v>20</v>
      </c>
      <c r="AD133" s="92">
        <f t="shared" ref="AD133" si="319">$D$36</f>
        <v>30</v>
      </c>
      <c r="AE133" s="92">
        <f t="shared" ref="AE133" si="320">$D$27</f>
        <v>20</v>
      </c>
      <c r="AF133" s="100">
        <f t="shared" ref="AF133" si="321">B133*0.1*$D$39</f>
        <v>390</v>
      </c>
      <c r="AG133" s="100">
        <f t="shared" ref="AG133" si="322">B133*0.1*$D$40</f>
        <v>390</v>
      </c>
      <c r="AH133" s="91">
        <f t="shared" ref="AH133" si="323">B133</f>
        <v>130</v>
      </c>
      <c r="AI133" s="91">
        <f t="shared" ref="AI133" si="324">B133*$D$26</f>
        <v>2600</v>
      </c>
      <c r="AJ133" s="101">
        <v>1</v>
      </c>
      <c r="AK133" s="102">
        <f t="shared" ref="AK133" si="325">MIN(AA133*0.1,20)</f>
        <v>13</v>
      </c>
    </row>
    <row r="134" spans="2:37">
      <c r="B134" s="6">
        <v>131</v>
      </c>
      <c r="C134" s="81">
        <f t="shared" ref="C134:C153" si="326">B134</f>
        <v>131</v>
      </c>
      <c r="D134" s="82">
        <f t="shared" ref="D134:D153" si="327">IF(B134&lt;10,1,ROUNDDOWN(B134,-1))</f>
        <v>130</v>
      </c>
      <c r="E134" s="83">
        <v>1</v>
      </c>
      <c r="F134" s="83">
        <v>1</v>
      </c>
      <c r="G134" s="84">
        <f t="shared" si="281"/>
        <v>131</v>
      </c>
      <c r="H134" s="85">
        <v>9</v>
      </c>
      <c r="I134" s="85">
        <v>7</v>
      </c>
      <c r="J134" s="86">
        <v>131</v>
      </c>
      <c r="K134" s="86">
        <f t="shared" ref="K134" si="328">B134</f>
        <v>131</v>
      </c>
      <c r="L134" s="86">
        <v>5</v>
      </c>
      <c r="M134" s="89">
        <v>20</v>
      </c>
      <c r="N134" s="86"/>
      <c r="O134" s="90">
        <f t="shared" ref="O134:O153" si="329">C134</f>
        <v>131</v>
      </c>
      <c r="P134" s="91">
        <f t="shared" ref="P134:P153" si="330">D134</f>
        <v>130</v>
      </c>
      <c r="Q134" s="92">
        <f t="shared" ref="Q134:Q153" si="331">E134*$D$25</f>
        <v>20</v>
      </c>
      <c r="R134" s="92">
        <f t="shared" ref="R134:R153" si="332">F134*$D$36</f>
        <v>30</v>
      </c>
      <c r="S134" s="93">
        <f t="shared" ref="S134:S153" si="333">G134*$D$27</f>
        <v>2620</v>
      </c>
      <c r="T134" s="94">
        <f t="shared" ref="T134:T153" si="334">H134*$D$39</f>
        <v>270</v>
      </c>
      <c r="U134" s="94">
        <f t="shared" ref="U134:U153" si="335">H134*$D$40</f>
        <v>270</v>
      </c>
      <c r="V134" s="12">
        <f t="shared" ref="V134:V153" si="336">J134</f>
        <v>131</v>
      </c>
      <c r="W134" s="12">
        <f t="shared" ref="W134:W153" si="337">K134*0.7</f>
        <v>91.699999999999989</v>
      </c>
      <c r="X134" s="12">
        <v>5</v>
      </c>
      <c r="Y134" s="97">
        <f t="shared" ref="Y134:Y153" si="338">ROUND(MAX(M134*0.7,),0)</f>
        <v>14</v>
      </c>
      <c r="Z134" s="98"/>
      <c r="AA134" s="99">
        <f t="shared" ref="AA134:AA153" si="339">C134</f>
        <v>131</v>
      </c>
      <c r="AB134" s="91">
        <f t="shared" ref="AB134:AB153" si="340">B134</f>
        <v>131</v>
      </c>
      <c r="AC134" s="92">
        <f t="shared" ref="AC134:AC153" si="341">$D$25</f>
        <v>20</v>
      </c>
      <c r="AD134" s="92">
        <f t="shared" ref="AD134:AD153" si="342">$D$36</f>
        <v>30</v>
      </c>
      <c r="AE134" s="92">
        <f t="shared" ref="AE134:AE153" si="343">$D$27</f>
        <v>20</v>
      </c>
      <c r="AF134" s="100">
        <f t="shared" ref="AF134:AF153" si="344">B134*0.1*$D$39</f>
        <v>393.00000000000006</v>
      </c>
      <c r="AG134" s="100">
        <f t="shared" ref="AG134:AG153" si="345">B134*0.1*$D$40</f>
        <v>393.00000000000006</v>
      </c>
      <c r="AH134" s="91">
        <f t="shared" ref="AH134:AH153" si="346">B134</f>
        <v>131</v>
      </c>
      <c r="AI134" s="91">
        <f t="shared" ref="AI134:AI153" si="347">B134*$D$26</f>
        <v>2620</v>
      </c>
      <c r="AJ134" s="101">
        <v>1</v>
      </c>
      <c r="AK134" s="102">
        <f t="shared" ref="AK134:AK153" si="348">MIN(AA134*0.1,20)</f>
        <v>13.100000000000001</v>
      </c>
    </row>
    <row r="135" spans="2:37">
      <c r="B135" s="6">
        <v>132</v>
      </c>
      <c r="C135" s="81">
        <f t="shared" si="326"/>
        <v>132</v>
      </c>
      <c r="D135" s="82">
        <f t="shared" si="327"/>
        <v>130</v>
      </c>
      <c r="E135" s="83">
        <v>1</v>
      </c>
      <c r="F135" s="83">
        <v>1</v>
      </c>
      <c r="G135" s="84">
        <f t="shared" si="281"/>
        <v>132</v>
      </c>
      <c r="H135" s="85">
        <v>9</v>
      </c>
      <c r="I135" s="85">
        <v>7</v>
      </c>
      <c r="J135" s="86">
        <v>132</v>
      </c>
      <c r="K135" s="86">
        <f t="shared" ref="K135" si="349">B135</f>
        <v>132</v>
      </c>
      <c r="L135" s="86">
        <v>5</v>
      </c>
      <c r="M135" s="89">
        <v>20</v>
      </c>
      <c r="N135" s="86"/>
      <c r="O135" s="90">
        <f t="shared" si="329"/>
        <v>132</v>
      </c>
      <c r="P135" s="91">
        <f t="shared" si="330"/>
        <v>130</v>
      </c>
      <c r="Q135" s="92">
        <f t="shared" si="331"/>
        <v>20</v>
      </c>
      <c r="R135" s="92">
        <f t="shared" si="332"/>
        <v>30</v>
      </c>
      <c r="S135" s="93">
        <f t="shared" si="333"/>
        <v>2640</v>
      </c>
      <c r="T135" s="94">
        <f t="shared" si="334"/>
        <v>270</v>
      </c>
      <c r="U135" s="94">
        <f t="shared" si="335"/>
        <v>270</v>
      </c>
      <c r="V135" s="12">
        <f t="shared" si="336"/>
        <v>132</v>
      </c>
      <c r="W135" s="12">
        <f t="shared" si="337"/>
        <v>92.399999999999991</v>
      </c>
      <c r="X135" s="12">
        <v>5</v>
      </c>
      <c r="Y135" s="97">
        <f t="shared" si="338"/>
        <v>14</v>
      </c>
      <c r="Z135" s="98"/>
      <c r="AA135" s="99">
        <f t="shared" si="339"/>
        <v>132</v>
      </c>
      <c r="AB135" s="91">
        <f t="shared" si="340"/>
        <v>132</v>
      </c>
      <c r="AC135" s="92">
        <f t="shared" si="341"/>
        <v>20</v>
      </c>
      <c r="AD135" s="92">
        <f t="shared" si="342"/>
        <v>30</v>
      </c>
      <c r="AE135" s="92">
        <f t="shared" si="343"/>
        <v>20</v>
      </c>
      <c r="AF135" s="100">
        <f t="shared" si="344"/>
        <v>396.00000000000006</v>
      </c>
      <c r="AG135" s="100">
        <f t="shared" si="345"/>
        <v>396.00000000000006</v>
      </c>
      <c r="AH135" s="91">
        <f t="shared" si="346"/>
        <v>132</v>
      </c>
      <c r="AI135" s="91">
        <f t="shared" si="347"/>
        <v>2640</v>
      </c>
      <c r="AJ135" s="101">
        <v>1</v>
      </c>
      <c r="AK135" s="102">
        <f t="shared" si="348"/>
        <v>13.200000000000001</v>
      </c>
    </row>
    <row r="136" spans="2:37">
      <c r="B136" s="6">
        <v>133</v>
      </c>
      <c r="C136" s="81">
        <f t="shared" si="326"/>
        <v>133</v>
      </c>
      <c r="D136" s="82">
        <f t="shared" si="327"/>
        <v>130</v>
      </c>
      <c r="E136" s="83">
        <v>1</v>
      </c>
      <c r="F136" s="83">
        <v>1</v>
      </c>
      <c r="G136" s="84">
        <f t="shared" si="281"/>
        <v>133</v>
      </c>
      <c r="H136" s="85">
        <v>9</v>
      </c>
      <c r="I136" s="85">
        <v>7</v>
      </c>
      <c r="J136" s="86">
        <v>133</v>
      </c>
      <c r="K136" s="86">
        <f t="shared" ref="K136:K153" si="350">B136</f>
        <v>133</v>
      </c>
      <c r="L136" s="86">
        <v>5</v>
      </c>
      <c r="M136" s="89">
        <v>20</v>
      </c>
      <c r="N136" s="86"/>
      <c r="O136" s="90">
        <f t="shared" si="329"/>
        <v>133</v>
      </c>
      <c r="P136" s="91">
        <f t="shared" si="330"/>
        <v>130</v>
      </c>
      <c r="Q136" s="92">
        <f t="shared" si="331"/>
        <v>20</v>
      </c>
      <c r="R136" s="92">
        <f t="shared" si="332"/>
        <v>30</v>
      </c>
      <c r="S136" s="93">
        <f t="shared" si="333"/>
        <v>2660</v>
      </c>
      <c r="T136" s="94">
        <f t="shared" si="334"/>
        <v>270</v>
      </c>
      <c r="U136" s="94">
        <f t="shared" si="335"/>
        <v>270</v>
      </c>
      <c r="V136" s="12">
        <f t="shared" si="336"/>
        <v>133</v>
      </c>
      <c r="W136" s="12">
        <f t="shared" si="337"/>
        <v>93.1</v>
      </c>
      <c r="X136" s="12">
        <v>5</v>
      </c>
      <c r="Y136" s="97">
        <f t="shared" si="338"/>
        <v>14</v>
      </c>
      <c r="Z136" s="98"/>
      <c r="AA136" s="99">
        <f t="shared" si="339"/>
        <v>133</v>
      </c>
      <c r="AB136" s="91">
        <f t="shared" si="340"/>
        <v>133</v>
      </c>
      <c r="AC136" s="92">
        <f t="shared" si="341"/>
        <v>20</v>
      </c>
      <c r="AD136" s="92">
        <f t="shared" si="342"/>
        <v>30</v>
      </c>
      <c r="AE136" s="92">
        <f t="shared" si="343"/>
        <v>20</v>
      </c>
      <c r="AF136" s="100">
        <f t="shared" si="344"/>
        <v>399</v>
      </c>
      <c r="AG136" s="100">
        <f t="shared" si="345"/>
        <v>399</v>
      </c>
      <c r="AH136" s="91">
        <f t="shared" si="346"/>
        <v>133</v>
      </c>
      <c r="AI136" s="91">
        <f t="shared" si="347"/>
        <v>2660</v>
      </c>
      <c r="AJ136" s="101">
        <v>1</v>
      </c>
      <c r="AK136" s="102">
        <f t="shared" si="348"/>
        <v>13.3</v>
      </c>
    </row>
    <row r="137" spans="2:37">
      <c r="B137" s="6">
        <v>134</v>
      </c>
      <c r="C137" s="81">
        <f t="shared" si="326"/>
        <v>134</v>
      </c>
      <c r="D137" s="82">
        <f t="shared" si="327"/>
        <v>130</v>
      </c>
      <c r="E137" s="83">
        <v>1</v>
      </c>
      <c r="F137" s="83">
        <v>1</v>
      </c>
      <c r="G137" s="84">
        <f t="shared" si="281"/>
        <v>134</v>
      </c>
      <c r="H137" s="85">
        <v>9</v>
      </c>
      <c r="I137" s="85">
        <v>7</v>
      </c>
      <c r="J137" s="86">
        <v>134</v>
      </c>
      <c r="K137" s="86">
        <f t="shared" si="350"/>
        <v>134</v>
      </c>
      <c r="L137" s="86">
        <v>5</v>
      </c>
      <c r="M137" s="89">
        <v>20</v>
      </c>
      <c r="N137" s="86"/>
      <c r="O137" s="90">
        <f t="shared" si="329"/>
        <v>134</v>
      </c>
      <c r="P137" s="91">
        <f t="shared" si="330"/>
        <v>130</v>
      </c>
      <c r="Q137" s="92">
        <f t="shared" si="331"/>
        <v>20</v>
      </c>
      <c r="R137" s="92">
        <f t="shared" si="332"/>
        <v>30</v>
      </c>
      <c r="S137" s="93">
        <f t="shared" si="333"/>
        <v>2680</v>
      </c>
      <c r="T137" s="94">
        <f t="shared" si="334"/>
        <v>270</v>
      </c>
      <c r="U137" s="94">
        <f t="shared" si="335"/>
        <v>270</v>
      </c>
      <c r="V137" s="12">
        <f t="shared" si="336"/>
        <v>134</v>
      </c>
      <c r="W137" s="12">
        <f t="shared" si="337"/>
        <v>93.8</v>
      </c>
      <c r="X137" s="12">
        <v>5</v>
      </c>
      <c r="Y137" s="97">
        <f t="shared" si="338"/>
        <v>14</v>
      </c>
      <c r="Z137" s="98"/>
      <c r="AA137" s="99">
        <f t="shared" si="339"/>
        <v>134</v>
      </c>
      <c r="AB137" s="91">
        <f t="shared" si="340"/>
        <v>134</v>
      </c>
      <c r="AC137" s="92">
        <f t="shared" si="341"/>
        <v>20</v>
      </c>
      <c r="AD137" s="92">
        <f t="shared" si="342"/>
        <v>30</v>
      </c>
      <c r="AE137" s="92">
        <f t="shared" si="343"/>
        <v>20</v>
      </c>
      <c r="AF137" s="100">
        <f t="shared" si="344"/>
        <v>402</v>
      </c>
      <c r="AG137" s="100">
        <f t="shared" si="345"/>
        <v>402</v>
      </c>
      <c r="AH137" s="91">
        <f t="shared" si="346"/>
        <v>134</v>
      </c>
      <c r="AI137" s="91">
        <f t="shared" si="347"/>
        <v>2680</v>
      </c>
      <c r="AJ137" s="101">
        <v>1</v>
      </c>
      <c r="AK137" s="102">
        <f t="shared" si="348"/>
        <v>13.4</v>
      </c>
    </row>
    <row r="138" spans="2:37">
      <c r="B138" s="6">
        <v>135</v>
      </c>
      <c r="C138" s="81">
        <f t="shared" si="326"/>
        <v>135</v>
      </c>
      <c r="D138" s="82">
        <f t="shared" si="327"/>
        <v>130</v>
      </c>
      <c r="E138" s="83">
        <v>1</v>
      </c>
      <c r="F138" s="83">
        <v>1</v>
      </c>
      <c r="G138" s="84">
        <f t="shared" si="281"/>
        <v>135</v>
      </c>
      <c r="H138" s="85">
        <v>9</v>
      </c>
      <c r="I138" s="85">
        <v>7</v>
      </c>
      <c r="J138" s="86">
        <v>135</v>
      </c>
      <c r="K138" s="86">
        <f t="shared" si="350"/>
        <v>135</v>
      </c>
      <c r="L138" s="86">
        <v>5</v>
      </c>
      <c r="M138" s="89">
        <v>20</v>
      </c>
      <c r="N138" s="86"/>
      <c r="O138" s="90">
        <f t="shared" si="329"/>
        <v>135</v>
      </c>
      <c r="P138" s="91">
        <f t="shared" si="330"/>
        <v>130</v>
      </c>
      <c r="Q138" s="92">
        <f t="shared" si="331"/>
        <v>20</v>
      </c>
      <c r="R138" s="92">
        <f t="shared" si="332"/>
        <v>30</v>
      </c>
      <c r="S138" s="93">
        <f t="shared" si="333"/>
        <v>2700</v>
      </c>
      <c r="T138" s="94">
        <f t="shared" si="334"/>
        <v>270</v>
      </c>
      <c r="U138" s="94">
        <f t="shared" si="335"/>
        <v>270</v>
      </c>
      <c r="V138" s="12">
        <f t="shared" si="336"/>
        <v>135</v>
      </c>
      <c r="W138" s="12">
        <f t="shared" si="337"/>
        <v>94.5</v>
      </c>
      <c r="X138" s="12">
        <v>5</v>
      </c>
      <c r="Y138" s="97">
        <f t="shared" si="338"/>
        <v>14</v>
      </c>
      <c r="Z138" s="98"/>
      <c r="AA138" s="99">
        <f t="shared" si="339"/>
        <v>135</v>
      </c>
      <c r="AB138" s="91">
        <f t="shared" si="340"/>
        <v>135</v>
      </c>
      <c r="AC138" s="92">
        <f t="shared" si="341"/>
        <v>20</v>
      </c>
      <c r="AD138" s="92">
        <f t="shared" si="342"/>
        <v>30</v>
      </c>
      <c r="AE138" s="92">
        <f t="shared" si="343"/>
        <v>20</v>
      </c>
      <c r="AF138" s="100">
        <f t="shared" si="344"/>
        <v>405</v>
      </c>
      <c r="AG138" s="100">
        <f t="shared" si="345"/>
        <v>405</v>
      </c>
      <c r="AH138" s="91">
        <f t="shared" si="346"/>
        <v>135</v>
      </c>
      <c r="AI138" s="91">
        <f t="shared" si="347"/>
        <v>2700</v>
      </c>
      <c r="AJ138" s="101">
        <v>1</v>
      </c>
      <c r="AK138" s="102">
        <f t="shared" si="348"/>
        <v>13.5</v>
      </c>
    </row>
    <row r="139" spans="2:37">
      <c r="B139" s="6">
        <v>136</v>
      </c>
      <c r="C139" s="81">
        <f t="shared" si="326"/>
        <v>136</v>
      </c>
      <c r="D139" s="82">
        <f t="shared" si="327"/>
        <v>130</v>
      </c>
      <c r="E139" s="83">
        <v>1</v>
      </c>
      <c r="F139" s="83">
        <v>1</v>
      </c>
      <c r="G139" s="84">
        <f t="shared" si="281"/>
        <v>136</v>
      </c>
      <c r="H139" s="85">
        <v>9</v>
      </c>
      <c r="I139" s="85">
        <v>7</v>
      </c>
      <c r="J139" s="86">
        <v>136</v>
      </c>
      <c r="K139" s="86">
        <f t="shared" si="350"/>
        <v>136</v>
      </c>
      <c r="L139" s="86">
        <v>5</v>
      </c>
      <c r="M139" s="89">
        <v>20</v>
      </c>
      <c r="N139" s="86"/>
      <c r="O139" s="90">
        <f t="shared" si="329"/>
        <v>136</v>
      </c>
      <c r="P139" s="91">
        <f t="shared" si="330"/>
        <v>130</v>
      </c>
      <c r="Q139" s="92">
        <f t="shared" si="331"/>
        <v>20</v>
      </c>
      <c r="R139" s="92">
        <f t="shared" si="332"/>
        <v>30</v>
      </c>
      <c r="S139" s="93">
        <f t="shared" si="333"/>
        <v>2720</v>
      </c>
      <c r="T139" s="94">
        <f t="shared" si="334"/>
        <v>270</v>
      </c>
      <c r="U139" s="94">
        <f t="shared" si="335"/>
        <v>270</v>
      </c>
      <c r="V139" s="12">
        <f t="shared" si="336"/>
        <v>136</v>
      </c>
      <c r="W139" s="12">
        <f t="shared" si="337"/>
        <v>95.199999999999989</v>
      </c>
      <c r="X139" s="12">
        <v>5</v>
      </c>
      <c r="Y139" s="97">
        <f t="shared" si="338"/>
        <v>14</v>
      </c>
      <c r="Z139" s="98"/>
      <c r="AA139" s="99">
        <f t="shared" si="339"/>
        <v>136</v>
      </c>
      <c r="AB139" s="91">
        <f t="shared" si="340"/>
        <v>136</v>
      </c>
      <c r="AC139" s="92">
        <f t="shared" si="341"/>
        <v>20</v>
      </c>
      <c r="AD139" s="92">
        <f t="shared" si="342"/>
        <v>30</v>
      </c>
      <c r="AE139" s="92">
        <f t="shared" si="343"/>
        <v>20</v>
      </c>
      <c r="AF139" s="100">
        <f t="shared" si="344"/>
        <v>408.00000000000006</v>
      </c>
      <c r="AG139" s="100">
        <f t="shared" si="345"/>
        <v>408.00000000000006</v>
      </c>
      <c r="AH139" s="91">
        <f t="shared" si="346"/>
        <v>136</v>
      </c>
      <c r="AI139" s="91">
        <f t="shared" si="347"/>
        <v>2720</v>
      </c>
      <c r="AJ139" s="101">
        <v>1</v>
      </c>
      <c r="AK139" s="102">
        <f t="shared" si="348"/>
        <v>13.600000000000001</v>
      </c>
    </row>
    <row r="140" spans="2:37">
      <c r="B140" s="6">
        <v>137</v>
      </c>
      <c r="C140" s="81">
        <f t="shared" si="326"/>
        <v>137</v>
      </c>
      <c r="D140" s="82">
        <f t="shared" si="327"/>
        <v>130</v>
      </c>
      <c r="E140" s="83">
        <v>1</v>
      </c>
      <c r="F140" s="83">
        <v>1</v>
      </c>
      <c r="G140" s="84">
        <f t="shared" si="281"/>
        <v>137</v>
      </c>
      <c r="H140" s="85">
        <v>9</v>
      </c>
      <c r="I140" s="85">
        <v>7</v>
      </c>
      <c r="J140" s="86">
        <v>137</v>
      </c>
      <c r="K140" s="86">
        <f t="shared" si="350"/>
        <v>137</v>
      </c>
      <c r="L140" s="86">
        <v>5</v>
      </c>
      <c r="M140" s="89">
        <v>20</v>
      </c>
      <c r="N140" s="86"/>
      <c r="O140" s="90">
        <f t="shared" si="329"/>
        <v>137</v>
      </c>
      <c r="P140" s="91">
        <f t="shared" si="330"/>
        <v>130</v>
      </c>
      <c r="Q140" s="92">
        <f t="shared" si="331"/>
        <v>20</v>
      </c>
      <c r="R140" s="92">
        <f t="shared" si="332"/>
        <v>30</v>
      </c>
      <c r="S140" s="93">
        <f t="shared" si="333"/>
        <v>2740</v>
      </c>
      <c r="T140" s="94">
        <f t="shared" si="334"/>
        <v>270</v>
      </c>
      <c r="U140" s="94">
        <f t="shared" si="335"/>
        <v>270</v>
      </c>
      <c r="V140" s="12">
        <f t="shared" si="336"/>
        <v>137</v>
      </c>
      <c r="W140" s="12">
        <f t="shared" si="337"/>
        <v>95.899999999999991</v>
      </c>
      <c r="X140" s="12">
        <v>5</v>
      </c>
      <c r="Y140" s="97">
        <f t="shared" si="338"/>
        <v>14</v>
      </c>
      <c r="Z140" s="98"/>
      <c r="AA140" s="99">
        <f t="shared" si="339"/>
        <v>137</v>
      </c>
      <c r="AB140" s="91">
        <f t="shared" si="340"/>
        <v>137</v>
      </c>
      <c r="AC140" s="92">
        <f t="shared" si="341"/>
        <v>20</v>
      </c>
      <c r="AD140" s="92">
        <f t="shared" si="342"/>
        <v>30</v>
      </c>
      <c r="AE140" s="92">
        <f t="shared" si="343"/>
        <v>20</v>
      </c>
      <c r="AF140" s="100">
        <f t="shared" si="344"/>
        <v>411.00000000000006</v>
      </c>
      <c r="AG140" s="100">
        <f t="shared" si="345"/>
        <v>411.00000000000006</v>
      </c>
      <c r="AH140" s="91">
        <f t="shared" si="346"/>
        <v>137</v>
      </c>
      <c r="AI140" s="91">
        <f t="shared" si="347"/>
        <v>2740</v>
      </c>
      <c r="AJ140" s="101">
        <v>1</v>
      </c>
      <c r="AK140" s="102">
        <f t="shared" si="348"/>
        <v>13.700000000000001</v>
      </c>
    </row>
    <row r="141" spans="2:37">
      <c r="B141" s="6">
        <v>138</v>
      </c>
      <c r="C141" s="81">
        <f t="shared" si="326"/>
        <v>138</v>
      </c>
      <c r="D141" s="82">
        <f t="shared" si="327"/>
        <v>130</v>
      </c>
      <c r="E141" s="83">
        <v>1</v>
      </c>
      <c r="F141" s="83">
        <v>1</v>
      </c>
      <c r="G141" s="84">
        <f t="shared" si="281"/>
        <v>138</v>
      </c>
      <c r="H141" s="85">
        <v>9</v>
      </c>
      <c r="I141" s="85">
        <v>7</v>
      </c>
      <c r="J141" s="86">
        <v>138</v>
      </c>
      <c r="K141" s="86">
        <f t="shared" si="350"/>
        <v>138</v>
      </c>
      <c r="L141" s="86">
        <v>5</v>
      </c>
      <c r="M141" s="89">
        <v>20</v>
      </c>
      <c r="N141" s="86"/>
      <c r="O141" s="90">
        <f t="shared" si="329"/>
        <v>138</v>
      </c>
      <c r="P141" s="91">
        <f t="shared" si="330"/>
        <v>130</v>
      </c>
      <c r="Q141" s="92">
        <f t="shared" si="331"/>
        <v>20</v>
      </c>
      <c r="R141" s="92">
        <f t="shared" si="332"/>
        <v>30</v>
      </c>
      <c r="S141" s="93">
        <f t="shared" si="333"/>
        <v>2760</v>
      </c>
      <c r="T141" s="94">
        <f t="shared" si="334"/>
        <v>270</v>
      </c>
      <c r="U141" s="94">
        <f t="shared" si="335"/>
        <v>270</v>
      </c>
      <c r="V141" s="12">
        <f t="shared" si="336"/>
        <v>138</v>
      </c>
      <c r="W141" s="12">
        <f t="shared" si="337"/>
        <v>96.6</v>
      </c>
      <c r="X141" s="12">
        <v>5</v>
      </c>
      <c r="Y141" s="97">
        <f t="shared" si="338"/>
        <v>14</v>
      </c>
      <c r="Z141" s="98"/>
      <c r="AA141" s="99">
        <f t="shared" si="339"/>
        <v>138</v>
      </c>
      <c r="AB141" s="91">
        <f t="shared" si="340"/>
        <v>138</v>
      </c>
      <c r="AC141" s="92">
        <f t="shared" si="341"/>
        <v>20</v>
      </c>
      <c r="AD141" s="92">
        <f t="shared" si="342"/>
        <v>30</v>
      </c>
      <c r="AE141" s="92">
        <f t="shared" si="343"/>
        <v>20</v>
      </c>
      <c r="AF141" s="100">
        <f t="shared" si="344"/>
        <v>414</v>
      </c>
      <c r="AG141" s="100">
        <f t="shared" si="345"/>
        <v>414</v>
      </c>
      <c r="AH141" s="91">
        <f t="shared" si="346"/>
        <v>138</v>
      </c>
      <c r="AI141" s="91">
        <f t="shared" si="347"/>
        <v>2760</v>
      </c>
      <c r="AJ141" s="101">
        <v>1</v>
      </c>
      <c r="AK141" s="102">
        <f t="shared" si="348"/>
        <v>13.8</v>
      </c>
    </row>
    <row r="142" spans="2:37">
      <c r="B142" s="6">
        <v>139</v>
      </c>
      <c r="C142" s="81">
        <f t="shared" si="326"/>
        <v>139</v>
      </c>
      <c r="D142" s="82">
        <f t="shared" si="327"/>
        <v>130</v>
      </c>
      <c r="E142" s="83">
        <v>1</v>
      </c>
      <c r="F142" s="83">
        <v>1</v>
      </c>
      <c r="G142" s="84">
        <f t="shared" si="281"/>
        <v>139</v>
      </c>
      <c r="H142" s="85">
        <v>9</v>
      </c>
      <c r="I142" s="85">
        <v>7</v>
      </c>
      <c r="J142" s="86">
        <v>139</v>
      </c>
      <c r="K142" s="86">
        <f t="shared" si="350"/>
        <v>139</v>
      </c>
      <c r="L142" s="86">
        <v>5</v>
      </c>
      <c r="M142" s="89">
        <v>20</v>
      </c>
      <c r="N142" s="86"/>
      <c r="O142" s="90">
        <f t="shared" si="329"/>
        <v>139</v>
      </c>
      <c r="P142" s="91">
        <f t="shared" si="330"/>
        <v>130</v>
      </c>
      <c r="Q142" s="92">
        <f t="shared" si="331"/>
        <v>20</v>
      </c>
      <c r="R142" s="92">
        <f t="shared" si="332"/>
        <v>30</v>
      </c>
      <c r="S142" s="93">
        <f t="shared" si="333"/>
        <v>2780</v>
      </c>
      <c r="T142" s="94">
        <f t="shared" si="334"/>
        <v>270</v>
      </c>
      <c r="U142" s="94">
        <f t="shared" si="335"/>
        <v>270</v>
      </c>
      <c r="V142" s="12">
        <f t="shared" si="336"/>
        <v>139</v>
      </c>
      <c r="W142" s="12">
        <f t="shared" si="337"/>
        <v>97.3</v>
      </c>
      <c r="X142" s="12">
        <v>5</v>
      </c>
      <c r="Y142" s="97">
        <f t="shared" si="338"/>
        <v>14</v>
      </c>
      <c r="Z142" s="98"/>
      <c r="AA142" s="99">
        <f t="shared" si="339"/>
        <v>139</v>
      </c>
      <c r="AB142" s="91">
        <f t="shared" si="340"/>
        <v>139</v>
      </c>
      <c r="AC142" s="92">
        <f t="shared" si="341"/>
        <v>20</v>
      </c>
      <c r="AD142" s="92">
        <f t="shared" si="342"/>
        <v>30</v>
      </c>
      <c r="AE142" s="92">
        <f t="shared" si="343"/>
        <v>20</v>
      </c>
      <c r="AF142" s="100">
        <f t="shared" si="344"/>
        <v>417</v>
      </c>
      <c r="AG142" s="100">
        <f t="shared" si="345"/>
        <v>417</v>
      </c>
      <c r="AH142" s="91">
        <f t="shared" si="346"/>
        <v>139</v>
      </c>
      <c r="AI142" s="91">
        <f t="shared" si="347"/>
        <v>2780</v>
      </c>
      <c r="AJ142" s="101">
        <v>1</v>
      </c>
      <c r="AK142" s="102">
        <f t="shared" si="348"/>
        <v>13.9</v>
      </c>
    </row>
    <row r="143" spans="2:37">
      <c r="B143" s="6">
        <v>140</v>
      </c>
      <c r="C143" s="81">
        <f t="shared" si="326"/>
        <v>140</v>
      </c>
      <c r="D143" s="82">
        <f t="shared" si="327"/>
        <v>140</v>
      </c>
      <c r="E143" s="83">
        <v>1</v>
      </c>
      <c r="F143" s="83">
        <v>1</v>
      </c>
      <c r="G143" s="84">
        <f t="shared" si="281"/>
        <v>140</v>
      </c>
      <c r="H143" s="85">
        <v>9</v>
      </c>
      <c r="I143" s="85">
        <v>7</v>
      </c>
      <c r="J143" s="86">
        <v>140</v>
      </c>
      <c r="K143" s="86">
        <f t="shared" si="350"/>
        <v>140</v>
      </c>
      <c r="L143" s="86">
        <v>5</v>
      </c>
      <c r="M143" s="89">
        <v>20</v>
      </c>
      <c r="N143" s="86"/>
      <c r="O143" s="90">
        <f t="shared" si="329"/>
        <v>140</v>
      </c>
      <c r="P143" s="91">
        <f t="shared" si="330"/>
        <v>140</v>
      </c>
      <c r="Q143" s="92">
        <f t="shared" si="331"/>
        <v>20</v>
      </c>
      <c r="R143" s="92">
        <f t="shared" si="332"/>
        <v>30</v>
      </c>
      <c r="S143" s="93">
        <f t="shared" si="333"/>
        <v>2800</v>
      </c>
      <c r="T143" s="94">
        <f t="shared" si="334"/>
        <v>270</v>
      </c>
      <c r="U143" s="94">
        <f t="shared" si="335"/>
        <v>270</v>
      </c>
      <c r="V143" s="12">
        <f t="shared" si="336"/>
        <v>140</v>
      </c>
      <c r="W143" s="12">
        <f t="shared" si="337"/>
        <v>98</v>
      </c>
      <c r="X143" s="12">
        <v>5</v>
      </c>
      <c r="Y143" s="97">
        <f t="shared" si="338"/>
        <v>14</v>
      </c>
      <c r="Z143" s="98"/>
      <c r="AA143" s="99">
        <f t="shared" si="339"/>
        <v>140</v>
      </c>
      <c r="AB143" s="91">
        <f t="shared" si="340"/>
        <v>140</v>
      </c>
      <c r="AC143" s="92">
        <f t="shared" si="341"/>
        <v>20</v>
      </c>
      <c r="AD143" s="92">
        <f t="shared" si="342"/>
        <v>30</v>
      </c>
      <c r="AE143" s="92">
        <f t="shared" si="343"/>
        <v>20</v>
      </c>
      <c r="AF143" s="100">
        <f t="shared" si="344"/>
        <v>420</v>
      </c>
      <c r="AG143" s="100">
        <f t="shared" si="345"/>
        <v>420</v>
      </c>
      <c r="AH143" s="91">
        <f t="shared" si="346"/>
        <v>140</v>
      </c>
      <c r="AI143" s="91">
        <f t="shared" si="347"/>
        <v>2800</v>
      </c>
      <c r="AJ143" s="101">
        <v>1</v>
      </c>
      <c r="AK143" s="102">
        <f t="shared" si="348"/>
        <v>14</v>
      </c>
    </row>
    <row r="144" spans="2:37">
      <c r="B144" s="6">
        <v>141</v>
      </c>
      <c r="C144" s="81">
        <f t="shared" si="326"/>
        <v>141</v>
      </c>
      <c r="D144" s="82">
        <f t="shared" si="327"/>
        <v>140</v>
      </c>
      <c r="E144" s="83">
        <v>1</v>
      </c>
      <c r="F144" s="83">
        <v>1</v>
      </c>
      <c r="G144" s="84">
        <f t="shared" si="281"/>
        <v>141</v>
      </c>
      <c r="H144" s="85">
        <v>9</v>
      </c>
      <c r="I144" s="85">
        <v>7</v>
      </c>
      <c r="J144" s="86">
        <v>141</v>
      </c>
      <c r="K144" s="86">
        <f t="shared" si="350"/>
        <v>141</v>
      </c>
      <c r="L144" s="86">
        <v>5</v>
      </c>
      <c r="M144" s="89">
        <v>20</v>
      </c>
      <c r="N144" s="86"/>
      <c r="O144" s="90">
        <f t="shared" si="329"/>
        <v>141</v>
      </c>
      <c r="P144" s="91">
        <f t="shared" si="330"/>
        <v>140</v>
      </c>
      <c r="Q144" s="92">
        <f t="shared" si="331"/>
        <v>20</v>
      </c>
      <c r="R144" s="92">
        <f t="shared" si="332"/>
        <v>30</v>
      </c>
      <c r="S144" s="93">
        <f t="shared" si="333"/>
        <v>2820</v>
      </c>
      <c r="T144" s="94">
        <f t="shared" si="334"/>
        <v>270</v>
      </c>
      <c r="U144" s="94">
        <f t="shared" si="335"/>
        <v>270</v>
      </c>
      <c r="V144" s="12">
        <f t="shared" si="336"/>
        <v>141</v>
      </c>
      <c r="W144" s="12">
        <f t="shared" si="337"/>
        <v>98.699999999999989</v>
      </c>
      <c r="X144" s="12">
        <v>5</v>
      </c>
      <c r="Y144" s="97">
        <f t="shared" si="338"/>
        <v>14</v>
      </c>
      <c r="Z144" s="98"/>
      <c r="AA144" s="99">
        <f t="shared" si="339"/>
        <v>141</v>
      </c>
      <c r="AB144" s="91">
        <f t="shared" si="340"/>
        <v>141</v>
      </c>
      <c r="AC144" s="92">
        <f t="shared" si="341"/>
        <v>20</v>
      </c>
      <c r="AD144" s="92">
        <f t="shared" si="342"/>
        <v>30</v>
      </c>
      <c r="AE144" s="92">
        <f t="shared" si="343"/>
        <v>20</v>
      </c>
      <c r="AF144" s="100">
        <f t="shared" si="344"/>
        <v>423.00000000000006</v>
      </c>
      <c r="AG144" s="100">
        <f t="shared" si="345"/>
        <v>423.00000000000006</v>
      </c>
      <c r="AH144" s="91">
        <f t="shared" si="346"/>
        <v>141</v>
      </c>
      <c r="AI144" s="91">
        <f t="shared" si="347"/>
        <v>2820</v>
      </c>
      <c r="AJ144" s="101">
        <v>1</v>
      </c>
      <c r="AK144" s="102">
        <f t="shared" si="348"/>
        <v>14.100000000000001</v>
      </c>
    </row>
    <row r="145" spans="2:37">
      <c r="B145" s="6">
        <v>142</v>
      </c>
      <c r="C145" s="81">
        <f t="shared" si="326"/>
        <v>142</v>
      </c>
      <c r="D145" s="82">
        <f t="shared" si="327"/>
        <v>140</v>
      </c>
      <c r="E145" s="83">
        <v>1</v>
      </c>
      <c r="F145" s="83">
        <v>1</v>
      </c>
      <c r="G145" s="84">
        <f t="shared" si="281"/>
        <v>142</v>
      </c>
      <c r="H145" s="85">
        <v>9</v>
      </c>
      <c r="I145" s="85">
        <v>7</v>
      </c>
      <c r="J145" s="86">
        <v>142</v>
      </c>
      <c r="K145" s="86">
        <f t="shared" si="350"/>
        <v>142</v>
      </c>
      <c r="L145" s="86">
        <v>5</v>
      </c>
      <c r="M145" s="89">
        <v>20</v>
      </c>
      <c r="N145" s="86"/>
      <c r="O145" s="90">
        <f t="shared" si="329"/>
        <v>142</v>
      </c>
      <c r="P145" s="91">
        <f t="shared" si="330"/>
        <v>140</v>
      </c>
      <c r="Q145" s="92">
        <f t="shared" si="331"/>
        <v>20</v>
      </c>
      <c r="R145" s="92">
        <f t="shared" si="332"/>
        <v>30</v>
      </c>
      <c r="S145" s="93">
        <f t="shared" si="333"/>
        <v>2840</v>
      </c>
      <c r="T145" s="94">
        <f t="shared" si="334"/>
        <v>270</v>
      </c>
      <c r="U145" s="94">
        <f t="shared" si="335"/>
        <v>270</v>
      </c>
      <c r="V145" s="12">
        <f t="shared" si="336"/>
        <v>142</v>
      </c>
      <c r="W145" s="12">
        <f t="shared" si="337"/>
        <v>99.399999999999991</v>
      </c>
      <c r="X145" s="12">
        <v>5</v>
      </c>
      <c r="Y145" s="97">
        <f t="shared" si="338"/>
        <v>14</v>
      </c>
      <c r="Z145" s="98"/>
      <c r="AA145" s="99">
        <f t="shared" si="339"/>
        <v>142</v>
      </c>
      <c r="AB145" s="91">
        <f t="shared" si="340"/>
        <v>142</v>
      </c>
      <c r="AC145" s="92">
        <f t="shared" si="341"/>
        <v>20</v>
      </c>
      <c r="AD145" s="92">
        <f t="shared" si="342"/>
        <v>30</v>
      </c>
      <c r="AE145" s="92">
        <f t="shared" si="343"/>
        <v>20</v>
      </c>
      <c r="AF145" s="100">
        <f t="shared" si="344"/>
        <v>426.00000000000006</v>
      </c>
      <c r="AG145" s="100">
        <f t="shared" si="345"/>
        <v>426.00000000000006</v>
      </c>
      <c r="AH145" s="91">
        <f t="shared" si="346"/>
        <v>142</v>
      </c>
      <c r="AI145" s="91">
        <f t="shared" si="347"/>
        <v>2840</v>
      </c>
      <c r="AJ145" s="101">
        <v>1</v>
      </c>
      <c r="AK145" s="102">
        <f t="shared" si="348"/>
        <v>14.200000000000001</v>
      </c>
    </row>
    <row r="146" spans="2:37">
      <c r="B146" s="6">
        <v>143</v>
      </c>
      <c r="C146" s="81">
        <f t="shared" si="326"/>
        <v>143</v>
      </c>
      <c r="D146" s="82">
        <f t="shared" si="327"/>
        <v>140</v>
      </c>
      <c r="E146" s="83">
        <v>1</v>
      </c>
      <c r="F146" s="83">
        <v>1</v>
      </c>
      <c r="G146" s="84">
        <f t="shared" si="281"/>
        <v>143</v>
      </c>
      <c r="H146" s="85">
        <v>9</v>
      </c>
      <c r="I146" s="85">
        <v>7</v>
      </c>
      <c r="J146" s="86">
        <v>143</v>
      </c>
      <c r="K146" s="86">
        <f t="shared" si="350"/>
        <v>143</v>
      </c>
      <c r="L146" s="86">
        <v>5</v>
      </c>
      <c r="M146" s="89">
        <v>20</v>
      </c>
      <c r="N146" s="86"/>
      <c r="O146" s="90">
        <f t="shared" si="329"/>
        <v>143</v>
      </c>
      <c r="P146" s="91">
        <f t="shared" si="330"/>
        <v>140</v>
      </c>
      <c r="Q146" s="92">
        <f t="shared" si="331"/>
        <v>20</v>
      </c>
      <c r="R146" s="92">
        <f t="shared" si="332"/>
        <v>30</v>
      </c>
      <c r="S146" s="93">
        <f t="shared" si="333"/>
        <v>2860</v>
      </c>
      <c r="T146" s="94">
        <f t="shared" si="334"/>
        <v>270</v>
      </c>
      <c r="U146" s="94">
        <f t="shared" si="335"/>
        <v>270</v>
      </c>
      <c r="V146" s="12">
        <f t="shared" si="336"/>
        <v>143</v>
      </c>
      <c r="W146" s="12">
        <f t="shared" si="337"/>
        <v>100.1</v>
      </c>
      <c r="X146" s="12">
        <v>5</v>
      </c>
      <c r="Y146" s="97">
        <f t="shared" si="338"/>
        <v>14</v>
      </c>
      <c r="Z146" s="98"/>
      <c r="AA146" s="99">
        <f t="shared" si="339"/>
        <v>143</v>
      </c>
      <c r="AB146" s="91">
        <f t="shared" si="340"/>
        <v>143</v>
      </c>
      <c r="AC146" s="92">
        <f t="shared" si="341"/>
        <v>20</v>
      </c>
      <c r="AD146" s="92">
        <f t="shared" si="342"/>
        <v>30</v>
      </c>
      <c r="AE146" s="92">
        <f t="shared" si="343"/>
        <v>20</v>
      </c>
      <c r="AF146" s="100">
        <f t="shared" si="344"/>
        <v>429</v>
      </c>
      <c r="AG146" s="100">
        <f t="shared" si="345"/>
        <v>429</v>
      </c>
      <c r="AH146" s="91">
        <f t="shared" si="346"/>
        <v>143</v>
      </c>
      <c r="AI146" s="91">
        <f t="shared" si="347"/>
        <v>2860</v>
      </c>
      <c r="AJ146" s="101">
        <v>1</v>
      </c>
      <c r="AK146" s="102">
        <f t="shared" si="348"/>
        <v>14.3</v>
      </c>
    </row>
    <row r="147" spans="2:37">
      <c r="B147" s="6">
        <v>144</v>
      </c>
      <c r="C147" s="81">
        <f t="shared" si="326"/>
        <v>144</v>
      </c>
      <c r="D147" s="82">
        <f t="shared" si="327"/>
        <v>140</v>
      </c>
      <c r="E147" s="83">
        <v>1</v>
      </c>
      <c r="F147" s="83">
        <v>1</v>
      </c>
      <c r="G147" s="84">
        <f t="shared" si="281"/>
        <v>144</v>
      </c>
      <c r="H147" s="85">
        <v>9</v>
      </c>
      <c r="I147" s="85">
        <v>7</v>
      </c>
      <c r="J147" s="86">
        <v>144</v>
      </c>
      <c r="K147" s="86">
        <f t="shared" si="350"/>
        <v>144</v>
      </c>
      <c r="L147" s="86">
        <v>5</v>
      </c>
      <c r="M147" s="89">
        <v>20</v>
      </c>
      <c r="N147" s="86"/>
      <c r="O147" s="90">
        <f t="shared" si="329"/>
        <v>144</v>
      </c>
      <c r="P147" s="91">
        <f t="shared" si="330"/>
        <v>140</v>
      </c>
      <c r="Q147" s="92">
        <f t="shared" si="331"/>
        <v>20</v>
      </c>
      <c r="R147" s="92">
        <f t="shared" si="332"/>
        <v>30</v>
      </c>
      <c r="S147" s="93">
        <f t="shared" si="333"/>
        <v>2880</v>
      </c>
      <c r="T147" s="94">
        <f t="shared" si="334"/>
        <v>270</v>
      </c>
      <c r="U147" s="94">
        <f t="shared" si="335"/>
        <v>270</v>
      </c>
      <c r="V147" s="12">
        <f t="shared" si="336"/>
        <v>144</v>
      </c>
      <c r="W147" s="12">
        <f t="shared" si="337"/>
        <v>100.8</v>
      </c>
      <c r="X147" s="12">
        <v>5</v>
      </c>
      <c r="Y147" s="97">
        <f t="shared" si="338"/>
        <v>14</v>
      </c>
      <c r="Z147" s="98"/>
      <c r="AA147" s="99">
        <f t="shared" si="339"/>
        <v>144</v>
      </c>
      <c r="AB147" s="91">
        <f t="shared" si="340"/>
        <v>144</v>
      </c>
      <c r="AC147" s="92">
        <f t="shared" si="341"/>
        <v>20</v>
      </c>
      <c r="AD147" s="92">
        <f t="shared" si="342"/>
        <v>30</v>
      </c>
      <c r="AE147" s="92">
        <f t="shared" si="343"/>
        <v>20</v>
      </c>
      <c r="AF147" s="100">
        <f t="shared" si="344"/>
        <v>432</v>
      </c>
      <c r="AG147" s="100">
        <f t="shared" si="345"/>
        <v>432</v>
      </c>
      <c r="AH147" s="91">
        <f t="shared" si="346"/>
        <v>144</v>
      </c>
      <c r="AI147" s="91">
        <f t="shared" si="347"/>
        <v>2880</v>
      </c>
      <c r="AJ147" s="101">
        <v>1</v>
      </c>
      <c r="AK147" s="102">
        <f t="shared" si="348"/>
        <v>14.4</v>
      </c>
    </row>
    <row r="148" spans="2:37">
      <c r="B148" s="6">
        <v>145</v>
      </c>
      <c r="C148" s="81">
        <f t="shared" si="326"/>
        <v>145</v>
      </c>
      <c r="D148" s="82">
        <f t="shared" si="327"/>
        <v>140</v>
      </c>
      <c r="E148" s="83">
        <v>1</v>
      </c>
      <c r="F148" s="83">
        <v>1</v>
      </c>
      <c r="G148" s="84">
        <f t="shared" si="281"/>
        <v>145</v>
      </c>
      <c r="H148" s="85">
        <v>9</v>
      </c>
      <c r="I148" s="85">
        <v>7</v>
      </c>
      <c r="J148" s="86">
        <v>145</v>
      </c>
      <c r="K148" s="86">
        <f t="shared" si="350"/>
        <v>145</v>
      </c>
      <c r="L148" s="86">
        <v>5</v>
      </c>
      <c r="M148" s="89">
        <v>20</v>
      </c>
      <c r="N148" s="86"/>
      <c r="O148" s="90">
        <f t="shared" si="329"/>
        <v>145</v>
      </c>
      <c r="P148" s="91">
        <f t="shared" si="330"/>
        <v>140</v>
      </c>
      <c r="Q148" s="92">
        <f t="shared" si="331"/>
        <v>20</v>
      </c>
      <c r="R148" s="92">
        <f t="shared" si="332"/>
        <v>30</v>
      </c>
      <c r="S148" s="93">
        <f t="shared" si="333"/>
        <v>2900</v>
      </c>
      <c r="T148" s="94">
        <f t="shared" si="334"/>
        <v>270</v>
      </c>
      <c r="U148" s="94">
        <f t="shared" si="335"/>
        <v>270</v>
      </c>
      <c r="V148" s="12">
        <f t="shared" si="336"/>
        <v>145</v>
      </c>
      <c r="W148" s="12">
        <f t="shared" si="337"/>
        <v>101.5</v>
      </c>
      <c r="X148" s="12">
        <v>5</v>
      </c>
      <c r="Y148" s="97">
        <f t="shared" si="338"/>
        <v>14</v>
      </c>
      <c r="Z148" s="98"/>
      <c r="AA148" s="99">
        <f t="shared" si="339"/>
        <v>145</v>
      </c>
      <c r="AB148" s="91">
        <f t="shared" si="340"/>
        <v>145</v>
      </c>
      <c r="AC148" s="92">
        <f t="shared" si="341"/>
        <v>20</v>
      </c>
      <c r="AD148" s="92">
        <f t="shared" si="342"/>
        <v>30</v>
      </c>
      <c r="AE148" s="92">
        <f t="shared" si="343"/>
        <v>20</v>
      </c>
      <c r="AF148" s="100">
        <f t="shared" si="344"/>
        <v>435</v>
      </c>
      <c r="AG148" s="100">
        <f t="shared" si="345"/>
        <v>435</v>
      </c>
      <c r="AH148" s="91">
        <f t="shared" si="346"/>
        <v>145</v>
      </c>
      <c r="AI148" s="91">
        <f t="shared" si="347"/>
        <v>2900</v>
      </c>
      <c r="AJ148" s="101">
        <v>1</v>
      </c>
      <c r="AK148" s="102">
        <f t="shared" si="348"/>
        <v>14.5</v>
      </c>
    </row>
    <row r="149" spans="2:37">
      <c r="B149" s="6">
        <v>146</v>
      </c>
      <c r="C149" s="81">
        <f t="shared" si="326"/>
        <v>146</v>
      </c>
      <c r="D149" s="82">
        <f t="shared" si="327"/>
        <v>140</v>
      </c>
      <c r="E149" s="83">
        <v>1</v>
      </c>
      <c r="F149" s="83">
        <v>1</v>
      </c>
      <c r="G149" s="84">
        <f t="shared" si="281"/>
        <v>146</v>
      </c>
      <c r="H149" s="85">
        <v>9</v>
      </c>
      <c r="I149" s="85">
        <v>7</v>
      </c>
      <c r="J149" s="86">
        <v>146</v>
      </c>
      <c r="K149" s="86">
        <f t="shared" si="350"/>
        <v>146</v>
      </c>
      <c r="L149" s="86">
        <v>5</v>
      </c>
      <c r="M149" s="89">
        <v>20</v>
      </c>
      <c r="N149" s="86"/>
      <c r="O149" s="90">
        <f t="shared" si="329"/>
        <v>146</v>
      </c>
      <c r="P149" s="91">
        <f t="shared" si="330"/>
        <v>140</v>
      </c>
      <c r="Q149" s="92">
        <f t="shared" si="331"/>
        <v>20</v>
      </c>
      <c r="R149" s="92">
        <f t="shared" si="332"/>
        <v>30</v>
      </c>
      <c r="S149" s="93">
        <f t="shared" si="333"/>
        <v>2920</v>
      </c>
      <c r="T149" s="94">
        <f t="shared" si="334"/>
        <v>270</v>
      </c>
      <c r="U149" s="94">
        <f t="shared" si="335"/>
        <v>270</v>
      </c>
      <c r="V149" s="12">
        <f t="shared" si="336"/>
        <v>146</v>
      </c>
      <c r="W149" s="12">
        <f t="shared" si="337"/>
        <v>102.19999999999999</v>
      </c>
      <c r="X149" s="12">
        <v>5</v>
      </c>
      <c r="Y149" s="97">
        <f t="shared" si="338"/>
        <v>14</v>
      </c>
      <c r="Z149" s="98"/>
      <c r="AA149" s="99">
        <f t="shared" si="339"/>
        <v>146</v>
      </c>
      <c r="AB149" s="91">
        <f t="shared" si="340"/>
        <v>146</v>
      </c>
      <c r="AC149" s="92">
        <f t="shared" si="341"/>
        <v>20</v>
      </c>
      <c r="AD149" s="92">
        <f t="shared" si="342"/>
        <v>30</v>
      </c>
      <c r="AE149" s="92">
        <f t="shared" si="343"/>
        <v>20</v>
      </c>
      <c r="AF149" s="100">
        <f t="shared" si="344"/>
        <v>438.00000000000006</v>
      </c>
      <c r="AG149" s="100">
        <f t="shared" si="345"/>
        <v>438.00000000000006</v>
      </c>
      <c r="AH149" s="91">
        <f t="shared" si="346"/>
        <v>146</v>
      </c>
      <c r="AI149" s="91">
        <f t="shared" si="347"/>
        <v>2920</v>
      </c>
      <c r="AJ149" s="101">
        <v>1</v>
      </c>
      <c r="AK149" s="102">
        <f t="shared" si="348"/>
        <v>14.600000000000001</v>
      </c>
    </row>
    <row r="150" spans="2:37">
      <c r="B150" s="6">
        <v>147</v>
      </c>
      <c r="C150" s="81">
        <f t="shared" si="326"/>
        <v>147</v>
      </c>
      <c r="D150" s="82">
        <f t="shared" si="327"/>
        <v>140</v>
      </c>
      <c r="E150" s="83">
        <v>1</v>
      </c>
      <c r="F150" s="83">
        <v>1</v>
      </c>
      <c r="G150" s="84">
        <f t="shared" si="281"/>
        <v>147</v>
      </c>
      <c r="H150" s="85">
        <v>9</v>
      </c>
      <c r="I150" s="85">
        <v>7</v>
      </c>
      <c r="J150" s="86">
        <v>147</v>
      </c>
      <c r="K150" s="86">
        <f t="shared" si="350"/>
        <v>147</v>
      </c>
      <c r="L150" s="86">
        <v>5</v>
      </c>
      <c r="M150" s="89">
        <v>20</v>
      </c>
      <c r="N150" s="86"/>
      <c r="O150" s="90">
        <f t="shared" si="329"/>
        <v>147</v>
      </c>
      <c r="P150" s="91">
        <f t="shared" si="330"/>
        <v>140</v>
      </c>
      <c r="Q150" s="92">
        <f t="shared" si="331"/>
        <v>20</v>
      </c>
      <c r="R150" s="92">
        <f t="shared" si="332"/>
        <v>30</v>
      </c>
      <c r="S150" s="93">
        <f t="shared" si="333"/>
        <v>2940</v>
      </c>
      <c r="T150" s="94">
        <f t="shared" si="334"/>
        <v>270</v>
      </c>
      <c r="U150" s="94">
        <f t="shared" si="335"/>
        <v>270</v>
      </c>
      <c r="V150" s="12">
        <f t="shared" si="336"/>
        <v>147</v>
      </c>
      <c r="W150" s="12">
        <f t="shared" si="337"/>
        <v>102.89999999999999</v>
      </c>
      <c r="X150" s="12">
        <v>5</v>
      </c>
      <c r="Y150" s="97">
        <f t="shared" si="338"/>
        <v>14</v>
      </c>
      <c r="Z150" s="98"/>
      <c r="AA150" s="99">
        <f t="shared" si="339"/>
        <v>147</v>
      </c>
      <c r="AB150" s="91">
        <f t="shared" si="340"/>
        <v>147</v>
      </c>
      <c r="AC150" s="92">
        <f t="shared" si="341"/>
        <v>20</v>
      </c>
      <c r="AD150" s="92">
        <f t="shared" si="342"/>
        <v>30</v>
      </c>
      <c r="AE150" s="92">
        <f t="shared" si="343"/>
        <v>20</v>
      </c>
      <c r="AF150" s="100">
        <f t="shared" si="344"/>
        <v>441.00000000000006</v>
      </c>
      <c r="AG150" s="100">
        <f t="shared" si="345"/>
        <v>441.00000000000006</v>
      </c>
      <c r="AH150" s="91">
        <f t="shared" si="346"/>
        <v>147</v>
      </c>
      <c r="AI150" s="91">
        <f t="shared" si="347"/>
        <v>2940</v>
      </c>
      <c r="AJ150" s="101">
        <v>1</v>
      </c>
      <c r="AK150" s="102">
        <f t="shared" si="348"/>
        <v>14.700000000000001</v>
      </c>
    </row>
    <row r="151" spans="2:37">
      <c r="B151" s="6">
        <v>148</v>
      </c>
      <c r="C151" s="81">
        <f t="shared" si="326"/>
        <v>148</v>
      </c>
      <c r="D151" s="82">
        <f t="shared" si="327"/>
        <v>140</v>
      </c>
      <c r="E151" s="83">
        <v>1</v>
      </c>
      <c r="F151" s="83">
        <v>1</v>
      </c>
      <c r="G151" s="84">
        <f t="shared" si="281"/>
        <v>148</v>
      </c>
      <c r="H151" s="85">
        <v>9</v>
      </c>
      <c r="I151" s="85">
        <v>7</v>
      </c>
      <c r="J151" s="86">
        <v>148</v>
      </c>
      <c r="K151" s="86">
        <f t="shared" si="350"/>
        <v>148</v>
      </c>
      <c r="L151" s="86">
        <v>5</v>
      </c>
      <c r="M151" s="89">
        <v>20</v>
      </c>
      <c r="N151" s="86"/>
      <c r="O151" s="90">
        <f t="shared" si="329"/>
        <v>148</v>
      </c>
      <c r="P151" s="91">
        <f t="shared" si="330"/>
        <v>140</v>
      </c>
      <c r="Q151" s="92">
        <f t="shared" si="331"/>
        <v>20</v>
      </c>
      <c r="R151" s="92">
        <f t="shared" si="332"/>
        <v>30</v>
      </c>
      <c r="S151" s="93">
        <f t="shared" si="333"/>
        <v>2960</v>
      </c>
      <c r="T151" s="94">
        <f t="shared" si="334"/>
        <v>270</v>
      </c>
      <c r="U151" s="94">
        <f t="shared" si="335"/>
        <v>270</v>
      </c>
      <c r="V151" s="12">
        <f t="shared" si="336"/>
        <v>148</v>
      </c>
      <c r="W151" s="12">
        <f t="shared" si="337"/>
        <v>103.6</v>
      </c>
      <c r="X151" s="12">
        <v>5</v>
      </c>
      <c r="Y151" s="97">
        <f t="shared" si="338"/>
        <v>14</v>
      </c>
      <c r="Z151" s="98"/>
      <c r="AA151" s="99">
        <f t="shared" si="339"/>
        <v>148</v>
      </c>
      <c r="AB151" s="91">
        <f t="shared" si="340"/>
        <v>148</v>
      </c>
      <c r="AC151" s="92">
        <f t="shared" si="341"/>
        <v>20</v>
      </c>
      <c r="AD151" s="92">
        <f t="shared" si="342"/>
        <v>30</v>
      </c>
      <c r="AE151" s="92">
        <f t="shared" si="343"/>
        <v>20</v>
      </c>
      <c r="AF151" s="100">
        <f t="shared" si="344"/>
        <v>444</v>
      </c>
      <c r="AG151" s="100">
        <f t="shared" si="345"/>
        <v>444</v>
      </c>
      <c r="AH151" s="91">
        <f t="shared" si="346"/>
        <v>148</v>
      </c>
      <c r="AI151" s="91">
        <f t="shared" si="347"/>
        <v>2960</v>
      </c>
      <c r="AJ151" s="101">
        <v>1</v>
      </c>
      <c r="AK151" s="102">
        <f t="shared" si="348"/>
        <v>14.8</v>
      </c>
    </row>
    <row r="152" spans="2:37">
      <c r="B152" s="6">
        <v>149</v>
      </c>
      <c r="C152" s="81">
        <f t="shared" si="326"/>
        <v>149</v>
      </c>
      <c r="D152" s="82">
        <f t="shared" si="327"/>
        <v>140</v>
      </c>
      <c r="E152" s="83">
        <v>1</v>
      </c>
      <c r="F152" s="83">
        <v>1</v>
      </c>
      <c r="G152" s="84">
        <f t="shared" si="281"/>
        <v>149</v>
      </c>
      <c r="H152" s="85">
        <v>9</v>
      </c>
      <c r="I152" s="85">
        <v>7</v>
      </c>
      <c r="J152" s="86">
        <v>149</v>
      </c>
      <c r="K152" s="86">
        <f t="shared" si="350"/>
        <v>149</v>
      </c>
      <c r="L152" s="86">
        <v>5</v>
      </c>
      <c r="M152" s="89">
        <v>20</v>
      </c>
      <c r="N152" s="86"/>
      <c r="O152" s="90">
        <f t="shared" si="329"/>
        <v>149</v>
      </c>
      <c r="P152" s="91">
        <f t="shared" si="330"/>
        <v>140</v>
      </c>
      <c r="Q152" s="92">
        <f t="shared" si="331"/>
        <v>20</v>
      </c>
      <c r="R152" s="92">
        <f t="shared" si="332"/>
        <v>30</v>
      </c>
      <c r="S152" s="93">
        <f t="shared" si="333"/>
        <v>2980</v>
      </c>
      <c r="T152" s="94">
        <f t="shared" si="334"/>
        <v>270</v>
      </c>
      <c r="U152" s="94">
        <f t="shared" si="335"/>
        <v>270</v>
      </c>
      <c r="V152" s="12">
        <f t="shared" si="336"/>
        <v>149</v>
      </c>
      <c r="W152" s="12">
        <f t="shared" si="337"/>
        <v>104.3</v>
      </c>
      <c r="X152" s="12">
        <v>5</v>
      </c>
      <c r="Y152" s="97">
        <f t="shared" si="338"/>
        <v>14</v>
      </c>
      <c r="Z152" s="98"/>
      <c r="AA152" s="99">
        <f t="shared" si="339"/>
        <v>149</v>
      </c>
      <c r="AB152" s="91">
        <f t="shared" si="340"/>
        <v>149</v>
      </c>
      <c r="AC152" s="92">
        <f t="shared" si="341"/>
        <v>20</v>
      </c>
      <c r="AD152" s="92">
        <f t="shared" si="342"/>
        <v>30</v>
      </c>
      <c r="AE152" s="92">
        <f t="shared" si="343"/>
        <v>20</v>
      </c>
      <c r="AF152" s="100">
        <f t="shared" si="344"/>
        <v>447</v>
      </c>
      <c r="AG152" s="100">
        <f t="shared" si="345"/>
        <v>447</v>
      </c>
      <c r="AH152" s="91">
        <f t="shared" si="346"/>
        <v>149</v>
      </c>
      <c r="AI152" s="91">
        <f t="shared" si="347"/>
        <v>2980</v>
      </c>
      <c r="AJ152" s="101">
        <v>1</v>
      </c>
      <c r="AK152" s="102">
        <f t="shared" si="348"/>
        <v>14.9</v>
      </c>
    </row>
    <row r="153" spans="2:37">
      <c r="B153" s="6">
        <v>150</v>
      </c>
      <c r="C153" s="103">
        <f t="shared" si="326"/>
        <v>150</v>
      </c>
      <c r="D153" s="104">
        <f t="shared" si="327"/>
        <v>150</v>
      </c>
      <c r="E153" s="105">
        <v>1</v>
      </c>
      <c r="F153" s="105">
        <v>1</v>
      </c>
      <c r="G153" s="106">
        <f t="shared" si="281"/>
        <v>150</v>
      </c>
      <c r="H153" s="107">
        <v>9</v>
      </c>
      <c r="I153" s="107">
        <v>7</v>
      </c>
      <c r="J153" s="108">
        <v>150</v>
      </c>
      <c r="K153" s="108">
        <f t="shared" si="350"/>
        <v>150</v>
      </c>
      <c r="L153" s="108">
        <v>5</v>
      </c>
      <c r="M153" s="109">
        <v>20</v>
      </c>
      <c r="N153" s="86"/>
      <c r="O153" s="110">
        <f t="shared" si="329"/>
        <v>150</v>
      </c>
      <c r="P153" s="111">
        <f t="shared" si="330"/>
        <v>150</v>
      </c>
      <c r="Q153" s="112">
        <f t="shared" si="331"/>
        <v>20</v>
      </c>
      <c r="R153" s="112">
        <f t="shared" si="332"/>
        <v>30</v>
      </c>
      <c r="S153" s="113">
        <f t="shared" si="333"/>
        <v>3000</v>
      </c>
      <c r="T153" s="114">
        <f t="shared" si="334"/>
        <v>270</v>
      </c>
      <c r="U153" s="114">
        <f t="shared" si="335"/>
        <v>270</v>
      </c>
      <c r="V153" s="115">
        <f t="shared" si="336"/>
        <v>150</v>
      </c>
      <c r="W153" s="115">
        <f t="shared" si="337"/>
        <v>105</v>
      </c>
      <c r="X153" s="115">
        <v>5</v>
      </c>
      <c r="Y153" s="116">
        <f t="shared" si="338"/>
        <v>14</v>
      </c>
      <c r="AA153" s="117">
        <f t="shared" si="339"/>
        <v>150</v>
      </c>
      <c r="AB153" s="111">
        <f t="shared" si="340"/>
        <v>150</v>
      </c>
      <c r="AC153" s="112">
        <f t="shared" si="341"/>
        <v>20</v>
      </c>
      <c r="AD153" s="112">
        <f t="shared" si="342"/>
        <v>30</v>
      </c>
      <c r="AE153" s="112">
        <f t="shared" si="343"/>
        <v>20</v>
      </c>
      <c r="AF153" s="118">
        <f t="shared" si="344"/>
        <v>450</v>
      </c>
      <c r="AG153" s="118">
        <f t="shared" si="345"/>
        <v>450</v>
      </c>
      <c r="AH153" s="111">
        <f t="shared" si="346"/>
        <v>150</v>
      </c>
      <c r="AI153" s="111">
        <f t="shared" si="347"/>
        <v>3000</v>
      </c>
      <c r="AJ153" s="119">
        <v>1</v>
      </c>
      <c r="AK153" s="120">
        <f t="shared" si="348"/>
        <v>15</v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17"/>
  </sheetPr>
  <dimension ref="A1:AL142"/>
  <sheetViews>
    <sheetView workbookViewId="0">
      <pane xSplit="2" ySplit="2" topLeftCell="C30" activePane="bottomRight" state="frozen"/>
      <selection pane="topRight"/>
      <selection pane="bottomLeft"/>
      <selection pane="bottomRight" activeCell="L53" sqref="L53"/>
    </sheetView>
  </sheetViews>
  <sheetFormatPr defaultColWidth="9" defaultRowHeight="12"/>
  <cols>
    <col min="1" max="1" width="9" style="60"/>
    <col min="2" max="2" width="14.25" style="6" customWidth="1"/>
    <col min="3" max="3" width="10.125" style="6" customWidth="1"/>
    <col min="4" max="25" width="5.625" style="6" customWidth="1"/>
    <col min="26" max="26" width="6.75" style="6" bestFit="1" customWidth="1"/>
    <col min="27" max="37" width="5.625" style="6" customWidth="1"/>
    <col min="38" max="54" width="6.625" style="6" customWidth="1"/>
    <col min="55" max="16384" width="9" style="6"/>
  </cols>
  <sheetData>
    <row r="1" spans="1:38">
      <c r="D1" s="169" t="s">
        <v>1519</v>
      </c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</row>
    <row r="2" spans="1:38" ht="133.5" customHeight="1">
      <c r="A2" s="61" t="s">
        <v>1520</v>
      </c>
      <c r="B2" s="3" t="s">
        <v>1521</v>
      </c>
      <c r="C2" s="3" t="s">
        <v>1522</v>
      </c>
      <c r="D2" s="62" t="s">
        <v>1523</v>
      </c>
      <c r="E2" s="167" t="s">
        <v>1524</v>
      </c>
      <c r="F2" s="62" t="s">
        <v>1525</v>
      </c>
      <c r="G2" s="62" t="s">
        <v>1526</v>
      </c>
      <c r="H2" s="167" t="s">
        <v>1527</v>
      </c>
      <c r="I2" s="65" t="s">
        <v>1528</v>
      </c>
      <c r="J2" s="65" t="s">
        <v>1529</v>
      </c>
      <c r="K2" s="65" t="s">
        <v>1530</v>
      </c>
      <c r="L2" s="167" t="s">
        <v>1531</v>
      </c>
      <c r="M2" s="62" t="s">
        <v>1532</v>
      </c>
      <c r="N2" s="62" t="s">
        <v>1800</v>
      </c>
      <c r="O2" s="62" t="s">
        <v>1533</v>
      </c>
      <c r="P2" s="62" t="s">
        <v>1534</v>
      </c>
      <c r="Q2" s="62" t="s">
        <v>1535</v>
      </c>
      <c r="R2" s="62" t="s">
        <v>1536</v>
      </c>
      <c r="S2" s="62" t="s">
        <v>1537</v>
      </c>
      <c r="T2" s="67" t="s">
        <v>1799</v>
      </c>
      <c r="U2" s="67" t="s">
        <v>1793</v>
      </c>
      <c r="V2" s="67" t="s">
        <v>1794</v>
      </c>
      <c r="W2" s="67" t="s">
        <v>1538</v>
      </c>
      <c r="X2" s="67" t="s">
        <v>1539</v>
      </c>
      <c r="Y2" s="67" t="s">
        <v>1540</v>
      </c>
      <c r="Z2" s="167" t="s">
        <v>1541</v>
      </c>
      <c r="AA2" s="167" t="s">
        <v>1542</v>
      </c>
      <c r="AB2" s="67" t="s">
        <v>1543</v>
      </c>
      <c r="AC2" s="68" t="s">
        <v>1544</v>
      </c>
      <c r="AD2" s="69" t="s">
        <v>1545</v>
      </c>
      <c r="AE2" s="70" t="s">
        <v>1546</v>
      </c>
      <c r="AF2" s="70" t="s">
        <v>1547</v>
      </c>
      <c r="AG2" s="71" t="s">
        <v>1548</v>
      </c>
      <c r="AH2" s="72" t="s">
        <v>1549</v>
      </c>
      <c r="AI2" s="72" t="s">
        <v>1798</v>
      </c>
      <c r="AJ2" s="72" t="s">
        <v>1229</v>
      </c>
      <c r="AK2" s="168" t="s">
        <v>1814</v>
      </c>
      <c r="AL2" s="72" t="s">
        <v>1550</v>
      </c>
    </row>
    <row r="3" spans="1:38" ht="15" customHeight="1">
      <c r="A3" s="42">
        <v>200061</v>
      </c>
      <c r="B3" s="44" t="s">
        <v>1397</v>
      </c>
      <c r="C3" s="45">
        <f>SUM(D3:BC3)</f>
        <v>3.2</v>
      </c>
      <c r="D3" s="63">
        <v>1.2</v>
      </c>
      <c r="E3" s="63"/>
      <c r="F3" s="63"/>
      <c r="G3" s="63"/>
      <c r="H3" s="64"/>
      <c r="I3" s="63"/>
      <c r="J3" s="63"/>
      <c r="K3" s="66"/>
      <c r="L3" s="66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>
        <v>1</v>
      </c>
      <c r="Y3" s="63">
        <v>1</v>
      </c>
      <c r="Z3" s="63"/>
      <c r="AA3" s="63"/>
      <c r="AB3" s="63"/>
      <c r="AC3" s="63"/>
      <c r="AD3" s="63"/>
      <c r="AE3" s="63"/>
      <c r="AF3" s="63"/>
      <c r="AG3" s="63"/>
      <c r="AH3" s="63"/>
      <c r="AK3" s="164"/>
    </row>
    <row r="4" spans="1:38" ht="15" customHeight="1">
      <c r="A4" s="42">
        <v>200062</v>
      </c>
      <c r="B4" s="44" t="s">
        <v>1398</v>
      </c>
      <c r="C4" s="45">
        <f t="shared" ref="C4" si="0">SUM(D4:BC4)</f>
        <v>0.7</v>
      </c>
      <c r="D4" s="63">
        <v>0.2</v>
      </c>
      <c r="E4" s="63"/>
      <c r="F4" s="63"/>
      <c r="G4" s="63"/>
      <c r="H4" s="64"/>
      <c r="I4" s="63"/>
      <c r="J4" s="63"/>
      <c r="K4" s="66"/>
      <c r="L4" s="66">
        <v>0.5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K4" s="164"/>
    </row>
    <row r="5" spans="1:38" ht="15" customHeight="1">
      <c r="A5" s="42">
        <v>200063</v>
      </c>
      <c r="B5" s="44" t="s">
        <v>1399</v>
      </c>
      <c r="C5" s="45">
        <f t="shared" ref="C5" si="1">SUM(D5:BC5)</f>
        <v>22.35</v>
      </c>
      <c r="D5" s="63"/>
      <c r="E5" s="63">
        <v>10</v>
      </c>
      <c r="F5" s="63"/>
      <c r="G5" s="63"/>
      <c r="H5" s="64"/>
      <c r="I5" s="63"/>
      <c r="J5" s="63"/>
      <c r="K5" s="66"/>
      <c r="L5" s="66"/>
      <c r="M5" s="63">
        <v>2</v>
      </c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>
        <v>5.85</v>
      </c>
      <c r="AA5" s="63"/>
      <c r="AB5" s="63"/>
      <c r="AC5" s="63"/>
      <c r="AD5" s="63"/>
      <c r="AE5" s="63"/>
      <c r="AF5" s="63"/>
      <c r="AG5" s="63"/>
      <c r="AH5" s="63"/>
      <c r="AJ5" s="6">
        <v>3</v>
      </c>
      <c r="AK5" s="164">
        <v>1.5</v>
      </c>
    </row>
    <row r="6" spans="1:38" ht="15" customHeight="1">
      <c r="A6" s="42">
        <v>200064</v>
      </c>
      <c r="B6" s="44" t="s">
        <v>1359</v>
      </c>
      <c r="C6" s="45">
        <f t="shared" ref="C6:C36" si="2">SUM(D6:BC6)</f>
        <v>12.9</v>
      </c>
      <c r="D6" s="63"/>
      <c r="E6" s="63">
        <v>5</v>
      </c>
      <c r="F6" s="63"/>
      <c r="G6" s="63"/>
      <c r="H6" s="64"/>
      <c r="I6" s="63"/>
      <c r="J6" s="63"/>
      <c r="K6" s="66"/>
      <c r="L6" s="66"/>
      <c r="M6" s="63">
        <v>1</v>
      </c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>
        <v>3.9</v>
      </c>
      <c r="AA6" s="63"/>
      <c r="AB6" s="63"/>
      <c r="AC6" s="63"/>
      <c r="AD6" s="63"/>
      <c r="AE6" s="63"/>
      <c r="AF6" s="63"/>
      <c r="AG6" s="63"/>
      <c r="AH6" s="63"/>
      <c r="AJ6" s="6">
        <v>2</v>
      </c>
      <c r="AK6" s="164">
        <v>1</v>
      </c>
    </row>
    <row r="7" spans="1:38" ht="15" customHeight="1">
      <c r="A7" s="42">
        <v>200065</v>
      </c>
      <c r="B7" s="44" t="s">
        <v>1400</v>
      </c>
      <c r="C7" s="45">
        <f t="shared" si="2"/>
        <v>0</v>
      </c>
      <c r="D7" s="63"/>
      <c r="E7" s="63"/>
      <c r="F7" s="63"/>
      <c r="G7" s="63"/>
      <c r="H7" s="64"/>
      <c r="I7" s="63"/>
      <c r="J7" s="63"/>
      <c r="K7" s="66"/>
      <c r="L7" s="66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K7" s="164"/>
    </row>
    <row r="8" spans="1:38" ht="15" customHeight="1">
      <c r="A8" s="42">
        <v>200066</v>
      </c>
      <c r="B8" s="44" t="s">
        <v>1401</v>
      </c>
      <c r="C8" s="45">
        <f t="shared" si="2"/>
        <v>12.1</v>
      </c>
      <c r="D8" s="63">
        <v>0.6</v>
      </c>
      <c r="E8" s="63"/>
      <c r="F8" s="63"/>
      <c r="G8" s="63">
        <v>2</v>
      </c>
      <c r="H8" s="64"/>
      <c r="I8" s="63"/>
      <c r="J8" s="63"/>
      <c r="K8" s="66"/>
      <c r="L8" s="66">
        <v>2</v>
      </c>
      <c r="M8" s="63"/>
      <c r="N8" s="63"/>
      <c r="O8" s="63"/>
      <c r="P8" s="63"/>
      <c r="Q8" s="63"/>
      <c r="R8" s="63"/>
      <c r="S8" s="63"/>
      <c r="T8" s="63"/>
      <c r="U8" s="63"/>
      <c r="V8" s="63">
        <v>0.5</v>
      </c>
      <c r="W8" s="63">
        <v>3</v>
      </c>
      <c r="X8" s="63">
        <v>1</v>
      </c>
      <c r="Y8" s="63">
        <v>1</v>
      </c>
      <c r="Z8" s="63"/>
      <c r="AA8" s="63"/>
      <c r="AB8" s="63"/>
      <c r="AC8" s="63"/>
      <c r="AD8" s="63"/>
      <c r="AE8" s="63"/>
      <c r="AF8" s="63"/>
      <c r="AG8" s="63">
        <v>1</v>
      </c>
      <c r="AH8" s="63"/>
      <c r="AK8" s="164">
        <v>1</v>
      </c>
    </row>
    <row r="9" spans="1:38" ht="15" customHeight="1">
      <c r="A9" s="42">
        <v>200067</v>
      </c>
      <c r="B9" s="44" t="s">
        <v>1402</v>
      </c>
      <c r="C9" s="45">
        <f t="shared" si="2"/>
        <v>1</v>
      </c>
      <c r="D9" s="63"/>
      <c r="E9" s="63"/>
      <c r="F9" s="63"/>
      <c r="G9" s="63">
        <v>1</v>
      </c>
      <c r="H9" s="64"/>
      <c r="I9" s="63"/>
      <c r="J9" s="63"/>
      <c r="K9" s="66"/>
      <c r="L9" s="66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K9" s="164"/>
    </row>
    <row r="10" spans="1:38" ht="15" customHeight="1">
      <c r="A10" s="42">
        <v>200068</v>
      </c>
      <c r="B10" s="44" t="s">
        <v>1403</v>
      </c>
      <c r="C10" s="45">
        <f t="shared" si="2"/>
        <v>5.7</v>
      </c>
      <c r="D10" s="63"/>
      <c r="E10" s="63"/>
      <c r="F10" s="63"/>
      <c r="G10" s="63">
        <v>1</v>
      </c>
      <c r="H10" s="64">
        <v>1</v>
      </c>
      <c r="I10" s="63"/>
      <c r="J10" s="63"/>
      <c r="K10" s="66"/>
      <c r="L10" s="66">
        <v>1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>
        <v>1</v>
      </c>
      <c r="Z10" s="63"/>
      <c r="AA10" s="63">
        <v>0.5</v>
      </c>
      <c r="AB10" s="63"/>
      <c r="AC10" s="63"/>
      <c r="AD10" s="63"/>
      <c r="AE10" s="63"/>
      <c r="AF10" s="63"/>
      <c r="AG10" s="63">
        <v>1</v>
      </c>
      <c r="AH10" s="63"/>
      <c r="AK10" s="164">
        <v>0.2</v>
      </c>
    </row>
    <row r="11" spans="1:38" ht="15" customHeight="1">
      <c r="A11" s="42">
        <v>200069</v>
      </c>
      <c r="B11" s="44" t="s">
        <v>1404</v>
      </c>
      <c r="C11" s="45">
        <f t="shared" si="2"/>
        <v>0.89500000000000002</v>
      </c>
      <c r="D11" s="63"/>
      <c r="E11" s="63"/>
      <c r="F11" s="63"/>
      <c r="G11" s="63">
        <v>0.5</v>
      </c>
      <c r="H11" s="64"/>
      <c r="I11" s="63"/>
      <c r="J11" s="63"/>
      <c r="K11" s="66"/>
      <c r="L11" s="66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>
        <v>0.19500000000000001</v>
      </c>
      <c r="AA11" s="63">
        <v>0.2</v>
      </c>
      <c r="AB11" s="63"/>
      <c r="AC11" s="63"/>
      <c r="AD11" s="63"/>
      <c r="AE11" s="63"/>
      <c r="AF11" s="63"/>
      <c r="AG11" s="63"/>
      <c r="AH11" s="63"/>
      <c r="AK11" s="164"/>
    </row>
    <row r="12" spans="1:38" ht="15" customHeight="1">
      <c r="A12" s="42">
        <v>200070</v>
      </c>
      <c r="B12" s="44" t="s">
        <v>1405</v>
      </c>
      <c r="C12" s="45">
        <f t="shared" si="2"/>
        <v>6.5000000000000002E-2</v>
      </c>
      <c r="D12" s="63"/>
      <c r="E12" s="63"/>
      <c r="F12" s="63"/>
      <c r="G12" s="63"/>
      <c r="H12" s="64"/>
      <c r="I12" s="63"/>
      <c r="J12" s="63"/>
      <c r="K12" s="66"/>
      <c r="L12" s="66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>
        <v>6.5000000000000002E-2</v>
      </c>
      <c r="AA12" s="63"/>
      <c r="AB12" s="63"/>
      <c r="AC12" s="63"/>
      <c r="AD12" s="63"/>
      <c r="AE12" s="63"/>
      <c r="AF12" s="63"/>
      <c r="AG12" s="63"/>
      <c r="AH12" s="63"/>
      <c r="AK12" s="164"/>
    </row>
    <row r="13" spans="1:38" ht="15" customHeight="1">
      <c r="A13" s="42">
        <v>200071</v>
      </c>
      <c r="B13" s="44" t="s">
        <v>1406</v>
      </c>
      <c r="C13" s="45">
        <f t="shared" si="2"/>
        <v>0.46500000000000008</v>
      </c>
      <c r="D13" s="63"/>
      <c r="E13" s="63"/>
      <c r="F13" s="63"/>
      <c r="G13" s="63"/>
      <c r="H13" s="64">
        <v>0.2</v>
      </c>
      <c r="I13" s="63"/>
      <c r="J13" s="63"/>
      <c r="K13" s="66"/>
      <c r="L13" s="66">
        <v>0.1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>
        <v>6.5000000000000002E-2</v>
      </c>
      <c r="AA13" s="63">
        <v>0.1</v>
      </c>
      <c r="AB13" s="63"/>
      <c r="AC13" s="63"/>
      <c r="AD13" s="63"/>
      <c r="AE13" s="63"/>
      <c r="AF13" s="63"/>
      <c r="AG13" s="63"/>
      <c r="AH13" s="63"/>
      <c r="AK13" s="164"/>
    </row>
    <row r="14" spans="1:38" ht="15" customHeight="1">
      <c r="A14" s="42">
        <v>200072</v>
      </c>
      <c r="B14" s="44" t="s">
        <v>1407</v>
      </c>
      <c r="C14" s="45">
        <f t="shared" si="2"/>
        <v>2.5000000000000001E-3</v>
      </c>
      <c r="D14" s="63"/>
      <c r="E14" s="63"/>
      <c r="F14" s="63"/>
      <c r="G14" s="63"/>
      <c r="H14" s="64"/>
      <c r="I14" s="63"/>
      <c r="J14" s="63"/>
      <c r="K14" s="66"/>
      <c r="L14" s="66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>
        <v>2.5000000000000001E-3</v>
      </c>
      <c r="AA14" s="63"/>
      <c r="AB14" s="63"/>
      <c r="AC14" s="63"/>
      <c r="AD14" s="63"/>
      <c r="AE14" s="63"/>
      <c r="AF14" s="63"/>
      <c r="AG14" s="63"/>
      <c r="AH14" s="63"/>
      <c r="AK14" s="164"/>
    </row>
    <row r="15" spans="1:38" ht="15" customHeight="1">
      <c r="A15" s="42">
        <v>200073</v>
      </c>
      <c r="B15" s="44" t="s">
        <v>1408</v>
      </c>
      <c r="C15" s="45">
        <f t="shared" si="2"/>
        <v>0.30000000000000004</v>
      </c>
      <c r="D15" s="63"/>
      <c r="E15" s="63"/>
      <c r="F15" s="63"/>
      <c r="G15" s="63">
        <v>0.1</v>
      </c>
      <c r="H15" s="64">
        <v>0.2</v>
      </c>
      <c r="I15" s="63"/>
      <c r="J15" s="63"/>
      <c r="K15" s="66"/>
      <c r="L15" s="66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K15" s="164"/>
    </row>
    <row r="16" spans="1:38">
      <c r="A16" s="42">
        <v>200074</v>
      </c>
      <c r="B16" s="44" t="s">
        <v>1409</v>
      </c>
      <c r="C16" s="45">
        <f t="shared" si="2"/>
        <v>0.63500000000000001</v>
      </c>
      <c r="D16" s="63"/>
      <c r="E16" s="63"/>
      <c r="F16" s="63"/>
      <c r="G16" s="63"/>
      <c r="H16" s="64"/>
      <c r="I16" s="63"/>
      <c r="J16" s="63"/>
      <c r="K16" s="66"/>
      <c r="L16" s="66">
        <v>1.4999999999999999E-2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0.3</v>
      </c>
      <c r="X16" s="63"/>
      <c r="Y16" s="63"/>
      <c r="Z16" s="63">
        <v>0.02</v>
      </c>
      <c r="AA16" s="63">
        <v>0.2</v>
      </c>
      <c r="AB16" s="63"/>
      <c r="AC16" s="63"/>
      <c r="AD16" s="63"/>
      <c r="AE16" s="63"/>
      <c r="AF16" s="63"/>
      <c r="AG16" s="63"/>
      <c r="AH16" s="63"/>
      <c r="AJ16" s="6">
        <v>0.1</v>
      </c>
      <c r="AK16" s="164"/>
    </row>
    <row r="17" spans="1:37" ht="15" customHeight="1">
      <c r="A17" s="42">
        <v>200075</v>
      </c>
      <c r="B17" s="44" t="s">
        <v>1410</v>
      </c>
      <c r="C17" s="45">
        <f t="shared" si="2"/>
        <v>1.4899999999999998</v>
      </c>
      <c r="D17" s="63"/>
      <c r="E17" s="63"/>
      <c r="F17" s="63"/>
      <c r="G17" s="63"/>
      <c r="H17" s="163">
        <v>0.3</v>
      </c>
      <c r="I17" s="63"/>
      <c r="J17" s="63"/>
      <c r="K17" s="66"/>
      <c r="L17" s="165">
        <v>0.03</v>
      </c>
      <c r="M17" s="63"/>
      <c r="N17" s="63"/>
      <c r="O17" s="63"/>
      <c r="P17" s="63"/>
      <c r="Q17" s="63"/>
      <c r="R17" s="63"/>
      <c r="S17" s="63"/>
      <c r="T17" s="63"/>
      <c r="U17" s="63"/>
      <c r="V17" s="63">
        <v>0.5</v>
      </c>
      <c r="W17" s="63"/>
      <c r="X17" s="63"/>
      <c r="Y17" s="63"/>
      <c r="Z17" s="166">
        <v>0.06</v>
      </c>
      <c r="AA17" s="166">
        <v>0.6</v>
      </c>
      <c r="AB17" s="63"/>
      <c r="AC17" s="63"/>
      <c r="AD17" s="63"/>
      <c r="AE17" s="63"/>
      <c r="AF17" s="63"/>
      <c r="AG17" s="63"/>
      <c r="AH17" s="63"/>
      <c r="AK17" s="164"/>
    </row>
    <row r="18" spans="1:37" ht="15" customHeight="1">
      <c r="A18" s="42">
        <v>200076</v>
      </c>
      <c r="B18" s="44" t="s">
        <v>1411</v>
      </c>
      <c r="C18" s="45">
        <f t="shared" si="2"/>
        <v>0</v>
      </c>
      <c r="D18" s="63"/>
      <c r="E18" s="63"/>
      <c r="F18" s="63"/>
      <c r="G18" s="63"/>
      <c r="H18" s="64"/>
      <c r="I18" s="63"/>
      <c r="J18" s="63"/>
      <c r="K18" s="66"/>
      <c r="L18" s="66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K18" s="164"/>
    </row>
    <row r="19" spans="1:37">
      <c r="A19" s="43">
        <v>200167</v>
      </c>
      <c r="B19" s="46" t="s">
        <v>43</v>
      </c>
      <c r="C19" s="45">
        <f t="shared" si="2"/>
        <v>0</v>
      </c>
      <c r="D19" s="63"/>
      <c r="E19" s="63"/>
      <c r="F19" s="63"/>
      <c r="G19" s="63"/>
      <c r="H19" s="64"/>
      <c r="I19" s="63"/>
      <c r="J19" s="63"/>
      <c r="K19" s="66"/>
      <c r="L19" s="66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K19" s="164"/>
    </row>
    <row r="20" spans="1:37">
      <c r="A20" s="43">
        <v>200168</v>
      </c>
      <c r="B20" s="46" t="s">
        <v>72</v>
      </c>
      <c r="C20" s="45">
        <f t="shared" si="2"/>
        <v>1</v>
      </c>
      <c r="D20" s="63"/>
      <c r="E20" s="63"/>
      <c r="F20" s="63"/>
      <c r="G20" s="63">
        <v>1</v>
      </c>
      <c r="H20" s="64"/>
      <c r="I20" s="63"/>
      <c r="J20" s="63"/>
      <c r="K20" s="66"/>
      <c r="L20" s="66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K20" s="164"/>
    </row>
    <row r="21" spans="1:37">
      <c r="A21" s="43">
        <v>200169</v>
      </c>
      <c r="B21" s="46" t="s">
        <v>131</v>
      </c>
      <c r="C21" s="45">
        <f t="shared" si="2"/>
        <v>8.3000000000000007</v>
      </c>
      <c r="D21" s="63">
        <v>0.6</v>
      </c>
      <c r="E21" s="63"/>
      <c r="F21" s="63">
        <v>1</v>
      </c>
      <c r="G21" s="63">
        <v>0.5</v>
      </c>
      <c r="H21" s="64"/>
      <c r="I21" s="63"/>
      <c r="J21" s="63"/>
      <c r="K21" s="66"/>
      <c r="L21" s="66"/>
      <c r="M21" s="63"/>
      <c r="N21" s="63"/>
      <c r="O21" s="63"/>
      <c r="P21" s="63"/>
      <c r="Q21" s="63"/>
      <c r="R21" s="63"/>
      <c r="S21" s="63"/>
      <c r="T21" s="63">
        <v>0.8</v>
      </c>
      <c r="U21" s="63"/>
      <c r="V21" s="63">
        <v>0.6</v>
      </c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J21" s="6">
        <v>4</v>
      </c>
      <c r="AK21" s="164">
        <v>0.8</v>
      </c>
    </row>
    <row r="22" spans="1:37">
      <c r="A22" s="43">
        <v>200170</v>
      </c>
      <c r="B22" s="46" t="s">
        <v>142</v>
      </c>
      <c r="C22" s="45">
        <f t="shared" si="2"/>
        <v>0</v>
      </c>
      <c r="D22" s="63"/>
      <c r="E22" s="63"/>
      <c r="F22" s="63"/>
      <c r="G22" s="63"/>
      <c r="H22" s="64"/>
      <c r="I22" s="63"/>
      <c r="J22" s="63"/>
      <c r="K22" s="66"/>
      <c r="L22" s="66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K22" s="164"/>
    </row>
    <row r="23" spans="1:37">
      <c r="A23" s="43">
        <v>200171</v>
      </c>
      <c r="B23" s="46" t="s">
        <v>824</v>
      </c>
      <c r="C23" s="45">
        <f t="shared" si="2"/>
        <v>0.1</v>
      </c>
      <c r="D23" s="63"/>
      <c r="E23" s="63"/>
      <c r="F23" s="63"/>
      <c r="G23" s="63"/>
      <c r="H23" s="64"/>
      <c r="I23" s="63"/>
      <c r="J23" s="63"/>
      <c r="K23" s="66"/>
      <c r="L23" s="66"/>
      <c r="M23" s="63"/>
      <c r="N23" s="63"/>
      <c r="O23" s="63"/>
      <c r="P23" s="63"/>
      <c r="Q23" s="63"/>
      <c r="R23" s="63"/>
      <c r="S23" s="63"/>
      <c r="T23" s="63"/>
      <c r="U23" s="63"/>
      <c r="V23" s="63">
        <v>0.1</v>
      </c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K23" s="164"/>
    </row>
    <row r="24" spans="1:37">
      <c r="A24" s="43">
        <v>200172</v>
      </c>
      <c r="B24" s="46" t="s">
        <v>1092</v>
      </c>
      <c r="C24" s="45">
        <f t="shared" si="2"/>
        <v>4.9000000000000004</v>
      </c>
      <c r="D24" s="63"/>
      <c r="E24" s="63"/>
      <c r="F24" s="63"/>
      <c r="G24" s="63">
        <v>2</v>
      </c>
      <c r="H24" s="64">
        <v>0.5</v>
      </c>
      <c r="I24" s="63"/>
      <c r="J24" s="63"/>
      <c r="K24" s="66"/>
      <c r="L24" s="66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>
        <v>1</v>
      </c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J24" s="6">
        <v>0.9</v>
      </c>
      <c r="AK24" s="164">
        <v>0.5</v>
      </c>
    </row>
    <row r="25" spans="1:37">
      <c r="A25" s="43">
        <v>200173</v>
      </c>
      <c r="B25" s="47" t="s">
        <v>838</v>
      </c>
      <c r="C25" s="45">
        <f t="shared" si="2"/>
        <v>1.9</v>
      </c>
      <c r="D25" s="63"/>
      <c r="E25" s="63"/>
      <c r="F25" s="63"/>
      <c r="G25" s="63"/>
      <c r="H25" s="64">
        <v>0.4</v>
      </c>
      <c r="I25" s="63"/>
      <c r="J25" s="63"/>
      <c r="K25" s="66"/>
      <c r="L25" s="66"/>
      <c r="M25" s="63"/>
      <c r="N25" s="63"/>
      <c r="O25" s="63"/>
      <c r="P25" s="63"/>
      <c r="Q25" s="63"/>
      <c r="R25" s="63"/>
      <c r="S25" s="63"/>
      <c r="T25" s="63"/>
      <c r="U25" s="63">
        <v>1</v>
      </c>
      <c r="V25" s="63"/>
      <c r="W25" s="63"/>
      <c r="X25" s="63"/>
      <c r="Y25" s="63">
        <v>0.5</v>
      </c>
      <c r="Z25" s="63"/>
      <c r="AA25" s="63"/>
      <c r="AB25" s="63"/>
      <c r="AC25" s="63"/>
      <c r="AD25" s="63"/>
      <c r="AE25" s="63"/>
      <c r="AF25" s="63"/>
      <c r="AG25" s="63"/>
      <c r="AH25" s="63"/>
      <c r="AK25" s="164"/>
    </row>
    <row r="26" spans="1:37">
      <c r="A26" s="43">
        <v>200174</v>
      </c>
      <c r="B26" s="47" t="s">
        <v>843</v>
      </c>
      <c r="C26" s="45">
        <f t="shared" si="2"/>
        <v>0.9</v>
      </c>
      <c r="D26" s="63"/>
      <c r="E26" s="63"/>
      <c r="F26" s="63"/>
      <c r="G26" s="63"/>
      <c r="H26" s="64">
        <v>0.2</v>
      </c>
      <c r="I26" s="63"/>
      <c r="J26" s="63"/>
      <c r="K26" s="66"/>
      <c r="L26" s="66"/>
      <c r="M26" s="63"/>
      <c r="N26" s="63"/>
      <c r="O26" s="63"/>
      <c r="P26" s="63"/>
      <c r="Q26" s="63"/>
      <c r="R26" s="63"/>
      <c r="S26" s="63"/>
      <c r="T26" s="63"/>
      <c r="U26" s="63">
        <v>0.2</v>
      </c>
      <c r="V26" s="63">
        <v>0.5</v>
      </c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K26" s="164"/>
    </row>
    <row r="27" spans="1:37">
      <c r="A27" s="43">
        <v>200175</v>
      </c>
      <c r="B27" s="47" t="s">
        <v>846</v>
      </c>
      <c r="C27" s="45">
        <f t="shared" si="2"/>
        <v>7.0000000000000007E-2</v>
      </c>
      <c r="D27" s="63"/>
      <c r="E27" s="63"/>
      <c r="F27" s="63"/>
      <c r="G27" s="63"/>
      <c r="H27" s="64"/>
      <c r="I27" s="63"/>
      <c r="J27" s="63"/>
      <c r="K27" s="66"/>
      <c r="L27" s="66">
        <v>0.02</v>
      </c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>
        <v>0.05</v>
      </c>
      <c r="AB27" s="63"/>
      <c r="AC27" s="63"/>
      <c r="AD27" s="63"/>
      <c r="AE27" s="63"/>
      <c r="AF27" s="63"/>
      <c r="AG27" s="63"/>
      <c r="AH27" s="63"/>
      <c r="AK27" s="164"/>
    </row>
    <row r="28" spans="1:37">
      <c r="A28" s="43">
        <v>200176</v>
      </c>
      <c r="B28" s="47" t="s">
        <v>850</v>
      </c>
      <c r="C28" s="45">
        <f t="shared" si="2"/>
        <v>0.04</v>
      </c>
      <c r="D28" s="63"/>
      <c r="E28" s="63"/>
      <c r="F28" s="63"/>
      <c r="G28" s="63">
        <v>0.04</v>
      </c>
      <c r="H28" s="64"/>
      <c r="I28" s="63"/>
      <c r="J28" s="63"/>
      <c r="K28" s="66"/>
      <c r="L28" s="66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K28" s="164"/>
    </row>
    <row r="29" spans="1:37">
      <c r="A29" s="43">
        <v>200177</v>
      </c>
      <c r="B29" s="47" t="s">
        <v>855</v>
      </c>
      <c r="C29" s="45">
        <f t="shared" si="2"/>
        <v>2.8</v>
      </c>
      <c r="D29" s="63"/>
      <c r="E29" s="63"/>
      <c r="F29" s="63"/>
      <c r="G29" s="63">
        <v>0.25</v>
      </c>
      <c r="H29" s="64">
        <v>0.25</v>
      </c>
      <c r="I29" s="63"/>
      <c r="J29" s="63"/>
      <c r="K29" s="66"/>
      <c r="L29" s="66">
        <v>0.8</v>
      </c>
      <c r="M29" s="63"/>
      <c r="N29" s="63"/>
      <c r="O29" s="63"/>
      <c r="P29" s="63"/>
      <c r="Q29" s="63"/>
      <c r="R29" s="63"/>
      <c r="S29" s="63"/>
      <c r="T29" s="63">
        <v>0.5</v>
      </c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>
        <v>1</v>
      </c>
      <c r="AH29" s="63"/>
      <c r="AK29" s="164"/>
    </row>
    <row r="30" spans="1:37">
      <c r="A30" s="43">
        <v>200178</v>
      </c>
      <c r="B30" s="47" t="s">
        <v>860</v>
      </c>
      <c r="C30" s="45">
        <f t="shared" si="2"/>
        <v>0</v>
      </c>
      <c r="D30" s="63"/>
      <c r="E30" s="63"/>
      <c r="F30" s="63"/>
      <c r="G30" s="63"/>
      <c r="H30" s="64"/>
      <c r="I30" s="63"/>
      <c r="J30" s="63"/>
      <c r="K30" s="66"/>
      <c r="L30" s="66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K30" s="164"/>
    </row>
    <row r="31" spans="1:37">
      <c r="A31" s="43">
        <v>200179</v>
      </c>
      <c r="B31" s="47" t="s">
        <v>863</v>
      </c>
      <c r="C31" s="45">
        <f t="shared" si="2"/>
        <v>0</v>
      </c>
      <c r="D31" s="63"/>
      <c r="E31" s="63"/>
      <c r="F31" s="63"/>
      <c r="G31" s="63"/>
      <c r="H31" s="64"/>
      <c r="I31" s="63"/>
      <c r="J31" s="63"/>
      <c r="K31" s="66"/>
      <c r="L31" s="66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K31" s="164"/>
    </row>
    <row r="32" spans="1:37">
      <c r="A32" s="43">
        <v>200180</v>
      </c>
      <c r="B32" s="47" t="s">
        <v>871</v>
      </c>
      <c r="C32" s="45">
        <f t="shared" si="2"/>
        <v>12.39</v>
      </c>
      <c r="D32" s="63"/>
      <c r="E32" s="63"/>
      <c r="F32" s="63"/>
      <c r="G32" s="63"/>
      <c r="H32" s="64">
        <v>10</v>
      </c>
      <c r="I32" s="63"/>
      <c r="J32" s="63"/>
      <c r="K32" s="66"/>
      <c r="L32" s="66"/>
      <c r="M32" s="63"/>
      <c r="N32" s="63"/>
      <c r="O32" s="63"/>
      <c r="P32" s="63"/>
      <c r="Q32" s="63"/>
      <c r="R32" s="63"/>
      <c r="S32" s="63"/>
      <c r="T32" s="63"/>
      <c r="U32" s="63"/>
      <c r="V32" s="63">
        <v>1</v>
      </c>
      <c r="W32" s="63"/>
      <c r="X32" s="63"/>
      <c r="Y32" s="63"/>
      <c r="Z32" s="63">
        <v>0.39</v>
      </c>
      <c r="AA32" s="63"/>
      <c r="AB32" s="63"/>
      <c r="AC32" s="63"/>
      <c r="AD32" s="63"/>
      <c r="AE32" s="63"/>
      <c r="AF32" s="63"/>
      <c r="AG32" s="63">
        <v>1</v>
      </c>
      <c r="AH32" s="63"/>
      <c r="AK32" s="164"/>
    </row>
    <row r="33" spans="1:37">
      <c r="A33" s="43">
        <v>200181</v>
      </c>
      <c r="B33" s="47" t="s">
        <v>1175</v>
      </c>
      <c r="C33" s="45">
        <f t="shared" si="2"/>
        <v>1.5E-3</v>
      </c>
      <c r="D33" s="63"/>
      <c r="E33" s="63"/>
      <c r="F33" s="63"/>
      <c r="G33" s="63"/>
      <c r="H33" s="64"/>
      <c r="I33" s="63"/>
      <c r="J33" s="63"/>
      <c r="K33" s="66"/>
      <c r="L33" s="66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>
        <v>1.5E-3</v>
      </c>
      <c r="AA33" s="63"/>
      <c r="AB33" s="63"/>
      <c r="AC33" s="63"/>
      <c r="AD33" s="63"/>
      <c r="AE33" s="63"/>
      <c r="AF33" s="63"/>
      <c r="AG33" s="63"/>
      <c r="AH33" s="63"/>
      <c r="AK33" s="164"/>
    </row>
    <row r="34" spans="1:37">
      <c r="A34" s="43">
        <v>200182</v>
      </c>
      <c r="B34" s="48" t="s">
        <v>1795</v>
      </c>
      <c r="C34" s="45">
        <f t="shared" si="2"/>
        <v>7.1999999999999995E-2</v>
      </c>
      <c r="D34" s="63"/>
      <c r="E34" s="63"/>
      <c r="F34" s="63"/>
      <c r="G34" s="63"/>
      <c r="H34" s="64"/>
      <c r="I34" s="63"/>
      <c r="J34" s="63"/>
      <c r="K34" s="66"/>
      <c r="L34" s="66"/>
      <c r="M34" s="63"/>
      <c r="N34" s="63">
        <v>7.1999999999999995E-2</v>
      </c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K34" s="164"/>
    </row>
    <row r="35" spans="1:37">
      <c r="A35" s="43">
        <v>200183</v>
      </c>
      <c r="B35" s="48" t="s">
        <v>1796</v>
      </c>
      <c r="C35" s="45">
        <f t="shared" si="2"/>
        <v>0.26</v>
      </c>
      <c r="D35" s="63"/>
      <c r="E35" s="63"/>
      <c r="F35" s="63"/>
      <c r="G35" s="63"/>
      <c r="H35" s="64"/>
      <c r="I35" s="63"/>
      <c r="J35" s="63"/>
      <c r="K35" s="66"/>
      <c r="L35" s="66">
        <v>0.1</v>
      </c>
      <c r="M35" s="63"/>
      <c r="N35" s="63">
        <v>0.01</v>
      </c>
      <c r="O35" s="63"/>
      <c r="P35" s="63"/>
      <c r="Q35" s="63"/>
      <c r="R35" s="63"/>
      <c r="S35" s="63"/>
      <c r="T35" s="63">
        <v>0.05</v>
      </c>
      <c r="U35" s="63"/>
      <c r="V35" s="63">
        <v>0.1</v>
      </c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K35" s="164"/>
    </row>
    <row r="36" spans="1:37">
      <c r="A36" s="43">
        <v>200184</v>
      </c>
      <c r="B36" s="48" t="s">
        <v>1797</v>
      </c>
      <c r="C36" s="45">
        <f t="shared" si="2"/>
        <v>0.02</v>
      </c>
      <c r="D36" s="63"/>
      <c r="E36" s="63"/>
      <c r="F36" s="63"/>
      <c r="G36" s="63"/>
      <c r="H36" s="64"/>
      <c r="I36" s="63"/>
      <c r="J36" s="63"/>
      <c r="K36" s="66"/>
      <c r="L36" s="66"/>
      <c r="M36" s="63"/>
      <c r="N36" s="63">
        <v>0.02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K36" s="164"/>
    </row>
    <row r="37" spans="1:37">
      <c r="A37" s="43">
        <v>200185</v>
      </c>
      <c r="B37" s="46" t="s">
        <v>1229</v>
      </c>
      <c r="C37" s="45">
        <f t="shared" ref="C37" si="3">SUM(D37:BC37)</f>
        <v>0</v>
      </c>
      <c r="D37" s="63"/>
      <c r="E37" s="63"/>
      <c r="F37" s="63"/>
      <c r="G37" s="63"/>
      <c r="H37" s="64"/>
      <c r="I37" s="63"/>
      <c r="J37" s="63"/>
      <c r="K37" s="66"/>
      <c r="L37" s="66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K37" s="164"/>
    </row>
    <row r="38" spans="1:37">
      <c r="A38" s="43">
        <v>200186</v>
      </c>
      <c r="B38" s="46" t="s">
        <v>1412</v>
      </c>
      <c r="C38" s="45">
        <f t="shared" ref="C38:C66" si="4">SUM(D38:BC38)</f>
        <v>0</v>
      </c>
      <c r="D38" s="63"/>
      <c r="E38" s="63"/>
      <c r="F38" s="63"/>
      <c r="G38" s="63"/>
      <c r="H38" s="64"/>
      <c r="I38" s="63"/>
      <c r="J38" s="63"/>
      <c r="K38" s="66"/>
      <c r="L38" s="66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K38" s="164"/>
    </row>
    <row r="39" spans="1:37">
      <c r="A39" s="43">
        <v>200187</v>
      </c>
      <c r="B39" s="46" t="s">
        <v>1413</v>
      </c>
      <c r="C39" s="45">
        <f t="shared" si="4"/>
        <v>0</v>
      </c>
      <c r="D39" s="63"/>
      <c r="E39" s="63"/>
      <c r="F39" s="63"/>
      <c r="G39" s="63"/>
      <c r="H39" s="64"/>
      <c r="I39" s="63"/>
      <c r="J39" s="63"/>
      <c r="K39" s="66"/>
      <c r="L39" s="66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K39" s="164"/>
    </row>
    <row r="40" spans="1:37">
      <c r="A40" s="43">
        <v>200188</v>
      </c>
      <c r="B40" s="46" t="s">
        <v>1414</v>
      </c>
      <c r="C40" s="45">
        <f t="shared" si="4"/>
        <v>0.1</v>
      </c>
      <c r="D40" s="63"/>
      <c r="E40" s="63"/>
      <c r="F40" s="63"/>
      <c r="G40" s="63"/>
      <c r="H40" s="163">
        <v>0.1</v>
      </c>
      <c r="I40" s="63"/>
      <c r="J40" s="63"/>
      <c r="K40" s="66"/>
      <c r="L40" s="66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K40" s="164"/>
    </row>
    <row r="41" spans="1:37">
      <c r="A41" s="43">
        <v>200189</v>
      </c>
      <c r="B41" s="46" t="s">
        <v>1415</v>
      </c>
      <c r="C41" s="45">
        <f t="shared" si="4"/>
        <v>0.70000000000000007</v>
      </c>
      <c r="D41" s="63"/>
      <c r="E41" s="63"/>
      <c r="F41" s="63"/>
      <c r="G41" s="63"/>
      <c r="H41" s="163">
        <v>0.2</v>
      </c>
      <c r="I41" s="63"/>
      <c r="J41" s="63"/>
      <c r="K41" s="66"/>
      <c r="L41" s="66">
        <v>0.1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>
        <v>0.3</v>
      </c>
      <c r="AB41" s="63"/>
      <c r="AC41" s="63"/>
      <c r="AD41" s="63"/>
      <c r="AE41" s="63"/>
      <c r="AF41" s="63"/>
      <c r="AG41" s="63"/>
      <c r="AH41" s="63"/>
      <c r="AI41" s="66">
        <v>0.1</v>
      </c>
      <c r="AK41" s="164"/>
    </row>
    <row r="42" spans="1:37">
      <c r="A42" s="43">
        <v>200190</v>
      </c>
      <c r="B42" s="46" t="s">
        <v>1416</v>
      </c>
      <c r="C42" s="45">
        <f t="shared" si="4"/>
        <v>0.54600000000000004</v>
      </c>
      <c r="D42" s="63"/>
      <c r="E42" s="63"/>
      <c r="F42" s="63"/>
      <c r="G42" s="63"/>
      <c r="H42" s="163">
        <v>0.1</v>
      </c>
      <c r="I42" s="63"/>
      <c r="J42" s="63"/>
      <c r="K42" s="66"/>
      <c r="L42" s="66">
        <v>0.1</v>
      </c>
      <c r="M42" s="63"/>
      <c r="N42" s="63">
        <v>4.5999999999999999E-2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>
        <v>0.2</v>
      </c>
      <c r="AB42" s="63"/>
      <c r="AC42" s="63"/>
      <c r="AD42" s="63"/>
      <c r="AE42" s="63"/>
      <c r="AF42" s="63"/>
      <c r="AG42" s="63"/>
      <c r="AH42" s="63"/>
      <c r="AI42" s="66">
        <v>0.1</v>
      </c>
      <c r="AK42" s="164"/>
    </row>
    <row r="43" spans="1:37">
      <c r="A43" s="43">
        <v>200191</v>
      </c>
      <c r="B43" s="46" t="s">
        <v>1417</v>
      </c>
      <c r="C43" s="45">
        <f t="shared" si="4"/>
        <v>0.34600000000000003</v>
      </c>
      <c r="D43" s="63"/>
      <c r="E43" s="63"/>
      <c r="F43" s="63"/>
      <c r="G43" s="63"/>
      <c r="H43" s="163">
        <v>0.05</v>
      </c>
      <c r="I43" s="63"/>
      <c r="J43" s="63"/>
      <c r="K43" s="66"/>
      <c r="L43" s="66">
        <v>7.4999999999999997E-2</v>
      </c>
      <c r="M43" s="63"/>
      <c r="N43" s="63">
        <v>4.5999999999999999E-2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>
        <v>0.1</v>
      </c>
      <c r="AB43" s="63"/>
      <c r="AC43" s="63"/>
      <c r="AD43" s="63"/>
      <c r="AE43" s="63"/>
      <c r="AF43" s="63"/>
      <c r="AG43" s="63"/>
      <c r="AH43" s="63"/>
      <c r="AI43" s="66">
        <v>7.4999999999999997E-2</v>
      </c>
      <c r="AK43" s="164"/>
    </row>
    <row r="44" spans="1:37">
      <c r="A44" s="43">
        <v>200192</v>
      </c>
      <c r="B44" s="46" t="s">
        <v>1418</v>
      </c>
      <c r="C44" s="45">
        <f t="shared" si="4"/>
        <v>0.19600000000000001</v>
      </c>
      <c r="D44" s="63"/>
      <c r="E44" s="63"/>
      <c r="F44" s="63"/>
      <c r="G44" s="63"/>
      <c r="H44" s="13"/>
      <c r="I44" s="63"/>
      <c r="J44" s="63"/>
      <c r="K44" s="66"/>
      <c r="L44" s="66">
        <v>0.05</v>
      </c>
      <c r="M44" s="63"/>
      <c r="N44" s="63">
        <v>4.5999999999999999E-2</v>
      </c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>
        <v>0.05</v>
      </c>
      <c r="AB44" s="63"/>
      <c r="AC44" s="63"/>
      <c r="AD44" s="63"/>
      <c r="AE44" s="63"/>
      <c r="AF44" s="63"/>
      <c r="AG44" s="63"/>
      <c r="AH44" s="63"/>
      <c r="AI44" s="66">
        <v>0.05</v>
      </c>
      <c r="AK44" s="164"/>
    </row>
    <row r="45" spans="1:37">
      <c r="A45" s="43">
        <v>200193</v>
      </c>
      <c r="B45" s="46" t="s">
        <v>1419</v>
      </c>
      <c r="C45" s="45">
        <f t="shared" si="4"/>
        <v>7.5999999999999998E-2</v>
      </c>
      <c r="D45" s="63"/>
      <c r="E45" s="63"/>
      <c r="F45" s="63"/>
      <c r="G45" s="63"/>
      <c r="H45" s="13"/>
      <c r="I45" s="63"/>
      <c r="J45" s="63"/>
      <c r="K45" s="66"/>
      <c r="L45" s="66">
        <v>0.03</v>
      </c>
      <c r="M45" s="63"/>
      <c r="N45" s="63">
        <v>4.5999999999999999E-2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K45" s="164"/>
    </row>
    <row r="46" spans="1:37">
      <c r="A46" s="43">
        <v>200194</v>
      </c>
      <c r="B46" s="46" t="s">
        <v>1420</v>
      </c>
      <c r="C46" s="45">
        <f t="shared" si="4"/>
        <v>5.6000000000000001E-2</v>
      </c>
      <c r="D46" s="63"/>
      <c r="E46" s="63"/>
      <c r="F46" s="63"/>
      <c r="G46" s="63"/>
      <c r="H46" s="13"/>
      <c r="I46" s="63"/>
      <c r="J46" s="63"/>
      <c r="K46" s="66"/>
      <c r="L46" s="66">
        <v>0.01</v>
      </c>
      <c r="M46" s="63"/>
      <c r="N46" s="63">
        <v>4.5999999999999999E-2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K46" s="164"/>
    </row>
    <row r="47" spans="1:37">
      <c r="A47" s="43">
        <v>200195</v>
      </c>
      <c r="B47" s="46" t="s">
        <v>1421</v>
      </c>
      <c r="C47" s="45">
        <f t="shared" si="4"/>
        <v>0</v>
      </c>
      <c r="D47" s="63"/>
      <c r="E47" s="63"/>
      <c r="F47" s="63"/>
      <c r="G47" s="63"/>
      <c r="H47" s="13"/>
      <c r="I47" s="63"/>
      <c r="J47" s="63"/>
      <c r="K47" s="66"/>
      <c r="L47" s="66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K47" s="164"/>
    </row>
    <row r="48" spans="1:37">
      <c r="A48" s="43">
        <v>200196</v>
      </c>
      <c r="B48" s="46" t="s">
        <v>1422</v>
      </c>
      <c r="C48" s="45">
        <f t="shared" si="4"/>
        <v>0</v>
      </c>
      <c r="D48" s="63"/>
      <c r="E48" s="63"/>
      <c r="F48" s="63"/>
      <c r="G48" s="63"/>
      <c r="H48" s="13"/>
      <c r="I48" s="63"/>
      <c r="J48" s="63"/>
      <c r="K48" s="66"/>
      <c r="L48" s="66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K48" s="164"/>
    </row>
    <row r="49" spans="1:37">
      <c r="A49" s="43">
        <v>200197</v>
      </c>
      <c r="B49" s="46" t="s">
        <v>1423</v>
      </c>
      <c r="C49" s="45">
        <f t="shared" si="4"/>
        <v>0</v>
      </c>
      <c r="D49" s="63"/>
      <c r="E49" s="63"/>
      <c r="F49" s="63"/>
      <c r="G49" s="63"/>
      <c r="H49" s="13"/>
      <c r="I49" s="63"/>
      <c r="J49" s="63"/>
      <c r="K49" s="66"/>
      <c r="L49" s="66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K49" s="164"/>
    </row>
    <row r="50" spans="1:37">
      <c r="A50" s="43">
        <v>200198</v>
      </c>
      <c r="B50" s="46" t="s">
        <v>1424</v>
      </c>
      <c r="C50" s="45">
        <f t="shared" si="4"/>
        <v>0</v>
      </c>
      <c r="D50" s="63"/>
      <c r="E50" s="63"/>
      <c r="F50" s="63"/>
      <c r="G50" s="63"/>
      <c r="H50" s="13"/>
      <c r="I50" s="63"/>
      <c r="J50" s="63"/>
      <c r="K50" s="66"/>
      <c r="L50" s="66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K50" s="164"/>
    </row>
    <row r="51" spans="1:37">
      <c r="A51" s="43">
        <v>200199</v>
      </c>
      <c r="B51" s="46" t="s">
        <v>1425</v>
      </c>
      <c r="C51" s="45">
        <f t="shared" si="4"/>
        <v>0</v>
      </c>
      <c r="D51" s="63"/>
      <c r="E51" s="63"/>
      <c r="F51" s="63"/>
      <c r="G51" s="63"/>
      <c r="H51" s="13"/>
      <c r="I51" s="63"/>
      <c r="J51" s="63"/>
      <c r="K51" s="66"/>
      <c r="L51" s="66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K51" s="164"/>
    </row>
    <row r="52" spans="1:37">
      <c r="A52" s="43">
        <v>200200</v>
      </c>
      <c r="B52" s="46" t="s">
        <v>1426</v>
      </c>
      <c r="C52" s="45">
        <f t="shared" si="4"/>
        <v>0</v>
      </c>
      <c r="D52" s="63"/>
      <c r="E52" s="63"/>
      <c r="F52" s="63"/>
      <c r="G52" s="63"/>
      <c r="H52" s="13"/>
      <c r="I52" s="63"/>
      <c r="J52" s="63"/>
      <c r="K52" s="66"/>
      <c r="L52" s="66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K52" s="164"/>
    </row>
    <row r="53" spans="1:37">
      <c r="A53" s="42">
        <v>200077</v>
      </c>
      <c r="B53" s="44" t="s">
        <v>1427</v>
      </c>
      <c r="C53" s="45">
        <f t="shared" si="4"/>
        <v>0</v>
      </c>
      <c r="D53" s="63"/>
      <c r="E53" s="63"/>
      <c r="F53" s="63"/>
      <c r="G53" s="63"/>
      <c r="H53" s="13"/>
      <c r="I53" s="63"/>
      <c r="J53" s="63"/>
      <c r="K53" s="66"/>
      <c r="L53" s="66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K53" s="164"/>
    </row>
    <row r="54" spans="1:37">
      <c r="A54" s="42">
        <v>200078</v>
      </c>
      <c r="B54" s="44" t="s">
        <v>1428</v>
      </c>
      <c r="C54" s="45">
        <f t="shared" si="4"/>
        <v>0</v>
      </c>
      <c r="D54" s="63"/>
      <c r="E54" s="63"/>
      <c r="F54" s="63"/>
      <c r="G54" s="63"/>
      <c r="H54" s="13"/>
      <c r="I54" s="63"/>
      <c r="J54" s="63"/>
      <c r="K54" s="66"/>
      <c r="L54" s="66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K54" s="164"/>
    </row>
    <row r="55" spans="1:37">
      <c r="A55" s="42">
        <v>200079</v>
      </c>
      <c r="B55" s="44" t="s">
        <v>1429</v>
      </c>
      <c r="C55" s="45">
        <f t="shared" si="4"/>
        <v>0.1</v>
      </c>
      <c r="D55" s="63"/>
      <c r="E55" s="63"/>
      <c r="F55" s="63"/>
      <c r="G55" s="63"/>
      <c r="H55" s="163">
        <v>0.1</v>
      </c>
      <c r="I55" s="63"/>
      <c r="J55" s="63"/>
      <c r="K55" s="66"/>
      <c r="L55" s="66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K55" s="164"/>
    </row>
    <row r="56" spans="1:37">
      <c r="A56" s="42">
        <v>200080</v>
      </c>
      <c r="B56" s="44" t="s">
        <v>1430</v>
      </c>
      <c r="C56" s="45">
        <f t="shared" si="4"/>
        <v>0.70000000000000007</v>
      </c>
      <c r="D56" s="63"/>
      <c r="E56" s="63"/>
      <c r="F56" s="63"/>
      <c r="G56" s="63"/>
      <c r="H56" s="163">
        <v>0.2</v>
      </c>
      <c r="I56" s="63"/>
      <c r="J56" s="63"/>
      <c r="K56" s="66"/>
      <c r="L56" s="66">
        <v>0.1</v>
      </c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>
        <v>0.3</v>
      </c>
      <c r="AB56" s="63"/>
      <c r="AC56" s="63"/>
      <c r="AD56" s="63"/>
      <c r="AE56" s="63"/>
      <c r="AF56" s="63"/>
      <c r="AG56" s="63"/>
      <c r="AH56" s="63"/>
      <c r="AI56" s="66">
        <v>0.1</v>
      </c>
      <c r="AK56" s="164"/>
    </row>
    <row r="57" spans="1:37">
      <c r="A57" s="42">
        <v>200081</v>
      </c>
      <c r="B57" s="44" t="s">
        <v>1431</v>
      </c>
      <c r="C57" s="45">
        <f t="shared" si="4"/>
        <v>0.54600000000000004</v>
      </c>
      <c r="D57" s="63"/>
      <c r="E57" s="63"/>
      <c r="F57" s="63"/>
      <c r="G57" s="63"/>
      <c r="H57" s="163">
        <v>0.1</v>
      </c>
      <c r="I57" s="63"/>
      <c r="J57" s="63"/>
      <c r="K57" s="66"/>
      <c r="L57" s="66">
        <v>0.1</v>
      </c>
      <c r="M57" s="63"/>
      <c r="N57" s="63">
        <v>4.5999999999999999E-2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>
        <v>0.2</v>
      </c>
      <c r="AB57" s="63"/>
      <c r="AC57" s="63"/>
      <c r="AD57" s="63"/>
      <c r="AE57" s="63"/>
      <c r="AF57" s="63"/>
      <c r="AG57" s="63"/>
      <c r="AH57" s="63"/>
      <c r="AI57" s="66">
        <v>0.1</v>
      </c>
      <c r="AK57" s="164"/>
    </row>
    <row r="58" spans="1:37">
      <c r="A58" s="42">
        <v>200082</v>
      </c>
      <c r="B58" s="44" t="s">
        <v>1432</v>
      </c>
      <c r="C58" s="45">
        <f t="shared" si="4"/>
        <v>0.34600000000000003</v>
      </c>
      <c r="D58" s="63"/>
      <c r="E58" s="63"/>
      <c r="F58" s="63"/>
      <c r="G58" s="63"/>
      <c r="H58" s="163">
        <v>0.05</v>
      </c>
      <c r="I58" s="63"/>
      <c r="J58" s="63"/>
      <c r="K58" s="66"/>
      <c r="L58" s="66">
        <v>7.4999999999999997E-2</v>
      </c>
      <c r="M58" s="63"/>
      <c r="N58" s="63">
        <v>4.5999999999999999E-2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>
        <v>0.1</v>
      </c>
      <c r="AB58" s="63"/>
      <c r="AC58" s="63"/>
      <c r="AD58" s="63"/>
      <c r="AE58" s="63"/>
      <c r="AF58" s="63"/>
      <c r="AG58" s="63"/>
      <c r="AH58" s="63"/>
      <c r="AI58" s="66">
        <v>7.4999999999999997E-2</v>
      </c>
      <c r="AK58" s="164"/>
    </row>
    <row r="59" spans="1:37">
      <c r="A59" s="42">
        <v>200083</v>
      </c>
      <c r="B59" s="44" t="s">
        <v>1433</v>
      </c>
      <c r="C59" s="45">
        <f t="shared" si="4"/>
        <v>0.19600000000000001</v>
      </c>
      <c r="D59" s="63"/>
      <c r="E59" s="63"/>
      <c r="F59" s="63"/>
      <c r="G59" s="63"/>
      <c r="H59" s="64"/>
      <c r="I59" s="63"/>
      <c r="J59" s="63"/>
      <c r="K59" s="66"/>
      <c r="L59" s="66">
        <v>0.05</v>
      </c>
      <c r="M59" s="63"/>
      <c r="N59" s="63">
        <v>4.5999999999999999E-2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>
        <v>0.05</v>
      </c>
      <c r="AB59" s="63"/>
      <c r="AC59" s="63"/>
      <c r="AD59" s="63"/>
      <c r="AE59" s="63"/>
      <c r="AF59" s="63"/>
      <c r="AG59" s="63"/>
      <c r="AH59" s="63"/>
      <c r="AI59" s="66">
        <v>0.05</v>
      </c>
      <c r="AK59" s="164"/>
    </row>
    <row r="60" spans="1:37">
      <c r="A60" s="42">
        <v>200084</v>
      </c>
      <c r="B60" s="44" t="s">
        <v>1434</v>
      </c>
      <c r="C60" s="45">
        <f t="shared" si="4"/>
        <v>7.5999999999999998E-2</v>
      </c>
      <c r="D60" s="63"/>
      <c r="E60" s="63"/>
      <c r="F60" s="63"/>
      <c r="G60" s="63"/>
      <c r="H60" s="64"/>
      <c r="I60" s="63"/>
      <c r="J60" s="63"/>
      <c r="K60" s="66"/>
      <c r="L60" s="66">
        <v>0.03</v>
      </c>
      <c r="M60" s="63"/>
      <c r="N60" s="63">
        <v>4.5999999999999999E-2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K60" s="164"/>
    </row>
    <row r="61" spans="1:37">
      <c r="A61" s="42">
        <v>200085</v>
      </c>
      <c r="B61" s="44" t="s">
        <v>1435</v>
      </c>
      <c r="C61" s="45">
        <f t="shared" si="4"/>
        <v>5.6000000000000001E-2</v>
      </c>
      <c r="D61" s="63"/>
      <c r="E61" s="63"/>
      <c r="F61" s="63"/>
      <c r="G61" s="63"/>
      <c r="H61" s="64"/>
      <c r="I61" s="63"/>
      <c r="J61" s="63"/>
      <c r="K61" s="66"/>
      <c r="L61" s="66">
        <v>0.01</v>
      </c>
      <c r="M61" s="63"/>
      <c r="N61" s="63">
        <v>4.5999999999999999E-2</v>
      </c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K61" s="164"/>
    </row>
    <row r="62" spans="1:37">
      <c r="A62" s="42">
        <v>200086</v>
      </c>
      <c r="B62" s="44" t="s">
        <v>1436</v>
      </c>
      <c r="C62" s="45">
        <f t="shared" si="4"/>
        <v>0</v>
      </c>
      <c r="D62" s="63"/>
      <c r="E62" s="63"/>
      <c r="F62" s="63"/>
      <c r="G62" s="63"/>
      <c r="H62" s="64"/>
      <c r="I62" s="63"/>
      <c r="J62" s="63"/>
      <c r="K62" s="66"/>
      <c r="L62" s="66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K62" s="164"/>
    </row>
    <row r="63" spans="1:37">
      <c r="A63" s="42">
        <v>200087</v>
      </c>
      <c r="B63" s="44" t="s">
        <v>1437</v>
      </c>
      <c r="C63" s="45">
        <f t="shared" si="4"/>
        <v>0</v>
      </c>
      <c r="D63" s="63"/>
      <c r="E63" s="63"/>
      <c r="F63" s="63"/>
      <c r="G63" s="63"/>
      <c r="H63" s="64"/>
      <c r="I63" s="63"/>
      <c r="J63" s="63"/>
      <c r="K63" s="66"/>
      <c r="L63" s="66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K63" s="164"/>
    </row>
    <row r="64" spans="1:37">
      <c r="A64" s="42">
        <v>200088</v>
      </c>
      <c r="B64" s="44" t="s">
        <v>1438</v>
      </c>
      <c r="C64" s="45">
        <f t="shared" si="4"/>
        <v>0</v>
      </c>
      <c r="D64" s="63"/>
      <c r="E64" s="63"/>
      <c r="F64" s="63"/>
      <c r="G64" s="63"/>
      <c r="H64" s="64"/>
      <c r="I64" s="63"/>
      <c r="J64" s="63"/>
      <c r="K64" s="66"/>
      <c r="L64" s="66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K64" s="164"/>
    </row>
    <row r="65" spans="1:37">
      <c r="A65" s="42">
        <v>200089</v>
      </c>
      <c r="B65" s="44" t="s">
        <v>1439</v>
      </c>
      <c r="C65" s="45">
        <f t="shared" si="4"/>
        <v>0</v>
      </c>
      <c r="D65" s="73"/>
      <c r="E65" s="73"/>
      <c r="F65" s="73"/>
      <c r="G65" s="73"/>
      <c r="H65" s="13"/>
      <c r="I65" s="63"/>
      <c r="J65" s="73"/>
      <c r="K65" s="66"/>
      <c r="L65" s="66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K65" s="164"/>
    </row>
    <row r="66" spans="1:37">
      <c r="A66" s="42">
        <v>200090</v>
      </c>
      <c r="B66" s="44" t="s">
        <v>1440</v>
      </c>
      <c r="C66" s="45">
        <f t="shared" si="4"/>
        <v>0</v>
      </c>
      <c r="D66" s="73"/>
      <c r="E66" s="73"/>
      <c r="F66" s="73"/>
      <c r="G66" s="73"/>
      <c r="H66" s="13"/>
      <c r="I66" s="63"/>
      <c r="J66" s="73"/>
      <c r="K66" s="66"/>
      <c r="L66" s="66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K66" s="164"/>
    </row>
    <row r="67" spans="1:37" ht="15" customHeight="1">
      <c r="A67" s="42">
        <v>200091</v>
      </c>
      <c r="B67" s="44" t="s">
        <v>1441</v>
      </c>
      <c r="C67" s="45">
        <f t="shared" ref="C67" si="5">SUM(D67:BC67)</f>
        <v>0</v>
      </c>
      <c r="D67" s="73"/>
      <c r="E67" s="73"/>
      <c r="F67" s="73"/>
      <c r="G67" s="73"/>
      <c r="H67" s="13"/>
      <c r="I67" s="63"/>
      <c r="J67" s="73"/>
      <c r="K67" s="66"/>
      <c r="L67" s="66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K67" s="164"/>
    </row>
    <row r="68" spans="1:37" ht="15" customHeight="1">
      <c r="A68" s="42">
        <v>200092</v>
      </c>
      <c r="B68" s="53" t="s">
        <v>1442</v>
      </c>
      <c r="C68" s="45">
        <f t="shared" ref="C68" si="6">SUM(D68:BC68)</f>
        <v>0</v>
      </c>
      <c r="D68" s="73"/>
      <c r="E68" s="73"/>
      <c r="F68" s="73"/>
      <c r="G68" s="73"/>
      <c r="H68" s="13"/>
      <c r="I68" s="63"/>
      <c r="J68" s="73"/>
      <c r="K68" s="66"/>
      <c r="L68" s="66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K68" s="164"/>
    </row>
    <row r="69" spans="1:37" ht="15" customHeight="1">
      <c r="A69" s="42">
        <v>200093</v>
      </c>
      <c r="B69" s="53" t="s">
        <v>1443</v>
      </c>
      <c r="C69" s="45">
        <f t="shared" ref="C69:C99" si="7">SUM(D69:BC69)</f>
        <v>0</v>
      </c>
      <c r="D69" s="73"/>
      <c r="E69" s="73"/>
      <c r="F69" s="73"/>
      <c r="G69" s="73"/>
      <c r="H69" s="13"/>
      <c r="I69" s="63"/>
      <c r="J69" s="73"/>
      <c r="K69" s="66"/>
      <c r="L69" s="66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K69" s="164"/>
    </row>
    <row r="70" spans="1:37" ht="15" customHeight="1">
      <c r="A70" s="42">
        <v>200094</v>
      </c>
      <c r="B70" s="53" t="s">
        <v>1444</v>
      </c>
      <c r="C70" s="45">
        <f t="shared" si="7"/>
        <v>0</v>
      </c>
      <c r="D70" s="73"/>
      <c r="E70" s="73"/>
      <c r="F70" s="73"/>
      <c r="G70" s="73"/>
      <c r="H70" s="13"/>
      <c r="I70" s="63"/>
      <c r="J70" s="73"/>
      <c r="K70" s="66"/>
      <c r="L70" s="66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K70" s="164"/>
    </row>
    <row r="71" spans="1:37" ht="15" customHeight="1">
      <c r="A71" s="42">
        <v>200095</v>
      </c>
      <c r="B71" s="53" t="s">
        <v>1445</v>
      </c>
      <c r="C71" s="45">
        <f t="shared" si="7"/>
        <v>0</v>
      </c>
      <c r="D71" s="73"/>
      <c r="E71" s="73"/>
      <c r="F71" s="73"/>
      <c r="G71" s="73"/>
      <c r="H71" s="13"/>
      <c r="I71" s="63"/>
      <c r="J71" s="73"/>
      <c r="K71" s="66"/>
      <c r="L71" s="66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K71" s="164"/>
    </row>
    <row r="72" spans="1:37" ht="15" customHeight="1">
      <c r="A72" s="42">
        <v>200096</v>
      </c>
      <c r="B72" s="53" t="s">
        <v>1446</v>
      </c>
      <c r="C72" s="45">
        <f t="shared" si="7"/>
        <v>0</v>
      </c>
      <c r="D72" s="73"/>
      <c r="E72" s="73"/>
      <c r="F72" s="73"/>
      <c r="G72" s="73"/>
      <c r="H72" s="13"/>
      <c r="I72" s="63"/>
      <c r="J72" s="73"/>
      <c r="K72" s="66"/>
      <c r="L72" s="66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K72" s="164"/>
    </row>
    <row r="73" spans="1:37" ht="15" customHeight="1">
      <c r="A73" s="42">
        <v>200097</v>
      </c>
      <c r="B73" s="53" t="s">
        <v>1447</v>
      </c>
      <c r="C73" s="45">
        <f t="shared" si="7"/>
        <v>0</v>
      </c>
      <c r="D73" s="73"/>
      <c r="E73" s="73"/>
      <c r="F73" s="73"/>
      <c r="G73" s="73"/>
      <c r="H73" s="13"/>
      <c r="I73" s="63"/>
      <c r="J73" s="73"/>
      <c r="K73" s="66"/>
      <c r="L73" s="66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K73" s="164"/>
    </row>
    <row r="74" spans="1:37" ht="15" customHeight="1">
      <c r="A74" s="42">
        <v>200098</v>
      </c>
      <c r="B74" s="53" t="s">
        <v>1448</v>
      </c>
      <c r="C74" s="45">
        <f t="shared" si="7"/>
        <v>0</v>
      </c>
      <c r="D74" s="73"/>
      <c r="E74" s="73"/>
      <c r="F74" s="73"/>
      <c r="G74" s="73"/>
      <c r="H74" s="13"/>
      <c r="I74" s="63"/>
      <c r="J74" s="73"/>
      <c r="K74" s="66"/>
      <c r="L74" s="66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K74" s="164"/>
    </row>
    <row r="75" spans="1:37" ht="15" customHeight="1">
      <c r="A75" s="42">
        <v>200099</v>
      </c>
      <c r="B75" s="53" t="s">
        <v>1449</v>
      </c>
      <c r="C75" s="45">
        <f t="shared" si="7"/>
        <v>0</v>
      </c>
      <c r="D75" s="73"/>
      <c r="E75" s="73"/>
      <c r="F75" s="73"/>
      <c r="G75" s="73"/>
      <c r="H75" s="13"/>
      <c r="I75" s="63"/>
      <c r="J75" s="73"/>
      <c r="K75" s="66"/>
      <c r="L75" s="66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K75" s="164"/>
    </row>
    <row r="76" spans="1:37" ht="15" customHeight="1">
      <c r="A76" s="42">
        <v>200100</v>
      </c>
      <c r="B76" s="53" t="s">
        <v>1450</v>
      </c>
      <c r="C76" s="45">
        <f t="shared" si="7"/>
        <v>0</v>
      </c>
      <c r="D76" s="73"/>
      <c r="E76" s="73"/>
      <c r="F76" s="73"/>
      <c r="G76" s="73"/>
      <c r="H76" s="13"/>
      <c r="I76" s="63"/>
      <c r="J76" s="73"/>
      <c r="K76" s="66"/>
      <c r="L76" s="66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K76" s="164"/>
    </row>
    <row r="77" spans="1:37" ht="15" customHeight="1">
      <c r="A77" s="42">
        <v>200101</v>
      </c>
      <c r="B77" s="53" t="s">
        <v>1451</v>
      </c>
      <c r="C77" s="45">
        <f t="shared" si="7"/>
        <v>0</v>
      </c>
      <c r="D77" s="73"/>
      <c r="E77" s="73"/>
      <c r="F77" s="73"/>
      <c r="G77" s="73"/>
      <c r="H77" s="13"/>
      <c r="I77" s="63"/>
      <c r="J77" s="73"/>
      <c r="K77" s="66"/>
      <c r="L77" s="66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K77" s="164"/>
    </row>
    <row r="78" spans="1:37" ht="15" customHeight="1">
      <c r="A78" s="42">
        <v>200102</v>
      </c>
      <c r="B78" s="53" t="s">
        <v>1452</v>
      </c>
      <c r="C78" s="45">
        <f t="shared" si="7"/>
        <v>0</v>
      </c>
      <c r="D78" s="73"/>
      <c r="E78" s="73"/>
      <c r="F78" s="73"/>
      <c r="G78" s="73"/>
      <c r="H78" s="13"/>
      <c r="I78" s="63"/>
      <c r="J78" s="73"/>
      <c r="K78" s="66"/>
      <c r="L78" s="66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K78" s="164"/>
    </row>
    <row r="79" spans="1:37" ht="15" customHeight="1">
      <c r="A79" s="42">
        <v>200103</v>
      </c>
      <c r="B79" s="53" t="s">
        <v>1453</v>
      </c>
      <c r="C79" s="45">
        <f t="shared" si="7"/>
        <v>0</v>
      </c>
      <c r="D79" s="73"/>
      <c r="E79" s="73"/>
      <c r="F79" s="73"/>
      <c r="G79" s="73"/>
      <c r="H79" s="13"/>
      <c r="I79" s="63"/>
      <c r="J79" s="73"/>
      <c r="K79" s="66"/>
      <c r="L79" s="66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K79" s="164"/>
    </row>
    <row r="80" spans="1:37" ht="15" customHeight="1">
      <c r="A80" s="42">
        <v>200104</v>
      </c>
      <c r="B80" s="53" t="s">
        <v>1454</v>
      </c>
      <c r="C80" s="45">
        <f t="shared" si="7"/>
        <v>0</v>
      </c>
      <c r="D80" s="73"/>
      <c r="E80" s="73"/>
      <c r="F80" s="73"/>
      <c r="G80" s="73"/>
      <c r="H80" s="13"/>
      <c r="I80" s="63"/>
      <c r="J80" s="73"/>
      <c r="K80" s="66"/>
      <c r="L80" s="66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K80" s="164"/>
    </row>
    <row r="81" spans="1:37" ht="15" customHeight="1">
      <c r="A81" s="42">
        <v>200105</v>
      </c>
      <c r="B81" s="53" t="s">
        <v>1455</v>
      </c>
      <c r="C81" s="45">
        <f t="shared" si="7"/>
        <v>0</v>
      </c>
      <c r="D81" s="73"/>
      <c r="E81" s="73"/>
      <c r="F81" s="73"/>
      <c r="G81" s="73"/>
      <c r="H81" s="13"/>
      <c r="I81" s="63"/>
      <c r="J81" s="73"/>
      <c r="K81" s="66"/>
      <c r="L81" s="66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K81" s="164"/>
    </row>
    <row r="82" spans="1:37" ht="15" customHeight="1">
      <c r="A82" s="42">
        <v>200106</v>
      </c>
      <c r="B82" s="53" t="s">
        <v>1456</v>
      </c>
      <c r="C82" s="45">
        <f t="shared" si="7"/>
        <v>0</v>
      </c>
      <c r="D82" s="73"/>
      <c r="E82" s="73"/>
      <c r="F82" s="73"/>
      <c r="G82" s="73"/>
      <c r="H82" s="13"/>
      <c r="I82" s="63"/>
      <c r="J82" s="73"/>
      <c r="K82" s="66"/>
      <c r="L82" s="66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K82" s="164"/>
    </row>
    <row r="83" spans="1:37" ht="15" customHeight="1">
      <c r="A83" s="42">
        <v>200107</v>
      </c>
      <c r="B83" s="54" t="s">
        <v>1457</v>
      </c>
      <c r="C83" s="45">
        <f t="shared" si="7"/>
        <v>0</v>
      </c>
      <c r="D83" s="73"/>
      <c r="E83" s="73"/>
      <c r="F83" s="73"/>
      <c r="G83" s="73"/>
      <c r="H83" s="13"/>
      <c r="I83" s="63"/>
      <c r="J83" s="73"/>
      <c r="K83" s="66"/>
      <c r="L83" s="66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K83" s="164"/>
    </row>
    <row r="84" spans="1:37" ht="15" customHeight="1">
      <c r="A84" s="42">
        <v>200108</v>
      </c>
      <c r="B84" s="54" t="s">
        <v>1458</v>
      </c>
      <c r="C84" s="45">
        <f t="shared" si="7"/>
        <v>5.5</v>
      </c>
      <c r="D84" s="73"/>
      <c r="E84" s="163">
        <v>4</v>
      </c>
      <c r="F84" s="73"/>
      <c r="G84" s="73"/>
      <c r="H84" s="163">
        <v>0.5</v>
      </c>
      <c r="I84" s="73"/>
      <c r="J84" s="73"/>
      <c r="K84" s="66"/>
      <c r="L84" s="66"/>
      <c r="M84" s="73"/>
      <c r="N84" s="73"/>
      <c r="O84" s="73"/>
      <c r="P84" s="73"/>
      <c r="Q84" s="73"/>
      <c r="R84" s="73"/>
      <c r="S84" s="73"/>
      <c r="T84" s="73">
        <v>1</v>
      </c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K84" s="164"/>
    </row>
    <row r="85" spans="1:37" ht="15" customHeight="1">
      <c r="A85" s="42">
        <v>200109</v>
      </c>
      <c r="B85" s="54" t="s">
        <v>1459</v>
      </c>
      <c r="C85" s="45">
        <f t="shared" si="7"/>
        <v>4.5</v>
      </c>
      <c r="D85" s="73"/>
      <c r="E85" s="163">
        <v>3</v>
      </c>
      <c r="F85" s="73"/>
      <c r="G85" s="73"/>
      <c r="H85" s="163">
        <v>0.5</v>
      </c>
      <c r="I85" s="73"/>
      <c r="J85" s="73"/>
      <c r="K85" s="66"/>
      <c r="L85" s="66"/>
      <c r="M85" s="73"/>
      <c r="N85" s="73"/>
      <c r="O85" s="73"/>
      <c r="P85" s="73"/>
      <c r="Q85" s="73"/>
      <c r="R85" s="73"/>
      <c r="S85" s="73"/>
      <c r="T85" s="73">
        <v>1</v>
      </c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K85" s="164"/>
    </row>
    <row r="86" spans="1:37" ht="15" customHeight="1">
      <c r="A86" s="42">
        <v>200110</v>
      </c>
      <c r="B86" s="54" t="s">
        <v>1460</v>
      </c>
      <c r="C86" s="45">
        <f t="shared" si="7"/>
        <v>3.5</v>
      </c>
      <c r="E86" s="163">
        <v>2</v>
      </c>
      <c r="F86" s="73"/>
      <c r="H86" s="163">
        <v>0.5</v>
      </c>
      <c r="M86" s="73"/>
      <c r="T86" s="6">
        <v>1</v>
      </c>
      <c r="AK86" s="164"/>
    </row>
    <row r="87" spans="1:37" ht="15" customHeight="1">
      <c r="A87" s="42">
        <v>200111</v>
      </c>
      <c r="B87" s="54" t="s">
        <v>1461</v>
      </c>
      <c r="C87" s="45">
        <f t="shared" si="7"/>
        <v>3</v>
      </c>
      <c r="E87" s="163">
        <v>1.5</v>
      </c>
      <c r="F87" s="73"/>
      <c r="H87" s="163">
        <v>0.5</v>
      </c>
      <c r="M87" s="73"/>
      <c r="T87" s="6">
        <v>1</v>
      </c>
      <c r="AK87" s="164"/>
    </row>
    <row r="88" spans="1:37" ht="15" customHeight="1">
      <c r="A88" s="42">
        <v>200112</v>
      </c>
      <c r="B88" s="54" t="s">
        <v>1462</v>
      </c>
      <c r="C88" s="45">
        <f t="shared" si="7"/>
        <v>2.5</v>
      </c>
      <c r="E88" s="163">
        <v>1</v>
      </c>
      <c r="F88" s="73"/>
      <c r="H88" s="163">
        <v>0.5</v>
      </c>
      <c r="M88" s="73"/>
      <c r="T88" s="6">
        <v>1</v>
      </c>
      <c r="AK88" s="164"/>
    </row>
    <row r="89" spans="1:37" ht="15" customHeight="1">
      <c r="A89" s="42">
        <v>200113</v>
      </c>
      <c r="B89" s="54" t="s">
        <v>1463</v>
      </c>
      <c r="C89" s="45">
        <f t="shared" si="7"/>
        <v>2</v>
      </c>
      <c r="E89" s="163">
        <v>0.5</v>
      </c>
      <c r="F89" s="73"/>
      <c r="H89" s="163">
        <v>0.5</v>
      </c>
      <c r="M89" s="73"/>
      <c r="T89" s="6">
        <v>1</v>
      </c>
      <c r="AK89" s="164"/>
    </row>
    <row r="90" spans="1:37" ht="15" customHeight="1">
      <c r="A90" s="42">
        <v>200114</v>
      </c>
      <c r="B90" s="54" t="s">
        <v>1464</v>
      </c>
      <c r="C90" s="45">
        <f t="shared" si="7"/>
        <v>0</v>
      </c>
      <c r="E90" s="73"/>
      <c r="F90" s="73"/>
      <c r="M90" s="73"/>
      <c r="AK90" s="164"/>
    </row>
    <row r="91" spans="1:37" ht="15" customHeight="1">
      <c r="A91" s="42">
        <v>200115</v>
      </c>
      <c r="B91" s="54" t="s">
        <v>1465</v>
      </c>
      <c r="C91" s="45">
        <f t="shared" si="7"/>
        <v>0</v>
      </c>
      <c r="E91" s="73"/>
      <c r="F91" s="73"/>
      <c r="M91" s="73"/>
      <c r="AK91" s="164"/>
    </row>
    <row r="92" spans="1:37" ht="15" customHeight="1">
      <c r="A92" s="42">
        <v>200116</v>
      </c>
      <c r="B92" s="54" t="s">
        <v>1466</v>
      </c>
      <c r="C92" s="45">
        <f t="shared" si="7"/>
        <v>0</v>
      </c>
      <c r="E92" s="73"/>
      <c r="F92" s="73"/>
      <c r="M92" s="73"/>
      <c r="AK92" s="164"/>
    </row>
    <row r="93" spans="1:37" ht="15" customHeight="1">
      <c r="A93" s="42">
        <v>200117</v>
      </c>
      <c r="B93" s="54" t="s">
        <v>1467</v>
      </c>
      <c r="C93" s="45">
        <f t="shared" si="7"/>
        <v>0</v>
      </c>
      <c r="E93" s="73"/>
      <c r="F93" s="73"/>
      <c r="M93" s="73"/>
      <c r="AK93" s="164"/>
    </row>
    <row r="94" spans="1:37" ht="15" customHeight="1">
      <c r="A94" s="42">
        <v>200118</v>
      </c>
      <c r="B94" s="54" t="s">
        <v>1468</v>
      </c>
      <c r="C94" s="45">
        <f t="shared" si="7"/>
        <v>0</v>
      </c>
      <c r="E94" s="73"/>
      <c r="F94" s="73"/>
      <c r="M94" s="73"/>
      <c r="AK94" s="164"/>
    </row>
    <row r="95" spans="1:37" ht="15" customHeight="1">
      <c r="A95" s="42">
        <v>200119</v>
      </c>
      <c r="B95" s="54" t="s">
        <v>1469</v>
      </c>
      <c r="C95" s="45">
        <f t="shared" si="7"/>
        <v>0</v>
      </c>
      <c r="E95" s="73"/>
      <c r="F95" s="73"/>
      <c r="M95" s="73"/>
      <c r="AK95" s="164"/>
    </row>
    <row r="96" spans="1:37" ht="15" customHeight="1">
      <c r="A96" s="42">
        <v>200120</v>
      </c>
      <c r="B96" s="54" t="s">
        <v>1470</v>
      </c>
      <c r="C96" s="45">
        <f t="shared" si="7"/>
        <v>0</v>
      </c>
      <c r="E96" s="73"/>
      <c r="F96" s="73"/>
      <c r="M96" s="73"/>
      <c r="AK96" s="164"/>
    </row>
    <row r="97" spans="1:37" ht="15" customHeight="1">
      <c r="A97" s="42">
        <v>200121</v>
      </c>
      <c r="B97" s="54" t="s">
        <v>1471</v>
      </c>
      <c r="C97" s="45">
        <f t="shared" si="7"/>
        <v>0</v>
      </c>
      <c r="M97" s="73"/>
      <c r="AK97" s="164"/>
    </row>
    <row r="98" spans="1:37" ht="15" customHeight="1">
      <c r="A98" s="42">
        <v>200122</v>
      </c>
      <c r="B98" s="55" t="s">
        <v>1472</v>
      </c>
      <c r="C98" s="45">
        <f t="shared" si="7"/>
        <v>0</v>
      </c>
      <c r="M98" s="73"/>
      <c r="AK98" s="164"/>
    </row>
    <row r="99" spans="1:37" ht="15" customHeight="1">
      <c r="A99" s="42">
        <v>200123</v>
      </c>
      <c r="B99" s="55" t="s">
        <v>1473</v>
      </c>
      <c r="C99" s="45">
        <f t="shared" si="7"/>
        <v>2</v>
      </c>
      <c r="M99" s="73"/>
      <c r="AH99" s="163">
        <v>2</v>
      </c>
      <c r="AK99" s="164"/>
    </row>
    <row r="100" spans="1:37" ht="15" customHeight="1">
      <c r="A100" s="42">
        <v>200124</v>
      </c>
      <c r="B100" s="55" t="s">
        <v>1474</v>
      </c>
      <c r="C100" s="45">
        <f t="shared" ref="C100" si="8">SUM(D100:BC100)</f>
        <v>1.5</v>
      </c>
      <c r="M100" s="73"/>
      <c r="AH100" s="163">
        <v>1.5</v>
      </c>
      <c r="AK100" s="164"/>
    </row>
    <row r="101" spans="1:37" ht="15" customHeight="1">
      <c r="A101" s="42">
        <v>200125</v>
      </c>
      <c r="B101" s="55" t="s">
        <v>1475</v>
      </c>
      <c r="C101" s="45">
        <f t="shared" ref="C101:C130" si="9">SUM(D101:BC101)</f>
        <v>1</v>
      </c>
      <c r="M101" s="73"/>
      <c r="AH101" s="163">
        <v>1</v>
      </c>
      <c r="AK101" s="164"/>
    </row>
    <row r="102" spans="1:37" ht="15" customHeight="1">
      <c r="A102" s="42">
        <v>200126</v>
      </c>
      <c r="B102" s="55" t="s">
        <v>1476</v>
      </c>
      <c r="C102" s="45">
        <f t="shared" si="9"/>
        <v>0.5</v>
      </c>
      <c r="M102" s="73"/>
      <c r="AH102" s="163">
        <v>0.5</v>
      </c>
      <c r="AK102" s="164"/>
    </row>
    <row r="103" spans="1:37" ht="15" customHeight="1">
      <c r="A103" s="42">
        <v>200127</v>
      </c>
      <c r="B103" s="55" t="s">
        <v>1477</v>
      </c>
      <c r="C103" s="45">
        <f t="shared" si="9"/>
        <v>0</v>
      </c>
      <c r="M103" s="73"/>
      <c r="AK103" s="164"/>
    </row>
    <row r="104" spans="1:37" ht="15" customHeight="1">
      <c r="A104" s="42">
        <v>200128</v>
      </c>
      <c r="B104" s="55" t="s">
        <v>1478</v>
      </c>
      <c r="C104" s="45">
        <f t="shared" si="9"/>
        <v>0</v>
      </c>
      <c r="M104" s="73"/>
      <c r="AK104" s="164"/>
    </row>
    <row r="105" spans="1:37" ht="15" customHeight="1">
      <c r="A105" s="42">
        <v>200129</v>
      </c>
      <c r="B105" s="55" t="s">
        <v>1479</v>
      </c>
      <c r="C105" s="45">
        <f t="shared" si="9"/>
        <v>0</v>
      </c>
      <c r="M105" s="73"/>
      <c r="AK105" s="164"/>
    </row>
    <row r="106" spans="1:37" ht="15" customHeight="1">
      <c r="A106" s="42">
        <v>200130</v>
      </c>
      <c r="B106" s="55" t="s">
        <v>1480</v>
      </c>
      <c r="C106" s="45">
        <f t="shared" si="9"/>
        <v>0</v>
      </c>
      <c r="M106" s="73"/>
      <c r="AK106" s="164"/>
    </row>
    <row r="107" spans="1:37" ht="15" customHeight="1">
      <c r="A107" s="42">
        <v>200131</v>
      </c>
      <c r="B107" s="55" t="s">
        <v>1481</v>
      </c>
      <c r="C107" s="45">
        <f t="shared" si="9"/>
        <v>0</v>
      </c>
      <c r="M107" s="73"/>
      <c r="AK107" s="164"/>
    </row>
    <row r="108" spans="1:37" ht="15" customHeight="1">
      <c r="A108" s="42">
        <v>200132</v>
      </c>
      <c r="B108" s="55" t="s">
        <v>1482</v>
      </c>
      <c r="C108" s="45">
        <f t="shared" si="9"/>
        <v>0</v>
      </c>
      <c r="M108" s="73"/>
      <c r="AK108" s="164"/>
    </row>
    <row r="109" spans="1:37" ht="15" customHeight="1">
      <c r="A109" s="42">
        <v>200133</v>
      </c>
      <c r="B109" s="55" t="s">
        <v>1483</v>
      </c>
      <c r="C109" s="45">
        <f t="shared" si="9"/>
        <v>0</v>
      </c>
      <c r="M109" s="73"/>
      <c r="AK109" s="164"/>
    </row>
    <row r="110" spans="1:37" ht="15" customHeight="1">
      <c r="A110" s="42">
        <v>200134</v>
      </c>
      <c r="B110" s="55" t="s">
        <v>1484</v>
      </c>
      <c r="C110" s="45">
        <f t="shared" si="9"/>
        <v>0</v>
      </c>
      <c r="M110" s="73"/>
      <c r="AK110" s="164"/>
    </row>
    <row r="111" spans="1:37" ht="15" customHeight="1">
      <c r="A111" s="42">
        <v>200135</v>
      </c>
      <c r="B111" s="55" t="s">
        <v>1485</v>
      </c>
      <c r="C111" s="45">
        <f t="shared" si="9"/>
        <v>0</v>
      </c>
      <c r="M111" s="73"/>
      <c r="AK111" s="164"/>
    </row>
    <row r="112" spans="1:37" ht="15" customHeight="1">
      <c r="A112" s="42">
        <v>200136</v>
      </c>
      <c r="B112" s="55" t="s">
        <v>1486</v>
      </c>
      <c r="C112" s="45">
        <f t="shared" si="9"/>
        <v>0</v>
      </c>
      <c r="M112" s="73"/>
      <c r="AK112" s="164"/>
    </row>
    <row r="113" spans="1:37" ht="15" customHeight="1">
      <c r="A113" s="42">
        <v>200137</v>
      </c>
      <c r="B113" s="56" t="s">
        <v>1487</v>
      </c>
      <c r="C113" s="45">
        <f t="shared" si="9"/>
        <v>0</v>
      </c>
      <c r="M113" s="73"/>
      <c r="AK113" s="164"/>
    </row>
    <row r="114" spans="1:37" ht="15" customHeight="1">
      <c r="A114" s="42">
        <v>200138</v>
      </c>
      <c r="B114" s="56" t="s">
        <v>1488</v>
      </c>
      <c r="C114" s="45">
        <f t="shared" si="9"/>
        <v>1</v>
      </c>
      <c r="M114" s="73"/>
      <c r="AI114" s="164">
        <v>1</v>
      </c>
      <c r="AK114" s="164"/>
    </row>
    <row r="115" spans="1:37" ht="15" customHeight="1">
      <c r="A115" s="42">
        <v>200139</v>
      </c>
      <c r="B115" s="56" t="s">
        <v>1489</v>
      </c>
      <c r="C115" s="45">
        <f t="shared" si="9"/>
        <v>0.8</v>
      </c>
      <c r="L115" s="164">
        <v>0.4</v>
      </c>
      <c r="M115" s="73"/>
      <c r="AI115" s="164">
        <v>0.4</v>
      </c>
      <c r="AK115" s="164"/>
    </row>
    <row r="116" spans="1:37" ht="15" customHeight="1">
      <c r="A116" s="42">
        <v>200140</v>
      </c>
      <c r="B116" s="56" t="s">
        <v>1490</v>
      </c>
      <c r="C116" s="45">
        <f t="shared" si="9"/>
        <v>0.4</v>
      </c>
      <c r="L116" s="164">
        <v>0.2</v>
      </c>
      <c r="M116" s="73"/>
      <c r="AI116" s="164">
        <v>0.2</v>
      </c>
      <c r="AK116" s="164"/>
    </row>
    <row r="117" spans="1:37" ht="15" customHeight="1">
      <c r="A117" s="42">
        <v>200141</v>
      </c>
      <c r="B117" s="56" t="s">
        <v>1491</v>
      </c>
      <c r="C117" s="45">
        <f>SUM(D117:BC117)</f>
        <v>0</v>
      </c>
      <c r="M117" s="73"/>
      <c r="N117" s="63"/>
      <c r="AK117" s="164"/>
    </row>
    <row r="118" spans="1:37" ht="15" customHeight="1">
      <c r="A118" s="42">
        <v>200142</v>
      </c>
      <c r="B118" s="56" t="s">
        <v>1492</v>
      </c>
      <c r="C118" s="45">
        <f t="shared" si="9"/>
        <v>0</v>
      </c>
      <c r="M118" s="73"/>
      <c r="N118" s="63"/>
      <c r="AK118" s="164"/>
    </row>
    <row r="119" spans="1:37" ht="15" customHeight="1">
      <c r="A119" s="42">
        <v>200143</v>
      </c>
      <c r="B119" s="56" t="s">
        <v>1493</v>
      </c>
      <c r="C119" s="45">
        <f t="shared" si="9"/>
        <v>0</v>
      </c>
      <c r="M119" s="73"/>
      <c r="N119" s="63"/>
      <c r="AK119" s="164"/>
    </row>
    <row r="120" spans="1:37" ht="15" customHeight="1">
      <c r="A120" s="42">
        <v>200144</v>
      </c>
      <c r="B120" s="56" t="s">
        <v>1494</v>
      </c>
      <c r="C120" s="45">
        <f t="shared" si="9"/>
        <v>0</v>
      </c>
      <c r="M120" s="73"/>
      <c r="N120" s="63"/>
      <c r="AK120" s="164"/>
    </row>
    <row r="121" spans="1:37" ht="15" customHeight="1">
      <c r="A121" s="42">
        <v>200145</v>
      </c>
      <c r="B121" s="56" t="s">
        <v>1495</v>
      </c>
      <c r="C121" s="45">
        <f t="shared" si="9"/>
        <v>0</v>
      </c>
      <c r="M121" s="73"/>
      <c r="N121" s="63"/>
      <c r="AK121" s="164"/>
    </row>
    <row r="122" spans="1:37" ht="15" customHeight="1">
      <c r="A122" s="42">
        <v>200146</v>
      </c>
      <c r="B122" s="56" t="s">
        <v>1496</v>
      </c>
      <c r="C122" s="45">
        <f t="shared" si="9"/>
        <v>0</v>
      </c>
      <c r="M122" s="73"/>
      <c r="AK122" s="164"/>
    </row>
    <row r="123" spans="1:37" ht="15" customHeight="1">
      <c r="A123" s="42">
        <v>200147</v>
      </c>
      <c r="B123" s="56" t="s">
        <v>1497</v>
      </c>
      <c r="C123" s="45">
        <f t="shared" si="9"/>
        <v>0</v>
      </c>
      <c r="M123" s="73"/>
      <c r="AK123" s="164"/>
    </row>
    <row r="124" spans="1:37" ht="15" customHeight="1">
      <c r="A124" s="42">
        <v>200148</v>
      </c>
      <c r="B124" s="56" t="s">
        <v>1498</v>
      </c>
      <c r="C124" s="45">
        <f t="shared" si="9"/>
        <v>0</v>
      </c>
      <c r="M124" s="73"/>
      <c r="AK124" s="164"/>
    </row>
    <row r="125" spans="1:37" ht="15" customHeight="1">
      <c r="A125" s="42">
        <v>200149</v>
      </c>
      <c r="B125" s="56" t="s">
        <v>1499</v>
      </c>
      <c r="C125" s="45">
        <f t="shared" si="9"/>
        <v>0</v>
      </c>
      <c r="M125" s="73"/>
      <c r="AK125" s="164"/>
    </row>
    <row r="126" spans="1:37">
      <c r="A126" s="42">
        <v>200150</v>
      </c>
      <c r="B126" s="56" t="s">
        <v>1500</v>
      </c>
      <c r="C126" s="45">
        <f t="shared" si="9"/>
        <v>0</v>
      </c>
      <c r="M126" s="73"/>
      <c r="AK126" s="164"/>
    </row>
    <row r="127" spans="1:37">
      <c r="A127" s="42">
        <v>200151</v>
      </c>
      <c r="B127" s="56" t="s">
        <v>1501</v>
      </c>
      <c r="C127" s="45">
        <f t="shared" si="9"/>
        <v>0</v>
      </c>
      <c r="AK127" s="164"/>
    </row>
    <row r="128" spans="1:37">
      <c r="A128" s="42">
        <v>200152</v>
      </c>
      <c r="B128" s="59" t="s">
        <v>1502</v>
      </c>
      <c r="C128" s="45">
        <f t="shared" si="9"/>
        <v>0</v>
      </c>
      <c r="AK128" s="164"/>
    </row>
    <row r="129" spans="1:37">
      <c r="A129" s="42">
        <v>200153</v>
      </c>
      <c r="B129" s="59" t="s">
        <v>1502</v>
      </c>
      <c r="C129" s="45">
        <f t="shared" si="9"/>
        <v>0</v>
      </c>
      <c r="AK129" s="164"/>
    </row>
    <row r="130" spans="1:37">
      <c r="A130" s="42">
        <v>200154</v>
      </c>
      <c r="B130" s="59" t="s">
        <v>1502</v>
      </c>
      <c r="C130" s="45">
        <f t="shared" si="9"/>
        <v>0</v>
      </c>
      <c r="AK130" s="164"/>
    </row>
    <row r="131" spans="1:37">
      <c r="A131" s="42">
        <v>200155</v>
      </c>
      <c r="B131" s="59" t="s">
        <v>1502</v>
      </c>
      <c r="C131" s="45">
        <f t="shared" ref="C131" si="10">SUM(D131:BC131)</f>
        <v>0</v>
      </c>
      <c r="AK131" s="164"/>
    </row>
    <row r="132" spans="1:37">
      <c r="A132" s="42">
        <v>200156</v>
      </c>
      <c r="B132" s="59" t="s">
        <v>1502</v>
      </c>
      <c r="C132" s="45">
        <f t="shared" ref="C132" si="11">SUM(D132:BC132)</f>
        <v>0</v>
      </c>
      <c r="AK132" s="164"/>
    </row>
    <row r="133" spans="1:37">
      <c r="A133" s="42">
        <v>200157</v>
      </c>
      <c r="B133" s="59" t="s">
        <v>1502</v>
      </c>
      <c r="C133" s="45">
        <f t="shared" ref="C133:C142" si="12">SUM(D133:BC133)</f>
        <v>0</v>
      </c>
      <c r="AK133" s="164"/>
    </row>
    <row r="134" spans="1:37">
      <c r="A134" s="42">
        <v>200158</v>
      </c>
      <c r="B134" s="59" t="s">
        <v>1502</v>
      </c>
      <c r="C134" s="45">
        <f t="shared" si="12"/>
        <v>0</v>
      </c>
      <c r="AK134" s="164"/>
    </row>
    <row r="135" spans="1:37">
      <c r="A135" s="42">
        <v>200159</v>
      </c>
      <c r="B135" s="59" t="s">
        <v>1502</v>
      </c>
      <c r="C135" s="45">
        <f t="shared" si="12"/>
        <v>0</v>
      </c>
      <c r="AK135" s="164"/>
    </row>
    <row r="136" spans="1:37">
      <c r="A136" s="42">
        <v>200160</v>
      </c>
      <c r="B136" s="59" t="s">
        <v>1502</v>
      </c>
      <c r="C136" s="45">
        <f t="shared" si="12"/>
        <v>0</v>
      </c>
      <c r="AK136" s="164"/>
    </row>
    <row r="137" spans="1:37">
      <c r="A137" s="42">
        <v>200161</v>
      </c>
      <c r="B137" s="59" t="s">
        <v>1502</v>
      </c>
      <c r="C137" s="45">
        <f t="shared" si="12"/>
        <v>0</v>
      </c>
      <c r="AK137" s="164"/>
    </row>
    <row r="138" spans="1:37">
      <c r="A138" s="42">
        <v>200162</v>
      </c>
      <c r="B138" s="59" t="s">
        <v>1502</v>
      </c>
      <c r="C138" s="45">
        <f t="shared" si="12"/>
        <v>0</v>
      </c>
      <c r="AK138" s="164"/>
    </row>
    <row r="139" spans="1:37">
      <c r="A139" s="42">
        <v>200163</v>
      </c>
      <c r="B139" s="59" t="s">
        <v>1502</v>
      </c>
      <c r="C139" s="45">
        <f t="shared" si="12"/>
        <v>0</v>
      </c>
      <c r="AK139" s="164"/>
    </row>
    <row r="140" spans="1:37">
      <c r="A140" s="42">
        <v>200164</v>
      </c>
      <c r="B140" s="59" t="s">
        <v>1502</v>
      </c>
      <c r="C140" s="45">
        <f t="shared" si="12"/>
        <v>0</v>
      </c>
      <c r="AK140" s="164"/>
    </row>
    <row r="141" spans="1:37">
      <c r="A141" s="42">
        <v>200165</v>
      </c>
      <c r="B141" s="59" t="s">
        <v>1502</v>
      </c>
      <c r="C141" s="45">
        <f t="shared" si="12"/>
        <v>0</v>
      </c>
      <c r="AK141" s="164"/>
    </row>
    <row r="142" spans="1:37">
      <c r="A142" s="42">
        <v>200166</v>
      </c>
      <c r="B142" s="59" t="s">
        <v>1502</v>
      </c>
      <c r="C142" s="45">
        <f t="shared" si="12"/>
        <v>0</v>
      </c>
      <c r="AK142" s="164"/>
    </row>
  </sheetData>
  <mergeCells count="1">
    <mergeCell ref="D1:AG1"/>
  </mergeCells>
  <phoneticPr fontId="28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0"/>
  </sheetPr>
  <dimension ref="A1"/>
  <sheetViews>
    <sheetView workbookViewId="0">
      <selection activeCell="I29" sqref="I29"/>
    </sheetView>
  </sheetViews>
  <sheetFormatPr defaultColWidth="9" defaultRowHeight="13.5"/>
  <sheetData/>
  <phoneticPr fontId="28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B1:X150"/>
  <sheetViews>
    <sheetView workbookViewId="0">
      <selection activeCell="F22" sqref="F22"/>
    </sheetView>
  </sheetViews>
  <sheetFormatPr defaultColWidth="9" defaultRowHeight="13.5"/>
  <cols>
    <col min="2" max="2" width="9.875" customWidth="1"/>
    <col min="3" max="3" width="27" customWidth="1"/>
    <col min="16" max="16" width="11" customWidth="1"/>
    <col min="17" max="17" width="14.125" customWidth="1"/>
  </cols>
  <sheetData>
    <row r="1" spans="2:24">
      <c r="B1" t="s">
        <v>1551</v>
      </c>
    </row>
    <row r="2" spans="2:24">
      <c r="B2" t="s">
        <v>1552</v>
      </c>
    </row>
    <row r="3" spans="2:24">
      <c r="B3" t="s">
        <v>1553</v>
      </c>
    </row>
    <row r="4" spans="2:24">
      <c r="B4" t="s">
        <v>1554</v>
      </c>
    </row>
    <row r="5" spans="2:24">
      <c r="B5" t="s">
        <v>1555</v>
      </c>
    </row>
    <row r="6" spans="2:24">
      <c r="B6" t="s">
        <v>1556</v>
      </c>
    </row>
    <row r="10" spans="2:24">
      <c r="V10" t="s">
        <v>1557</v>
      </c>
      <c r="W10" t="s">
        <v>1558</v>
      </c>
    </row>
    <row r="11" spans="2:24">
      <c r="B11" t="s">
        <v>1559</v>
      </c>
      <c r="C11" t="s">
        <v>1560</v>
      </c>
      <c r="D11" t="s">
        <v>1561</v>
      </c>
      <c r="E11" t="s">
        <v>1562</v>
      </c>
      <c r="F11" t="s">
        <v>1563</v>
      </c>
      <c r="G11" t="s">
        <v>1564</v>
      </c>
      <c r="I11" t="s">
        <v>1565</v>
      </c>
      <c r="J11" t="s">
        <v>1566</v>
      </c>
      <c r="K11" t="s">
        <v>1567</v>
      </c>
      <c r="L11" t="s">
        <v>1564</v>
      </c>
      <c r="M11" t="s">
        <v>1568</v>
      </c>
      <c r="P11" s="42"/>
      <c r="Q11" s="44"/>
      <c r="R11" s="45"/>
      <c r="V11" s="42">
        <v>200061</v>
      </c>
      <c r="W11" s="44" t="s">
        <v>1397</v>
      </c>
      <c r="X11" s="45">
        <f t="shared" ref="X11" si="0">SUM(Y11:BW11)</f>
        <v>0</v>
      </c>
    </row>
    <row r="12" spans="2:24">
      <c r="B12" s="21">
        <v>5000</v>
      </c>
      <c r="C12" s="20" t="s">
        <v>1569</v>
      </c>
      <c r="P12" s="42"/>
      <c r="Q12" s="44"/>
      <c r="R12" s="45"/>
      <c r="V12" s="42">
        <v>200062</v>
      </c>
      <c r="W12" s="44" t="s">
        <v>1398</v>
      </c>
      <c r="X12" s="45">
        <f t="shared" ref="X12" si="1">SUM(Y12:BW12)</f>
        <v>0</v>
      </c>
    </row>
    <row r="13" spans="2:24">
      <c r="B13" s="21">
        <v>5001</v>
      </c>
      <c r="C13" s="20" t="s">
        <v>1570</v>
      </c>
      <c r="P13" s="42"/>
      <c r="Q13" s="44"/>
      <c r="R13" s="45"/>
      <c r="V13" s="42">
        <v>200063</v>
      </c>
      <c r="W13" s="44" t="s">
        <v>1399</v>
      </c>
      <c r="X13" s="45">
        <f t="shared" ref="X13:X43" si="2">SUM(Y13:BW13)</f>
        <v>0</v>
      </c>
    </row>
    <row r="14" spans="2:24">
      <c r="B14" s="22">
        <v>5002</v>
      </c>
      <c r="C14" s="20" t="s">
        <v>1571</v>
      </c>
      <c r="P14" s="42"/>
      <c r="Q14" s="44"/>
      <c r="R14" s="45"/>
      <c r="V14" s="42">
        <v>200064</v>
      </c>
      <c r="W14" s="44" t="s">
        <v>1359</v>
      </c>
      <c r="X14" s="45">
        <f t="shared" si="2"/>
        <v>0</v>
      </c>
    </row>
    <row r="15" spans="2:24">
      <c r="B15" s="23">
        <v>5003</v>
      </c>
      <c r="C15" s="20" t="s">
        <v>1572</v>
      </c>
      <c r="P15" s="42"/>
      <c r="Q15" s="44"/>
      <c r="R15" s="45"/>
      <c r="V15" s="42">
        <v>200065</v>
      </c>
      <c r="W15" s="44" t="s">
        <v>1400</v>
      </c>
      <c r="X15" s="45">
        <f t="shared" si="2"/>
        <v>0</v>
      </c>
    </row>
    <row r="16" spans="2:24">
      <c r="B16" s="21">
        <v>5004</v>
      </c>
      <c r="C16" s="20" t="s">
        <v>1573</v>
      </c>
      <c r="P16" s="42"/>
      <c r="Q16" s="44"/>
      <c r="R16" s="45"/>
      <c r="V16" s="42">
        <v>200066</v>
      </c>
      <c r="W16" s="44" t="s">
        <v>1401</v>
      </c>
      <c r="X16" s="45">
        <f t="shared" si="2"/>
        <v>0</v>
      </c>
    </row>
    <row r="17" spans="2:24">
      <c r="B17" s="24">
        <v>5010</v>
      </c>
      <c r="C17" s="25" t="s">
        <v>1574</v>
      </c>
      <c r="P17" s="42"/>
      <c r="Q17" s="44"/>
      <c r="R17" s="45"/>
      <c r="V17" s="42">
        <v>200067</v>
      </c>
      <c r="W17" s="44" t="s">
        <v>1402</v>
      </c>
      <c r="X17" s="45">
        <f t="shared" si="2"/>
        <v>0</v>
      </c>
    </row>
    <row r="18" spans="2:24">
      <c r="B18" s="24">
        <v>5020</v>
      </c>
      <c r="C18" s="26" t="s">
        <v>1575</v>
      </c>
      <c r="P18" s="42"/>
      <c r="Q18" s="44"/>
      <c r="R18" s="45"/>
      <c r="V18" s="42">
        <v>200068</v>
      </c>
      <c r="W18" s="44" t="s">
        <v>1403</v>
      </c>
      <c r="X18" s="45">
        <f t="shared" si="2"/>
        <v>0</v>
      </c>
    </row>
    <row r="19" spans="2:24">
      <c r="B19" s="24">
        <v>5030</v>
      </c>
      <c r="C19" s="26" t="s">
        <v>1576</v>
      </c>
      <c r="P19" s="42"/>
      <c r="Q19" s="44"/>
      <c r="R19" s="45"/>
      <c r="V19" s="42">
        <v>200069</v>
      </c>
      <c r="W19" s="44" t="s">
        <v>1404</v>
      </c>
      <c r="X19" s="45">
        <f t="shared" si="2"/>
        <v>0</v>
      </c>
    </row>
    <row r="20" spans="2:24">
      <c r="B20" s="24">
        <v>5040</v>
      </c>
      <c r="C20" s="26" t="s">
        <v>1577</v>
      </c>
      <c r="P20" s="42"/>
      <c r="Q20" s="44"/>
      <c r="R20" s="45"/>
      <c r="V20" s="42">
        <v>200070</v>
      </c>
      <c r="W20" s="44" t="s">
        <v>1405</v>
      </c>
      <c r="X20" s="45">
        <f t="shared" si="2"/>
        <v>0</v>
      </c>
    </row>
    <row r="21" spans="2:24">
      <c r="B21" s="24">
        <v>5050</v>
      </c>
      <c r="C21" s="26" t="s">
        <v>1578</v>
      </c>
      <c r="P21" s="42"/>
      <c r="Q21" s="44"/>
      <c r="R21" s="45"/>
      <c r="V21" s="42">
        <v>200071</v>
      </c>
      <c r="W21" s="44" t="s">
        <v>1406</v>
      </c>
      <c r="X21" s="45">
        <f t="shared" si="2"/>
        <v>0</v>
      </c>
    </row>
    <row r="22" spans="2:24">
      <c r="B22" s="24">
        <v>5060</v>
      </c>
      <c r="C22" s="27" t="s">
        <v>1579</v>
      </c>
      <c r="P22" s="42"/>
      <c r="Q22" s="44"/>
      <c r="R22" s="45"/>
      <c r="V22" s="42">
        <v>200072</v>
      </c>
      <c r="W22" s="44" t="s">
        <v>1407</v>
      </c>
      <c r="X22" s="45">
        <f t="shared" si="2"/>
        <v>0</v>
      </c>
    </row>
    <row r="23" spans="2:24">
      <c r="B23" s="24">
        <v>5070</v>
      </c>
      <c r="C23" s="28" t="s">
        <v>1580</v>
      </c>
      <c r="P23" s="42"/>
      <c r="Q23" s="44"/>
      <c r="R23" s="45"/>
      <c r="V23" s="42">
        <v>200073</v>
      </c>
      <c r="W23" s="44" t="s">
        <v>1408</v>
      </c>
      <c r="X23" s="45">
        <f t="shared" si="2"/>
        <v>0</v>
      </c>
    </row>
    <row r="24" spans="2:24">
      <c r="B24" s="24">
        <v>5080</v>
      </c>
      <c r="C24" s="28" t="s">
        <v>1581</v>
      </c>
      <c r="P24" s="42"/>
      <c r="Q24" s="44"/>
      <c r="R24" s="45"/>
      <c r="V24" s="42">
        <v>200074</v>
      </c>
      <c r="W24" s="44" t="s">
        <v>1409</v>
      </c>
      <c r="X24" s="45">
        <f t="shared" si="2"/>
        <v>0</v>
      </c>
    </row>
    <row r="25" spans="2:24">
      <c r="B25" s="24">
        <v>5090</v>
      </c>
      <c r="C25" s="28" t="s">
        <v>1582</v>
      </c>
      <c r="P25" s="42"/>
      <c r="Q25" s="44"/>
      <c r="R25" s="45"/>
      <c r="V25" s="42">
        <v>200075</v>
      </c>
      <c r="W25" s="44" t="s">
        <v>1410</v>
      </c>
      <c r="X25" s="45">
        <f t="shared" si="2"/>
        <v>0</v>
      </c>
    </row>
    <row r="26" spans="2:24">
      <c r="B26" s="24">
        <v>5100</v>
      </c>
      <c r="C26" s="28" t="s">
        <v>1583</v>
      </c>
      <c r="P26" s="42"/>
      <c r="Q26" s="44"/>
      <c r="R26" s="45"/>
      <c r="V26" s="42">
        <v>200076</v>
      </c>
      <c r="W26" s="44" t="s">
        <v>1411</v>
      </c>
      <c r="X26" s="45">
        <f t="shared" si="2"/>
        <v>0</v>
      </c>
    </row>
    <row r="27" spans="2:24">
      <c r="B27" s="29">
        <v>5110</v>
      </c>
      <c r="C27" s="26" t="s">
        <v>1584</v>
      </c>
      <c r="P27" s="43"/>
      <c r="Q27" s="46"/>
      <c r="R27" s="45"/>
      <c r="V27" s="43">
        <v>200167</v>
      </c>
      <c r="W27" s="46" t="s">
        <v>43</v>
      </c>
      <c r="X27" s="45">
        <f t="shared" si="2"/>
        <v>0</v>
      </c>
    </row>
    <row r="28" spans="2:24">
      <c r="B28" s="29">
        <v>5120</v>
      </c>
      <c r="C28" s="26" t="s">
        <v>1585</v>
      </c>
      <c r="P28" s="43"/>
      <c r="Q28" s="46"/>
      <c r="R28" s="45"/>
      <c r="V28" s="43">
        <v>200168</v>
      </c>
      <c r="W28" s="46" t="s">
        <v>72</v>
      </c>
      <c r="X28" s="45">
        <f t="shared" si="2"/>
        <v>0</v>
      </c>
    </row>
    <row r="29" spans="2:24">
      <c r="B29" s="29">
        <v>5130</v>
      </c>
      <c r="C29" s="26" t="s">
        <v>1586</v>
      </c>
      <c r="P29" s="43"/>
      <c r="Q29" s="46"/>
      <c r="R29" s="45"/>
      <c r="V29" s="43">
        <v>200169</v>
      </c>
      <c r="W29" s="46" t="s">
        <v>131</v>
      </c>
      <c r="X29" s="45">
        <f t="shared" si="2"/>
        <v>0</v>
      </c>
    </row>
    <row r="30" spans="2:24">
      <c r="B30" s="29">
        <v>5140</v>
      </c>
      <c r="C30" s="30" t="s">
        <v>1587</v>
      </c>
      <c r="P30" s="43"/>
      <c r="Q30" s="46"/>
      <c r="R30" s="45"/>
      <c r="V30" s="43">
        <v>200170</v>
      </c>
      <c r="W30" s="46" t="s">
        <v>142</v>
      </c>
      <c r="X30" s="45">
        <f t="shared" si="2"/>
        <v>0</v>
      </c>
    </row>
    <row r="31" spans="2:24">
      <c r="B31" s="24">
        <v>5150</v>
      </c>
      <c r="C31" s="31" t="s">
        <v>1588</v>
      </c>
      <c r="P31" s="43"/>
      <c r="Q31" s="46"/>
      <c r="R31" s="45"/>
      <c r="V31" s="43">
        <v>200171</v>
      </c>
      <c r="W31" s="46" t="s">
        <v>824</v>
      </c>
      <c r="X31" s="45">
        <f t="shared" si="2"/>
        <v>0</v>
      </c>
    </row>
    <row r="32" spans="2:24">
      <c r="B32" s="24">
        <v>5160</v>
      </c>
      <c r="C32" s="32" t="s">
        <v>1589</v>
      </c>
      <c r="P32" s="43"/>
      <c r="Q32" s="46"/>
      <c r="R32" s="45"/>
      <c r="V32" s="43">
        <v>200172</v>
      </c>
      <c r="W32" s="46" t="s">
        <v>1092</v>
      </c>
      <c r="X32" s="45">
        <f t="shared" si="2"/>
        <v>0</v>
      </c>
    </row>
    <row r="33" spans="2:24">
      <c r="B33" s="24">
        <v>5170</v>
      </c>
      <c r="C33" s="32" t="s">
        <v>1590</v>
      </c>
      <c r="P33" s="43"/>
      <c r="Q33" s="47"/>
      <c r="R33" s="45"/>
      <c r="V33" s="43">
        <v>200173</v>
      </c>
      <c r="W33" s="47" t="s">
        <v>838</v>
      </c>
      <c r="X33" s="45">
        <f t="shared" si="2"/>
        <v>0</v>
      </c>
    </row>
    <row r="34" spans="2:24">
      <c r="B34" s="24">
        <v>5180</v>
      </c>
      <c r="C34" s="32" t="s">
        <v>1591</v>
      </c>
      <c r="P34" s="43"/>
      <c r="Q34" s="47"/>
      <c r="R34" s="45"/>
      <c r="V34" s="43">
        <v>200174</v>
      </c>
      <c r="W34" s="47" t="s">
        <v>843</v>
      </c>
      <c r="X34" s="45">
        <f t="shared" si="2"/>
        <v>0</v>
      </c>
    </row>
    <row r="35" spans="2:24">
      <c r="B35" s="24">
        <v>5190</v>
      </c>
      <c r="C35" s="32" t="s">
        <v>1592</v>
      </c>
      <c r="P35" s="43"/>
      <c r="Q35" s="47"/>
      <c r="R35" s="45"/>
      <c r="V35" s="43">
        <v>200175</v>
      </c>
      <c r="W35" s="47" t="s">
        <v>846</v>
      </c>
      <c r="X35" s="45">
        <f t="shared" si="2"/>
        <v>0</v>
      </c>
    </row>
    <row r="36" spans="2:24">
      <c r="B36" s="24">
        <v>5200</v>
      </c>
      <c r="C36" s="28" t="s">
        <v>1593</v>
      </c>
      <c r="P36" s="43"/>
      <c r="Q36" s="47"/>
      <c r="R36" s="45"/>
      <c r="V36" s="43">
        <v>200176</v>
      </c>
      <c r="W36" s="47" t="s">
        <v>850</v>
      </c>
      <c r="X36" s="45">
        <f t="shared" si="2"/>
        <v>0</v>
      </c>
    </row>
    <row r="37" spans="2:24">
      <c r="B37" s="24">
        <v>5210</v>
      </c>
      <c r="C37" s="33" t="s">
        <v>1594</v>
      </c>
      <c r="P37" s="43"/>
      <c r="Q37" s="47"/>
      <c r="R37" s="45"/>
      <c r="V37" s="43">
        <v>200177</v>
      </c>
      <c r="W37" s="47" t="s">
        <v>855</v>
      </c>
      <c r="X37" s="45">
        <f t="shared" si="2"/>
        <v>0</v>
      </c>
    </row>
    <row r="38" spans="2:24">
      <c r="B38" s="24">
        <v>5270</v>
      </c>
      <c r="C38" s="34" t="s">
        <v>1595</v>
      </c>
      <c r="P38" s="43"/>
      <c r="Q38" s="47"/>
      <c r="R38" s="45"/>
      <c r="V38" s="43">
        <v>200178</v>
      </c>
      <c r="W38" s="47" t="s">
        <v>860</v>
      </c>
      <c r="X38" s="45">
        <f t="shared" si="2"/>
        <v>0</v>
      </c>
    </row>
    <row r="39" spans="2:24">
      <c r="B39" s="24">
        <v>5271</v>
      </c>
      <c r="C39" s="34" t="s">
        <v>1229</v>
      </c>
      <c r="P39" s="43"/>
      <c r="Q39" s="47"/>
      <c r="R39" s="45"/>
      <c r="V39" s="43">
        <v>200179</v>
      </c>
      <c r="W39" s="47" t="s">
        <v>863</v>
      </c>
      <c r="X39" s="45">
        <f t="shared" si="2"/>
        <v>0</v>
      </c>
    </row>
    <row r="40" spans="2:24">
      <c r="B40" s="23">
        <v>5280</v>
      </c>
      <c r="C40" s="20" t="s">
        <v>1596</v>
      </c>
      <c r="P40" s="43"/>
      <c r="Q40" s="47"/>
      <c r="R40" s="45"/>
      <c r="V40" s="43">
        <v>200180</v>
      </c>
      <c r="W40" s="47" t="s">
        <v>871</v>
      </c>
      <c r="X40" s="45">
        <f t="shared" si="2"/>
        <v>0</v>
      </c>
    </row>
    <row r="41" spans="2:24">
      <c r="B41" s="24">
        <v>5290</v>
      </c>
      <c r="C41" s="35" t="s">
        <v>1597</v>
      </c>
      <c r="P41" s="43"/>
      <c r="Q41" s="47"/>
      <c r="R41" s="45"/>
      <c r="V41" s="43">
        <v>200181</v>
      </c>
      <c r="W41" s="47" t="s">
        <v>1175</v>
      </c>
      <c r="X41" s="45">
        <f t="shared" si="2"/>
        <v>0</v>
      </c>
    </row>
    <row r="42" spans="2:24">
      <c r="B42" s="24">
        <v>5300</v>
      </c>
      <c r="C42" s="36" t="s">
        <v>1598</v>
      </c>
      <c r="P42" s="43"/>
      <c r="Q42" s="48"/>
      <c r="R42" s="45"/>
      <c r="V42" s="43">
        <v>200182</v>
      </c>
      <c r="W42" s="48" t="s">
        <v>1207</v>
      </c>
      <c r="X42" s="45">
        <f t="shared" si="2"/>
        <v>0</v>
      </c>
    </row>
    <row r="43" spans="2:24">
      <c r="B43" s="24">
        <v>5310</v>
      </c>
      <c r="C43" s="36" t="s">
        <v>1599</v>
      </c>
      <c r="P43" s="43"/>
      <c r="Q43" s="48"/>
      <c r="R43" s="45"/>
      <c r="V43" s="43">
        <v>200183</v>
      </c>
      <c r="W43" s="48" t="s">
        <v>1213</v>
      </c>
      <c r="X43" s="45">
        <f t="shared" si="2"/>
        <v>0</v>
      </c>
    </row>
    <row r="44" spans="2:24">
      <c r="B44" s="24">
        <v>5320</v>
      </c>
      <c r="C44" s="36" t="s">
        <v>1600</v>
      </c>
      <c r="P44" s="43"/>
      <c r="Q44" s="48"/>
      <c r="R44" s="45"/>
      <c r="V44" s="43">
        <v>200184</v>
      </c>
      <c r="W44" s="48" t="s">
        <v>1218</v>
      </c>
      <c r="X44" s="45">
        <f t="shared" ref="X44" si="3">SUM(Y44:BW44)</f>
        <v>0</v>
      </c>
    </row>
    <row r="45" spans="2:24">
      <c r="B45" s="24">
        <v>5330</v>
      </c>
      <c r="C45" s="36" t="s">
        <v>1601</v>
      </c>
      <c r="P45" s="43"/>
      <c r="Q45" s="46"/>
      <c r="R45" s="45"/>
      <c r="V45" s="43">
        <v>200185</v>
      </c>
      <c r="W45" s="46" t="s">
        <v>1229</v>
      </c>
      <c r="X45" s="45">
        <f t="shared" ref="X45:X74" si="4">SUM(Y45:BW45)</f>
        <v>0</v>
      </c>
    </row>
    <row r="46" spans="2:24">
      <c r="B46" s="24">
        <v>5340</v>
      </c>
      <c r="C46" s="35" t="s">
        <v>1602</v>
      </c>
      <c r="P46" s="43"/>
      <c r="Q46" s="46"/>
      <c r="R46" s="45"/>
      <c r="V46" s="43">
        <v>200186</v>
      </c>
      <c r="W46" s="46" t="s">
        <v>1412</v>
      </c>
      <c r="X46" s="45">
        <f t="shared" si="4"/>
        <v>0</v>
      </c>
    </row>
    <row r="47" spans="2:24">
      <c r="B47" s="24">
        <v>5350</v>
      </c>
      <c r="C47" s="35" t="s">
        <v>1603</v>
      </c>
      <c r="P47" s="43"/>
      <c r="Q47" s="46"/>
      <c r="R47" s="45"/>
      <c r="V47" s="43">
        <v>200187</v>
      </c>
      <c r="W47" s="46" t="s">
        <v>1413</v>
      </c>
      <c r="X47" s="45">
        <f t="shared" si="4"/>
        <v>0</v>
      </c>
    </row>
    <row r="48" spans="2:24">
      <c r="B48" s="24">
        <v>5360</v>
      </c>
      <c r="C48" s="35" t="s">
        <v>1604</v>
      </c>
      <c r="P48" s="43"/>
      <c r="Q48" s="46"/>
      <c r="R48" s="45"/>
      <c r="V48" s="43">
        <v>200188</v>
      </c>
      <c r="W48" s="46" t="s">
        <v>1414</v>
      </c>
      <c r="X48" s="45">
        <f t="shared" si="4"/>
        <v>0</v>
      </c>
    </row>
    <row r="49" spans="2:24">
      <c r="B49" s="24">
        <v>5370</v>
      </c>
      <c r="C49" s="35" t="s">
        <v>1605</v>
      </c>
      <c r="P49" s="43"/>
      <c r="Q49" s="46"/>
      <c r="R49" s="45"/>
      <c r="V49" s="43">
        <v>200189</v>
      </c>
      <c r="W49" s="46" t="s">
        <v>1415</v>
      </c>
      <c r="X49" s="45">
        <f t="shared" si="4"/>
        <v>0</v>
      </c>
    </row>
    <row r="50" spans="2:24">
      <c r="B50" s="24">
        <v>5380</v>
      </c>
      <c r="C50" s="35" t="s">
        <v>1606</v>
      </c>
      <c r="P50" s="43"/>
      <c r="Q50" s="46"/>
      <c r="R50" s="45"/>
      <c r="V50" s="43">
        <v>200190</v>
      </c>
      <c r="W50" s="46" t="s">
        <v>1416</v>
      </c>
      <c r="X50" s="45">
        <f t="shared" si="4"/>
        <v>0</v>
      </c>
    </row>
    <row r="51" spans="2:24">
      <c r="B51" s="24">
        <v>5390</v>
      </c>
      <c r="C51" s="35" t="s">
        <v>1607</v>
      </c>
      <c r="P51" s="43"/>
      <c r="Q51" s="46"/>
      <c r="R51" s="45"/>
      <c r="V51" s="43">
        <v>200191</v>
      </c>
      <c r="W51" s="46" t="s">
        <v>1417</v>
      </c>
      <c r="X51" s="45">
        <f t="shared" si="4"/>
        <v>0</v>
      </c>
    </row>
    <row r="52" spans="2:24">
      <c r="B52" s="24">
        <v>5400</v>
      </c>
      <c r="C52" s="35" t="s">
        <v>1608</v>
      </c>
      <c r="P52" s="43"/>
      <c r="Q52" s="46"/>
      <c r="R52" s="45"/>
      <c r="V52" s="43">
        <v>200192</v>
      </c>
      <c r="W52" s="46" t="s">
        <v>1418</v>
      </c>
      <c r="X52" s="45">
        <f t="shared" si="4"/>
        <v>0</v>
      </c>
    </row>
    <row r="53" spans="2:24">
      <c r="B53" s="24">
        <v>5410</v>
      </c>
      <c r="C53" s="35" t="s">
        <v>1609</v>
      </c>
      <c r="P53" s="43"/>
      <c r="Q53" s="46"/>
      <c r="R53" s="45"/>
      <c r="V53" s="43">
        <v>200193</v>
      </c>
      <c r="W53" s="46" t="s">
        <v>1419</v>
      </c>
      <c r="X53" s="45">
        <f t="shared" si="4"/>
        <v>0</v>
      </c>
    </row>
    <row r="54" spans="2:24">
      <c r="B54" s="24">
        <v>5420</v>
      </c>
      <c r="C54" s="35" t="s">
        <v>1610</v>
      </c>
      <c r="P54" s="43"/>
      <c r="Q54" s="46"/>
      <c r="R54" s="45"/>
      <c r="V54" s="43">
        <v>200194</v>
      </c>
      <c r="W54" s="46" t="s">
        <v>1420</v>
      </c>
      <c r="X54" s="45">
        <f t="shared" si="4"/>
        <v>0</v>
      </c>
    </row>
    <row r="55" spans="2:24">
      <c r="B55" s="24">
        <v>5430</v>
      </c>
      <c r="C55" s="35" t="s">
        <v>1611</v>
      </c>
      <c r="P55" s="43"/>
      <c r="Q55" s="46"/>
      <c r="R55" s="45"/>
      <c r="V55" s="43">
        <v>200195</v>
      </c>
      <c r="W55" s="46" t="s">
        <v>1421</v>
      </c>
      <c r="X55" s="45">
        <f t="shared" si="4"/>
        <v>0</v>
      </c>
    </row>
    <row r="56" spans="2:24">
      <c r="B56" s="23">
        <v>5440</v>
      </c>
      <c r="C56" s="37" t="s">
        <v>1612</v>
      </c>
      <c r="P56" s="43"/>
      <c r="Q56" s="46"/>
      <c r="R56" s="45"/>
      <c r="V56" s="43">
        <v>200196</v>
      </c>
      <c r="W56" s="46" t="s">
        <v>1422</v>
      </c>
      <c r="X56" s="45">
        <f t="shared" si="4"/>
        <v>0</v>
      </c>
    </row>
    <row r="57" spans="2:24">
      <c r="B57" s="23">
        <v>5450</v>
      </c>
      <c r="C57" s="37" t="s">
        <v>1613</v>
      </c>
      <c r="P57" s="43"/>
      <c r="Q57" s="46"/>
      <c r="R57" s="45"/>
      <c r="V57" s="43">
        <v>200197</v>
      </c>
      <c r="W57" s="46" t="s">
        <v>1423</v>
      </c>
      <c r="X57" s="45">
        <f t="shared" si="4"/>
        <v>0</v>
      </c>
    </row>
    <row r="58" spans="2:24">
      <c r="B58" s="23">
        <v>5460</v>
      </c>
      <c r="C58" s="37" t="s">
        <v>1614</v>
      </c>
      <c r="P58" s="43"/>
      <c r="Q58" s="46"/>
      <c r="R58" s="45"/>
      <c r="V58" s="43">
        <v>200198</v>
      </c>
      <c r="W58" s="46" t="s">
        <v>1424</v>
      </c>
      <c r="X58" s="45">
        <f t="shared" si="4"/>
        <v>0</v>
      </c>
    </row>
    <row r="59" spans="2:24">
      <c r="B59" s="23">
        <v>5470</v>
      </c>
      <c r="C59" s="37" t="s">
        <v>1615</v>
      </c>
      <c r="P59" s="43"/>
      <c r="Q59" s="46"/>
      <c r="R59" s="45"/>
      <c r="V59" s="43">
        <v>200199</v>
      </c>
      <c r="W59" s="46" t="s">
        <v>1425</v>
      </c>
      <c r="X59" s="45">
        <f t="shared" si="4"/>
        <v>0</v>
      </c>
    </row>
    <row r="60" spans="2:24">
      <c r="B60" s="23">
        <v>5480</v>
      </c>
      <c r="C60" s="37" t="s">
        <v>1616</v>
      </c>
      <c r="P60" s="43"/>
      <c r="Q60" s="46"/>
      <c r="R60" s="45"/>
      <c r="V60" s="43">
        <v>200200</v>
      </c>
      <c r="W60" s="46" t="s">
        <v>1426</v>
      </c>
      <c r="X60" s="45">
        <f t="shared" si="4"/>
        <v>0</v>
      </c>
    </row>
    <row r="61" spans="2:24">
      <c r="B61" s="21">
        <v>5481</v>
      </c>
      <c r="C61" s="38" t="s">
        <v>1617</v>
      </c>
      <c r="P61" s="42"/>
      <c r="Q61" s="44"/>
      <c r="R61" s="45"/>
      <c r="V61" s="42">
        <v>200077</v>
      </c>
      <c r="W61" s="44" t="s">
        <v>1427</v>
      </c>
      <c r="X61" s="45">
        <f t="shared" si="4"/>
        <v>0</v>
      </c>
    </row>
    <row r="62" spans="2:24">
      <c r="B62" s="23">
        <v>5490</v>
      </c>
      <c r="C62" s="38" t="s">
        <v>1175</v>
      </c>
      <c r="P62" s="42"/>
      <c r="Q62" s="44"/>
      <c r="R62" s="45"/>
      <c r="V62" s="42">
        <v>200078</v>
      </c>
      <c r="W62" s="44" t="s">
        <v>1428</v>
      </c>
      <c r="X62" s="45">
        <f t="shared" si="4"/>
        <v>0</v>
      </c>
    </row>
    <row r="63" spans="2:24" ht="14.25">
      <c r="B63" s="39">
        <v>5491</v>
      </c>
      <c r="C63" s="40" t="s">
        <v>1618</v>
      </c>
      <c r="P63" s="42"/>
      <c r="Q63" s="44"/>
      <c r="R63" s="45"/>
      <c r="V63" s="42">
        <v>200079</v>
      </c>
      <c r="W63" s="44" t="s">
        <v>1429</v>
      </c>
      <c r="X63" s="45">
        <f t="shared" si="4"/>
        <v>0</v>
      </c>
    </row>
    <row r="64" spans="2:24">
      <c r="B64" s="24">
        <v>5500</v>
      </c>
      <c r="C64" s="41" t="s">
        <v>1619</v>
      </c>
      <c r="P64" s="42"/>
      <c r="Q64" s="44"/>
      <c r="R64" s="45"/>
      <c r="V64" s="42">
        <v>200080</v>
      </c>
      <c r="W64" s="44" t="s">
        <v>1430</v>
      </c>
      <c r="X64" s="45">
        <f t="shared" si="4"/>
        <v>0</v>
      </c>
    </row>
    <row r="65" spans="2:24">
      <c r="B65" s="24">
        <v>5510</v>
      </c>
      <c r="C65" s="35" t="s">
        <v>1620</v>
      </c>
      <c r="P65" s="42"/>
      <c r="Q65" s="44"/>
      <c r="R65" s="45"/>
      <c r="V65" s="42">
        <v>200081</v>
      </c>
      <c r="W65" s="44" t="s">
        <v>1431</v>
      </c>
      <c r="X65" s="45">
        <f t="shared" si="4"/>
        <v>0</v>
      </c>
    </row>
    <row r="66" spans="2:24">
      <c r="B66" s="24">
        <v>5520</v>
      </c>
      <c r="C66" s="41" t="s">
        <v>1621</v>
      </c>
      <c r="P66" s="42"/>
      <c r="Q66" s="44"/>
      <c r="R66" s="45"/>
      <c r="V66" s="42">
        <v>200082</v>
      </c>
      <c r="W66" s="44" t="s">
        <v>1432</v>
      </c>
      <c r="X66" s="45">
        <f t="shared" si="4"/>
        <v>0</v>
      </c>
    </row>
    <row r="67" spans="2:24">
      <c r="B67" s="24">
        <v>5530</v>
      </c>
      <c r="C67" s="41" t="s">
        <v>1622</v>
      </c>
      <c r="P67" s="42"/>
      <c r="Q67" s="44"/>
      <c r="R67" s="45"/>
      <c r="V67" s="42">
        <v>200083</v>
      </c>
      <c r="W67" s="44" t="s">
        <v>1433</v>
      </c>
      <c r="X67" s="45">
        <f t="shared" si="4"/>
        <v>0</v>
      </c>
    </row>
    <row r="68" spans="2:24">
      <c r="B68" s="24">
        <v>5540</v>
      </c>
      <c r="C68" s="35" t="s">
        <v>1623</v>
      </c>
      <c r="P68" s="42"/>
      <c r="Q68" s="44"/>
      <c r="R68" s="45"/>
      <c r="V68" s="42">
        <v>200084</v>
      </c>
      <c r="W68" s="44" t="s">
        <v>1434</v>
      </c>
      <c r="X68" s="45">
        <f t="shared" si="4"/>
        <v>0</v>
      </c>
    </row>
    <row r="69" spans="2:24">
      <c r="B69" s="24">
        <v>5550</v>
      </c>
      <c r="C69" s="41" t="s">
        <v>1624</v>
      </c>
      <c r="P69" s="42"/>
      <c r="Q69" s="44"/>
      <c r="R69" s="45"/>
      <c r="V69" s="42">
        <v>200085</v>
      </c>
      <c r="W69" s="44" t="s">
        <v>1435</v>
      </c>
      <c r="X69" s="45">
        <f t="shared" si="4"/>
        <v>0</v>
      </c>
    </row>
    <row r="70" spans="2:24">
      <c r="B70" s="24">
        <v>5560</v>
      </c>
      <c r="C70" s="35" t="s">
        <v>1625</v>
      </c>
      <c r="P70" s="42"/>
      <c r="Q70" s="44"/>
      <c r="R70" s="45"/>
      <c r="V70" s="42">
        <v>200086</v>
      </c>
      <c r="W70" s="44" t="s">
        <v>1436</v>
      </c>
      <c r="X70" s="45">
        <f t="shared" si="4"/>
        <v>0</v>
      </c>
    </row>
    <row r="71" spans="2:24">
      <c r="B71" s="24">
        <v>5570</v>
      </c>
      <c r="C71" s="35" t="s">
        <v>1626</v>
      </c>
      <c r="P71" s="42"/>
      <c r="Q71" s="44"/>
      <c r="R71" s="45"/>
      <c r="V71" s="42">
        <v>200087</v>
      </c>
      <c r="W71" s="44" t="s">
        <v>1437</v>
      </c>
      <c r="X71" s="45">
        <f t="shared" si="4"/>
        <v>0</v>
      </c>
    </row>
    <row r="72" spans="2:24">
      <c r="B72" s="49">
        <v>5580</v>
      </c>
      <c r="C72" s="35" t="s">
        <v>1627</v>
      </c>
      <c r="P72" s="42"/>
      <c r="Q72" s="44"/>
      <c r="R72" s="45"/>
      <c r="V72" s="42">
        <v>200088</v>
      </c>
      <c r="W72" s="44" t="s">
        <v>1438</v>
      </c>
      <c r="X72" s="45">
        <f t="shared" si="4"/>
        <v>0</v>
      </c>
    </row>
    <row r="73" spans="2:24">
      <c r="B73" s="49">
        <v>5590</v>
      </c>
      <c r="C73" s="35" t="s">
        <v>1628</v>
      </c>
      <c r="P73" s="42"/>
      <c r="Q73" s="44"/>
      <c r="R73" s="45"/>
      <c r="V73" s="42">
        <v>200089</v>
      </c>
      <c r="W73" s="44" t="s">
        <v>1439</v>
      </c>
      <c r="X73" s="45">
        <f t="shared" si="4"/>
        <v>0</v>
      </c>
    </row>
    <row r="74" spans="2:24">
      <c r="B74" s="49">
        <v>5600</v>
      </c>
      <c r="C74" s="35" t="s">
        <v>1628</v>
      </c>
      <c r="P74" s="42"/>
      <c r="Q74" s="44"/>
      <c r="R74" s="45"/>
      <c r="V74" s="42">
        <v>200090</v>
      </c>
      <c r="W74" s="44" t="s">
        <v>1440</v>
      </c>
      <c r="X74" s="45">
        <f t="shared" si="4"/>
        <v>0</v>
      </c>
    </row>
    <row r="75" spans="2:24">
      <c r="B75" s="23">
        <v>5610</v>
      </c>
      <c r="C75" s="20" t="s">
        <v>1629</v>
      </c>
      <c r="P75" s="42"/>
      <c r="Q75" s="44"/>
      <c r="R75" s="45"/>
      <c r="V75" s="42">
        <v>200091</v>
      </c>
      <c r="W75" s="44" t="s">
        <v>1441</v>
      </c>
      <c r="X75" s="45">
        <f t="shared" ref="X75" si="5">SUM(Y75:BW75)</f>
        <v>0</v>
      </c>
    </row>
    <row r="76" spans="2:24">
      <c r="B76" s="23">
        <v>5611</v>
      </c>
      <c r="C76" s="20" t="s">
        <v>1630</v>
      </c>
      <c r="P76" s="42"/>
      <c r="Q76" s="53"/>
      <c r="R76" s="45"/>
      <c r="V76" s="42">
        <v>200092</v>
      </c>
      <c r="W76" s="53" t="s">
        <v>1442</v>
      </c>
      <c r="X76" s="45">
        <f t="shared" ref="X76" si="6">SUM(Y76:BW76)</f>
        <v>0</v>
      </c>
    </row>
    <row r="77" spans="2:24">
      <c r="B77" s="23">
        <v>5612</v>
      </c>
      <c r="C77" s="20" t="s">
        <v>1631</v>
      </c>
      <c r="P77" s="42"/>
      <c r="Q77" s="53"/>
      <c r="R77" s="45"/>
      <c r="V77" s="42">
        <v>200093</v>
      </c>
      <c r="W77" s="53" t="s">
        <v>1443</v>
      </c>
      <c r="X77" s="45">
        <f t="shared" ref="X77:X107" si="7">SUM(Y77:BW77)</f>
        <v>0</v>
      </c>
    </row>
    <row r="78" spans="2:24">
      <c r="B78" s="24">
        <v>5620</v>
      </c>
      <c r="C78" s="35" t="s">
        <v>1632</v>
      </c>
      <c r="P78" s="42"/>
      <c r="Q78" s="53"/>
      <c r="R78" s="45"/>
      <c r="V78" s="42">
        <v>200094</v>
      </c>
      <c r="W78" s="53" t="s">
        <v>1444</v>
      </c>
      <c r="X78" s="45">
        <f t="shared" si="7"/>
        <v>0</v>
      </c>
    </row>
    <row r="79" spans="2:24">
      <c r="B79" s="24">
        <v>5630</v>
      </c>
      <c r="C79" s="35" t="s">
        <v>1633</v>
      </c>
      <c r="P79" s="42"/>
      <c r="Q79" s="53"/>
      <c r="R79" s="45"/>
      <c r="V79" s="42">
        <v>200095</v>
      </c>
      <c r="W79" s="53" t="s">
        <v>1445</v>
      </c>
      <c r="X79" s="45">
        <f t="shared" si="7"/>
        <v>0</v>
      </c>
    </row>
    <row r="80" spans="2:24">
      <c r="B80" s="24">
        <v>5640</v>
      </c>
      <c r="C80" s="35" t="s">
        <v>1634</v>
      </c>
      <c r="P80" s="42"/>
      <c r="Q80" s="53"/>
      <c r="R80" s="45"/>
      <c r="V80" s="42">
        <v>200096</v>
      </c>
      <c r="W80" s="53" t="s">
        <v>1446</v>
      </c>
      <c r="X80" s="45">
        <f t="shared" si="7"/>
        <v>0</v>
      </c>
    </row>
    <row r="81" spans="2:24">
      <c r="B81" s="24">
        <v>5650</v>
      </c>
      <c r="C81" s="35" t="s">
        <v>1635</v>
      </c>
      <c r="P81" s="42"/>
      <c r="Q81" s="53"/>
      <c r="R81" s="45"/>
      <c r="V81" s="42">
        <v>200097</v>
      </c>
      <c r="W81" s="53" t="s">
        <v>1447</v>
      </c>
      <c r="X81" s="45">
        <f t="shared" si="7"/>
        <v>0</v>
      </c>
    </row>
    <row r="82" spans="2:24">
      <c r="B82" s="24">
        <v>5660</v>
      </c>
      <c r="C82" s="35" t="s">
        <v>1636</v>
      </c>
      <c r="P82" s="42"/>
      <c r="Q82" s="53"/>
      <c r="R82" s="45"/>
      <c r="V82" s="42">
        <v>200098</v>
      </c>
      <c r="W82" s="53" t="s">
        <v>1448</v>
      </c>
      <c r="X82" s="45">
        <f t="shared" si="7"/>
        <v>0</v>
      </c>
    </row>
    <row r="83" spans="2:24">
      <c r="B83" s="49">
        <v>5670</v>
      </c>
      <c r="C83" s="35" t="s">
        <v>1637</v>
      </c>
      <c r="P83" s="42"/>
      <c r="Q83" s="53"/>
      <c r="R83" s="45"/>
      <c r="V83" s="42">
        <v>200099</v>
      </c>
      <c r="W83" s="53" t="s">
        <v>1449</v>
      </c>
      <c r="X83" s="45">
        <f t="shared" si="7"/>
        <v>0</v>
      </c>
    </row>
    <row r="84" spans="2:24">
      <c r="B84" s="24">
        <v>5671</v>
      </c>
      <c r="C84" s="35" t="s">
        <v>1638</v>
      </c>
      <c r="P84" s="42"/>
      <c r="Q84" s="53"/>
      <c r="R84" s="45"/>
      <c r="V84" s="42">
        <v>200100</v>
      </c>
      <c r="W84" s="53" t="s">
        <v>1450</v>
      </c>
      <c r="X84" s="45">
        <f t="shared" si="7"/>
        <v>0</v>
      </c>
    </row>
    <row r="85" spans="2:24">
      <c r="B85" s="23">
        <v>5680</v>
      </c>
      <c r="C85" s="20" t="s">
        <v>1639</v>
      </c>
      <c r="P85" s="42"/>
      <c r="Q85" s="53"/>
      <c r="R85" s="45"/>
      <c r="V85" s="42">
        <v>200101</v>
      </c>
      <c r="W85" s="53" t="s">
        <v>1451</v>
      </c>
      <c r="X85" s="45">
        <f t="shared" si="7"/>
        <v>0</v>
      </c>
    </row>
    <row r="86" spans="2:24">
      <c r="B86" s="24">
        <v>5700</v>
      </c>
      <c r="C86" s="36" t="s">
        <v>1640</v>
      </c>
      <c r="P86" s="42"/>
      <c r="Q86" s="53"/>
      <c r="R86" s="45"/>
      <c r="V86" s="42">
        <v>200102</v>
      </c>
      <c r="W86" s="53" t="s">
        <v>1452</v>
      </c>
      <c r="X86" s="45">
        <f t="shared" si="7"/>
        <v>0</v>
      </c>
    </row>
    <row r="87" spans="2:24">
      <c r="B87" s="23">
        <v>5710</v>
      </c>
      <c r="C87" s="20" t="s">
        <v>1641</v>
      </c>
      <c r="P87" s="42"/>
      <c r="Q87" s="53"/>
      <c r="R87" s="45"/>
      <c r="V87" s="42">
        <v>200103</v>
      </c>
      <c r="W87" s="53" t="s">
        <v>1453</v>
      </c>
      <c r="X87" s="45">
        <f t="shared" si="7"/>
        <v>0</v>
      </c>
    </row>
    <row r="88" spans="2:24">
      <c r="B88" s="24">
        <v>5720</v>
      </c>
      <c r="C88" s="35" t="s">
        <v>1642</v>
      </c>
      <c r="P88" s="42"/>
      <c r="Q88" s="53"/>
      <c r="R88" s="45"/>
      <c r="V88" s="42">
        <v>200104</v>
      </c>
      <c r="W88" s="53" t="s">
        <v>1454</v>
      </c>
      <c r="X88" s="45">
        <f t="shared" si="7"/>
        <v>0</v>
      </c>
    </row>
    <row r="89" spans="2:24">
      <c r="B89" s="23">
        <v>5730</v>
      </c>
      <c r="C89" s="20" t="s">
        <v>1643</v>
      </c>
      <c r="P89" s="42"/>
      <c r="Q89" s="53"/>
      <c r="R89" s="45"/>
      <c r="V89" s="42">
        <v>200105</v>
      </c>
      <c r="W89" s="53" t="s">
        <v>1455</v>
      </c>
      <c r="X89" s="45">
        <f t="shared" si="7"/>
        <v>0</v>
      </c>
    </row>
    <row r="90" spans="2:24">
      <c r="B90" s="24">
        <v>5740</v>
      </c>
      <c r="C90" s="35" t="s">
        <v>1644</v>
      </c>
      <c r="P90" s="42"/>
      <c r="Q90" s="53"/>
      <c r="R90" s="45"/>
      <c r="V90" s="42">
        <v>200106</v>
      </c>
      <c r="W90" s="53" t="s">
        <v>1456</v>
      </c>
      <c r="X90" s="45">
        <f t="shared" si="7"/>
        <v>0</v>
      </c>
    </row>
    <row r="91" spans="2:24">
      <c r="B91" s="24">
        <v>5750</v>
      </c>
      <c r="C91" s="35" t="s">
        <v>1645</v>
      </c>
      <c r="P91" s="42"/>
      <c r="Q91" s="54"/>
      <c r="R91" s="45"/>
      <c r="V91" s="42">
        <v>200107</v>
      </c>
      <c r="W91" s="54" t="s">
        <v>1457</v>
      </c>
      <c r="X91" s="45">
        <f t="shared" si="7"/>
        <v>0</v>
      </c>
    </row>
    <row r="92" spans="2:24">
      <c r="B92" s="24">
        <v>5760</v>
      </c>
      <c r="C92" s="35" t="s">
        <v>1646</v>
      </c>
      <c r="P92" s="42"/>
      <c r="Q92" s="54"/>
      <c r="R92" s="45"/>
      <c r="V92" s="42">
        <v>200108</v>
      </c>
      <c r="W92" s="54" t="s">
        <v>1458</v>
      </c>
      <c r="X92" s="45">
        <f t="shared" si="7"/>
        <v>0</v>
      </c>
    </row>
    <row r="93" spans="2:24">
      <c r="B93" s="24">
        <v>5770</v>
      </c>
      <c r="C93" s="35" t="s">
        <v>1647</v>
      </c>
      <c r="P93" s="42"/>
      <c r="Q93" s="54"/>
      <c r="R93" s="45"/>
      <c r="V93" s="42">
        <v>200109</v>
      </c>
      <c r="W93" s="54" t="s">
        <v>1459</v>
      </c>
      <c r="X93" s="45">
        <f t="shared" si="7"/>
        <v>0</v>
      </c>
    </row>
    <row r="94" spans="2:24">
      <c r="B94" s="24">
        <v>5780</v>
      </c>
      <c r="C94" s="35" t="s">
        <v>1648</v>
      </c>
      <c r="P94" s="42"/>
      <c r="Q94" s="54"/>
      <c r="R94" s="45"/>
      <c r="V94" s="42">
        <v>200110</v>
      </c>
      <c r="W94" s="54" t="s">
        <v>1460</v>
      </c>
      <c r="X94" s="45">
        <f t="shared" si="7"/>
        <v>0</v>
      </c>
    </row>
    <row r="95" spans="2:24">
      <c r="B95" s="23">
        <v>5790</v>
      </c>
      <c r="C95" s="20" t="s">
        <v>1649</v>
      </c>
      <c r="P95" s="42"/>
      <c r="Q95" s="54"/>
      <c r="R95" s="45"/>
      <c r="V95" s="42">
        <v>200111</v>
      </c>
      <c r="W95" s="54" t="s">
        <v>1461</v>
      </c>
      <c r="X95" s="45">
        <f t="shared" si="7"/>
        <v>0</v>
      </c>
    </row>
    <row r="96" spans="2:24">
      <c r="B96" s="24">
        <v>5800</v>
      </c>
      <c r="C96" s="35" t="s">
        <v>1650</v>
      </c>
      <c r="P96" s="42"/>
      <c r="Q96" s="54"/>
      <c r="R96" s="45"/>
      <c r="V96" s="42">
        <v>200112</v>
      </c>
      <c r="W96" s="54" t="s">
        <v>1462</v>
      </c>
      <c r="X96" s="45">
        <f t="shared" si="7"/>
        <v>0</v>
      </c>
    </row>
    <row r="97" spans="2:24">
      <c r="B97" s="23">
        <v>5810</v>
      </c>
      <c r="C97" s="20" t="s">
        <v>1651</v>
      </c>
      <c r="P97" s="42"/>
      <c r="Q97" s="54"/>
      <c r="R97" s="45"/>
      <c r="V97" s="42">
        <v>200113</v>
      </c>
      <c r="W97" s="54" t="s">
        <v>1463</v>
      </c>
      <c r="X97" s="45">
        <f t="shared" si="7"/>
        <v>0</v>
      </c>
    </row>
    <row r="98" spans="2:24">
      <c r="B98" s="22">
        <v>5820</v>
      </c>
      <c r="C98" s="20" t="s">
        <v>1652</v>
      </c>
      <c r="P98" s="42"/>
      <c r="Q98" s="54"/>
      <c r="R98" s="45"/>
      <c r="V98" s="42">
        <v>200114</v>
      </c>
      <c r="W98" s="54" t="s">
        <v>1464</v>
      </c>
      <c r="X98" s="45">
        <f t="shared" si="7"/>
        <v>0</v>
      </c>
    </row>
    <row r="99" spans="2:24">
      <c r="B99" s="22">
        <v>5830</v>
      </c>
      <c r="C99" s="20" t="s">
        <v>1653</v>
      </c>
      <c r="P99" s="42"/>
      <c r="Q99" s="54"/>
      <c r="R99" s="45"/>
      <c r="V99" s="42">
        <v>200115</v>
      </c>
      <c r="W99" s="54" t="s">
        <v>1465</v>
      </c>
      <c r="X99" s="45">
        <f t="shared" si="7"/>
        <v>0</v>
      </c>
    </row>
    <row r="100" spans="2:24">
      <c r="B100" s="24">
        <v>5840</v>
      </c>
      <c r="C100" s="35" t="s">
        <v>1654</v>
      </c>
      <c r="P100" s="42"/>
      <c r="Q100" s="54"/>
      <c r="R100" s="45"/>
      <c r="V100" s="42">
        <v>200116</v>
      </c>
      <c r="W100" s="54" t="s">
        <v>1466</v>
      </c>
      <c r="X100" s="45">
        <f t="shared" si="7"/>
        <v>0</v>
      </c>
    </row>
    <row r="101" spans="2:24">
      <c r="B101" s="24">
        <v>5850</v>
      </c>
      <c r="C101" s="35" t="s">
        <v>1655</v>
      </c>
      <c r="P101" s="42"/>
      <c r="Q101" s="54"/>
      <c r="R101" s="45"/>
      <c r="V101" s="42">
        <v>200117</v>
      </c>
      <c r="W101" s="54" t="s">
        <v>1467</v>
      </c>
      <c r="X101" s="45">
        <f t="shared" si="7"/>
        <v>0</v>
      </c>
    </row>
    <row r="102" spans="2:24">
      <c r="B102" s="24">
        <v>5860</v>
      </c>
      <c r="C102" s="35" t="s">
        <v>1656</v>
      </c>
      <c r="P102" s="42"/>
      <c r="Q102" s="54"/>
      <c r="R102" s="45"/>
      <c r="V102" s="42">
        <v>200118</v>
      </c>
      <c r="W102" s="54" t="s">
        <v>1468</v>
      </c>
      <c r="X102" s="45">
        <f t="shared" si="7"/>
        <v>0</v>
      </c>
    </row>
    <row r="103" spans="2:24">
      <c r="B103" s="23">
        <v>5870</v>
      </c>
      <c r="C103" s="20" t="s">
        <v>1657</v>
      </c>
      <c r="P103" s="42"/>
      <c r="Q103" s="54"/>
      <c r="R103" s="45"/>
      <c r="V103" s="42">
        <v>200119</v>
      </c>
      <c r="W103" s="54" t="s">
        <v>1469</v>
      </c>
      <c r="X103" s="45">
        <f t="shared" si="7"/>
        <v>0</v>
      </c>
    </row>
    <row r="104" spans="2:24">
      <c r="B104" s="23">
        <v>5880</v>
      </c>
      <c r="C104" s="20" t="s">
        <v>1658</v>
      </c>
      <c r="P104" s="42"/>
      <c r="Q104" s="54"/>
      <c r="R104" s="45"/>
      <c r="V104" s="42">
        <v>200120</v>
      </c>
      <c r="W104" s="54" t="s">
        <v>1470</v>
      </c>
      <c r="X104" s="45">
        <f t="shared" si="7"/>
        <v>0</v>
      </c>
    </row>
    <row r="105" spans="2:24">
      <c r="B105" s="23">
        <v>5890</v>
      </c>
      <c r="C105" s="20" t="s">
        <v>1659</v>
      </c>
      <c r="P105" s="42"/>
      <c r="Q105" s="54"/>
      <c r="R105" s="45"/>
      <c r="V105" s="42">
        <v>200121</v>
      </c>
      <c r="W105" s="54" t="s">
        <v>1471</v>
      </c>
      <c r="X105" s="45">
        <f t="shared" si="7"/>
        <v>0</v>
      </c>
    </row>
    <row r="106" spans="2:24">
      <c r="B106" s="23">
        <v>5900</v>
      </c>
      <c r="C106" s="20" t="s">
        <v>1660</v>
      </c>
      <c r="P106" s="42"/>
      <c r="Q106" s="55"/>
      <c r="R106" s="45"/>
      <c r="V106" s="42">
        <v>200122</v>
      </c>
      <c r="W106" s="55" t="s">
        <v>1472</v>
      </c>
      <c r="X106" s="45">
        <f t="shared" si="7"/>
        <v>0</v>
      </c>
    </row>
    <row r="107" spans="2:24">
      <c r="B107" s="23">
        <v>5910</v>
      </c>
      <c r="C107" s="20" t="s">
        <v>1661</v>
      </c>
      <c r="P107" s="42"/>
      <c r="Q107" s="55"/>
      <c r="R107" s="45"/>
      <c r="V107" s="42">
        <v>200123</v>
      </c>
      <c r="W107" s="55" t="s">
        <v>1473</v>
      </c>
      <c r="X107" s="45">
        <f t="shared" si="7"/>
        <v>0</v>
      </c>
    </row>
    <row r="108" spans="2:24">
      <c r="B108" s="23">
        <v>5920</v>
      </c>
      <c r="C108" s="20" t="s">
        <v>1662</v>
      </c>
      <c r="P108" s="42"/>
      <c r="Q108" s="55"/>
      <c r="R108" s="45"/>
      <c r="V108" s="42">
        <v>200124</v>
      </c>
      <c r="W108" s="55" t="s">
        <v>1474</v>
      </c>
      <c r="X108" s="45">
        <f t="shared" ref="X108" si="8">SUM(Y108:BW108)</f>
        <v>0</v>
      </c>
    </row>
    <row r="109" spans="2:24">
      <c r="B109" s="23">
        <v>5930</v>
      </c>
      <c r="C109" s="20" t="s">
        <v>1663</v>
      </c>
      <c r="P109" s="42"/>
      <c r="Q109" s="55"/>
      <c r="R109" s="45"/>
      <c r="V109" s="42">
        <v>200125</v>
      </c>
      <c r="W109" s="55" t="s">
        <v>1475</v>
      </c>
      <c r="X109" s="45">
        <f t="shared" ref="X109:X138" si="9">SUM(Y109:BW109)</f>
        <v>0</v>
      </c>
    </row>
    <row r="110" spans="2:24">
      <c r="B110" s="23">
        <v>5940</v>
      </c>
      <c r="C110" s="20" t="s">
        <v>1664</v>
      </c>
      <c r="P110" s="42"/>
      <c r="Q110" s="55"/>
      <c r="R110" s="45"/>
      <c r="V110" s="42">
        <v>200126</v>
      </c>
      <c r="W110" s="55" t="s">
        <v>1476</v>
      </c>
      <c r="X110" s="45">
        <f t="shared" si="9"/>
        <v>0</v>
      </c>
    </row>
    <row r="111" spans="2:24">
      <c r="B111" s="23">
        <v>5950</v>
      </c>
      <c r="C111" s="20" t="s">
        <v>1665</v>
      </c>
      <c r="P111" s="42"/>
      <c r="Q111" s="55"/>
      <c r="R111" s="45"/>
      <c r="V111" s="42">
        <v>200127</v>
      </c>
      <c r="W111" s="55" t="s">
        <v>1477</v>
      </c>
      <c r="X111" s="45">
        <f t="shared" si="9"/>
        <v>0</v>
      </c>
    </row>
    <row r="112" spans="2:24">
      <c r="B112" s="24">
        <v>5960</v>
      </c>
      <c r="C112" s="35" t="s">
        <v>1666</v>
      </c>
      <c r="P112" s="42"/>
      <c r="Q112" s="55"/>
      <c r="R112" s="45"/>
      <c r="V112" s="42">
        <v>200128</v>
      </c>
      <c r="W112" s="55" t="s">
        <v>1478</v>
      </c>
      <c r="X112" s="45">
        <f t="shared" si="9"/>
        <v>0</v>
      </c>
    </row>
    <row r="113" spans="2:24">
      <c r="B113" s="24">
        <v>5970</v>
      </c>
      <c r="C113" s="35" t="s">
        <v>1667</v>
      </c>
      <c r="P113" s="42"/>
      <c r="Q113" s="55"/>
      <c r="R113" s="45"/>
      <c r="V113" s="42">
        <v>200129</v>
      </c>
      <c r="W113" s="55" t="s">
        <v>1479</v>
      </c>
      <c r="X113" s="45">
        <f t="shared" si="9"/>
        <v>0</v>
      </c>
    </row>
    <row r="114" spans="2:24">
      <c r="B114" s="24">
        <v>5980</v>
      </c>
      <c r="C114" s="35" t="s">
        <v>1668</v>
      </c>
      <c r="P114" s="42"/>
      <c r="Q114" s="55"/>
      <c r="R114" s="45"/>
      <c r="V114" s="42">
        <v>200130</v>
      </c>
      <c r="W114" s="55" t="s">
        <v>1480</v>
      </c>
      <c r="X114" s="45">
        <f t="shared" si="9"/>
        <v>0</v>
      </c>
    </row>
    <row r="115" spans="2:24">
      <c r="B115" s="24">
        <v>5990</v>
      </c>
      <c r="C115" s="35" t="s">
        <v>1669</v>
      </c>
      <c r="P115" s="42"/>
      <c r="Q115" s="55"/>
      <c r="R115" s="45"/>
      <c r="V115" s="42">
        <v>200131</v>
      </c>
      <c r="W115" s="55" t="s">
        <v>1481</v>
      </c>
      <c r="X115" s="45">
        <f t="shared" si="9"/>
        <v>0</v>
      </c>
    </row>
    <row r="116" spans="2:24">
      <c r="B116" s="23">
        <v>6000</v>
      </c>
      <c r="C116" s="50" t="s">
        <v>1670</v>
      </c>
      <c r="P116" s="42"/>
      <c r="Q116" s="55"/>
      <c r="R116" s="45"/>
      <c r="V116" s="42">
        <v>200132</v>
      </c>
      <c r="W116" s="55" t="s">
        <v>1482</v>
      </c>
      <c r="X116" s="45">
        <f t="shared" si="9"/>
        <v>0</v>
      </c>
    </row>
    <row r="117" spans="2:24">
      <c r="B117" s="23">
        <v>6010</v>
      </c>
      <c r="C117" s="51" t="s">
        <v>1671</v>
      </c>
      <c r="P117" s="42"/>
      <c r="Q117" s="55"/>
      <c r="R117" s="45"/>
      <c r="V117" s="42">
        <v>200133</v>
      </c>
      <c r="W117" s="55" t="s">
        <v>1483</v>
      </c>
      <c r="X117" s="45">
        <f t="shared" si="9"/>
        <v>0</v>
      </c>
    </row>
    <row r="118" spans="2:24">
      <c r="B118" s="23">
        <v>6020</v>
      </c>
      <c r="C118" s="51" t="s">
        <v>1672</v>
      </c>
      <c r="P118" s="42"/>
      <c r="Q118" s="55"/>
      <c r="R118" s="45"/>
      <c r="V118" s="42">
        <v>200134</v>
      </c>
      <c r="W118" s="55" t="s">
        <v>1484</v>
      </c>
      <c r="X118" s="45">
        <f t="shared" si="9"/>
        <v>0</v>
      </c>
    </row>
    <row r="119" spans="2:24">
      <c r="B119" s="23">
        <v>6030</v>
      </c>
      <c r="C119" s="51" t="s">
        <v>1673</v>
      </c>
      <c r="P119" s="42"/>
      <c r="Q119" s="55"/>
      <c r="R119" s="45"/>
      <c r="V119" s="42">
        <v>200135</v>
      </c>
      <c r="W119" s="55" t="s">
        <v>1485</v>
      </c>
      <c r="X119" s="45">
        <f t="shared" si="9"/>
        <v>0</v>
      </c>
    </row>
    <row r="120" spans="2:24">
      <c r="B120" s="23">
        <v>6040</v>
      </c>
      <c r="C120" s="52" t="s">
        <v>1674</v>
      </c>
      <c r="P120" s="42"/>
      <c r="Q120" s="55"/>
      <c r="R120" s="45"/>
      <c r="V120" s="42">
        <v>200136</v>
      </c>
      <c r="W120" s="55" t="s">
        <v>1486</v>
      </c>
      <c r="X120" s="45">
        <f t="shared" si="9"/>
        <v>0</v>
      </c>
    </row>
    <row r="121" spans="2:24">
      <c r="B121" s="23">
        <v>6050</v>
      </c>
      <c r="C121" s="52" t="s">
        <v>1675</v>
      </c>
      <c r="P121" s="42"/>
      <c r="Q121" s="56"/>
      <c r="R121" s="45"/>
      <c r="V121" s="42">
        <v>200137</v>
      </c>
      <c r="W121" s="56" t="s">
        <v>1487</v>
      </c>
      <c r="X121" s="45">
        <f t="shared" si="9"/>
        <v>0</v>
      </c>
    </row>
    <row r="122" spans="2:24">
      <c r="B122" s="23">
        <v>6060</v>
      </c>
      <c r="C122" s="52" t="s">
        <v>1676</v>
      </c>
      <c r="P122" s="42"/>
      <c r="Q122" s="56"/>
      <c r="R122" s="45"/>
      <c r="V122" s="42">
        <v>200138</v>
      </c>
      <c r="W122" s="56" t="s">
        <v>1488</v>
      </c>
      <c r="X122" s="45">
        <f t="shared" si="9"/>
        <v>0</v>
      </c>
    </row>
    <row r="123" spans="2:24">
      <c r="B123" s="23">
        <v>6070</v>
      </c>
      <c r="C123" s="52" t="s">
        <v>1677</v>
      </c>
      <c r="P123" s="42"/>
      <c r="Q123" s="56"/>
      <c r="R123" s="45"/>
      <c r="V123" s="42">
        <v>200139</v>
      </c>
      <c r="W123" s="56" t="s">
        <v>1489</v>
      </c>
      <c r="X123" s="45">
        <f t="shared" si="9"/>
        <v>0</v>
      </c>
    </row>
    <row r="124" spans="2:24">
      <c r="B124" s="23">
        <v>6080</v>
      </c>
      <c r="C124" s="51" t="s">
        <v>1678</v>
      </c>
      <c r="P124" s="42"/>
      <c r="Q124" s="56"/>
      <c r="R124" s="45"/>
      <c r="V124" s="42">
        <v>200140</v>
      </c>
      <c r="W124" s="56" t="s">
        <v>1490</v>
      </c>
      <c r="X124" s="45">
        <f t="shared" si="9"/>
        <v>0</v>
      </c>
    </row>
    <row r="125" spans="2:24">
      <c r="B125" s="23">
        <v>6081</v>
      </c>
      <c r="C125" s="51" t="s">
        <v>1679</v>
      </c>
      <c r="P125" s="42"/>
      <c r="Q125" s="56"/>
      <c r="R125" s="45"/>
      <c r="V125" s="42">
        <v>200141</v>
      </c>
      <c r="W125" s="56" t="s">
        <v>1491</v>
      </c>
      <c r="X125" s="45">
        <f t="shared" si="9"/>
        <v>0</v>
      </c>
    </row>
    <row r="126" spans="2:24">
      <c r="B126" s="23">
        <v>6090</v>
      </c>
      <c r="C126" s="50" t="s">
        <v>1680</v>
      </c>
      <c r="P126" s="42"/>
      <c r="Q126" s="56"/>
      <c r="R126" s="45"/>
      <c r="V126" s="42">
        <v>200142</v>
      </c>
      <c r="W126" s="56" t="s">
        <v>1492</v>
      </c>
      <c r="X126" s="45">
        <f t="shared" si="9"/>
        <v>0</v>
      </c>
    </row>
    <row r="127" spans="2:24">
      <c r="B127" s="23">
        <v>6100</v>
      </c>
      <c r="C127" s="51" t="s">
        <v>1681</v>
      </c>
      <c r="P127" s="42"/>
      <c r="Q127" s="56"/>
      <c r="R127" s="45"/>
      <c r="V127" s="42">
        <v>200143</v>
      </c>
      <c r="W127" s="56" t="s">
        <v>1493</v>
      </c>
      <c r="X127" s="45">
        <f t="shared" si="9"/>
        <v>0</v>
      </c>
    </row>
    <row r="128" spans="2:24">
      <c r="B128" s="23">
        <v>6110</v>
      </c>
      <c r="C128" s="51" t="s">
        <v>1682</v>
      </c>
      <c r="P128" s="42"/>
      <c r="Q128" s="56"/>
      <c r="R128" s="45"/>
      <c r="V128" s="42">
        <v>200144</v>
      </c>
      <c r="W128" s="56" t="s">
        <v>1494</v>
      </c>
      <c r="X128" s="45">
        <f t="shared" si="9"/>
        <v>0</v>
      </c>
    </row>
    <row r="129" spans="2:24">
      <c r="B129" s="23">
        <v>6120</v>
      </c>
      <c r="C129" s="51" t="s">
        <v>1683</v>
      </c>
      <c r="P129" s="42"/>
      <c r="Q129" s="56"/>
      <c r="R129" s="45"/>
      <c r="V129" s="42">
        <v>200145</v>
      </c>
      <c r="W129" s="56" t="s">
        <v>1495</v>
      </c>
      <c r="X129" s="45">
        <f t="shared" si="9"/>
        <v>0</v>
      </c>
    </row>
    <row r="130" spans="2:24">
      <c r="B130" s="23">
        <v>6130</v>
      </c>
      <c r="C130" s="52" t="s">
        <v>1684</v>
      </c>
      <c r="P130" s="42"/>
      <c r="Q130" s="56"/>
      <c r="R130" s="45"/>
      <c r="V130" s="42">
        <v>200146</v>
      </c>
      <c r="W130" s="56" t="s">
        <v>1496</v>
      </c>
      <c r="X130" s="45">
        <f t="shared" si="9"/>
        <v>0</v>
      </c>
    </row>
    <row r="131" spans="2:24">
      <c r="B131" s="23">
        <v>6140</v>
      </c>
      <c r="C131" s="52" t="s">
        <v>1685</v>
      </c>
      <c r="P131" s="42"/>
      <c r="Q131" s="56"/>
      <c r="R131" s="45"/>
      <c r="V131" s="42">
        <v>200147</v>
      </c>
      <c r="W131" s="56" t="s">
        <v>1497</v>
      </c>
      <c r="X131" s="45">
        <f t="shared" si="9"/>
        <v>0</v>
      </c>
    </row>
    <row r="132" spans="2:24">
      <c r="B132" s="23">
        <v>6150</v>
      </c>
      <c r="C132" s="52" t="s">
        <v>1686</v>
      </c>
      <c r="P132" s="42"/>
      <c r="Q132" s="56"/>
      <c r="R132" s="45"/>
      <c r="V132" s="42">
        <v>200148</v>
      </c>
      <c r="W132" s="56" t="s">
        <v>1498</v>
      </c>
      <c r="X132" s="45">
        <f t="shared" si="9"/>
        <v>0</v>
      </c>
    </row>
    <row r="133" spans="2:24">
      <c r="B133" s="23">
        <v>6160</v>
      </c>
      <c r="C133" s="52" t="s">
        <v>1687</v>
      </c>
      <c r="P133" s="42"/>
      <c r="Q133" s="56"/>
      <c r="R133" s="45"/>
      <c r="V133" s="42">
        <v>200149</v>
      </c>
      <c r="W133" s="56" t="s">
        <v>1499</v>
      </c>
      <c r="X133" s="45">
        <f t="shared" si="9"/>
        <v>0</v>
      </c>
    </row>
    <row r="134" spans="2:24">
      <c r="B134" s="23">
        <v>6170</v>
      </c>
      <c r="C134" s="51" t="s">
        <v>1688</v>
      </c>
      <c r="P134" s="42"/>
      <c r="Q134" s="56"/>
      <c r="R134" s="45"/>
      <c r="V134" s="42">
        <v>200150</v>
      </c>
      <c r="W134" s="56" t="s">
        <v>1500</v>
      </c>
      <c r="X134" s="45">
        <f t="shared" si="9"/>
        <v>0</v>
      </c>
    </row>
    <row r="135" spans="2:24">
      <c r="B135" s="23">
        <v>6171</v>
      </c>
      <c r="C135" s="51" t="s">
        <v>1689</v>
      </c>
      <c r="P135" s="42"/>
      <c r="Q135" s="56"/>
      <c r="R135" s="45"/>
      <c r="V135" s="42">
        <v>200151</v>
      </c>
      <c r="W135" s="56" t="s">
        <v>1501</v>
      </c>
      <c r="X135" s="45">
        <f t="shared" si="9"/>
        <v>0</v>
      </c>
    </row>
    <row r="136" spans="2:24">
      <c r="B136" s="23">
        <v>6172</v>
      </c>
      <c r="C136" s="57" t="s">
        <v>1690</v>
      </c>
      <c r="P136" s="42"/>
      <c r="Q136" s="59"/>
      <c r="R136" s="45"/>
      <c r="V136" s="42">
        <v>200152</v>
      </c>
      <c r="W136" s="59" t="s">
        <v>1502</v>
      </c>
      <c r="X136" s="45">
        <f t="shared" si="9"/>
        <v>0</v>
      </c>
    </row>
    <row r="137" spans="2:24">
      <c r="B137" s="23">
        <v>6180</v>
      </c>
      <c r="C137" s="51" t="s">
        <v>1691</v>
      </c>
      <c r="P137" s="42"/>
      <c r="Q137" s="59"/>
      <c r="R137" s="45"/>
      <c r="V137" s="42">
        <v>200153</v>
      </c>
      <c r="W137" s="59" t="s">
        <v>1502</v>
      </c>
      <c r="X137" s="45">
        <f t="shared" si="9"/>
        <v>0</v>
      </c>
    </row>
    <row r="138" spans="2:24">
      <c r="B138" s="23">
        <v>6190</v>
      </c>
      <c r="C138" s="51" t="s">
        <v>1692</v>
      </c>
      <c r="P138" s="42"/>
      <c r="Q138" s="59"/>
      <c r="R138" s="45"/>
      <c r="V138" s="42">
        <v>200154</v>
      </c>
      <c r="W138" s="59" t="s">
        <v>1502</v>
      </c>
      <c r="X138" s="45">
        <f t="shared" si="9"/>
        <v>0</v>
      </c>
    </row>
    <row r="139" spans="2:24">
      <c r="B139" s="23">
        <v>6200</v>
      </c>
      <c r="C139" s="51" t="s">
        <v>1693</v>
      </c>
      <c r="P139" s="42"/>
      <c r="Q139" s="59"/>
      <c r="R139" s="45"/>
      <c r="V139" s="42">
        <v>200155</v>
      </c>
      <c r="W139" s="59" t="s">
        <v>1502</v>
      </c>
      <c r="X139" s="45">
        <f t="shared" ref="X139" si="10">SUM(Y139:BW139)</f>
        <v>0</v>
      </c>
    </row>
    <row r="140" spans="2:24">
      <c r="B140" s="23">
        <v>6210</v>
      </c>
      <c r="C140" s="51" t="s">
        <v>1694</v>
      </c>
      <c r="P140" s="42"/>
      <c r="Q140" s="59"/>
      <c r="R140" s="45"/>
      <c r="V140" s="42">
        <v>200156</v>
      </c>
      <c r="W140" s="59" t="s">
        <v>1502</v>
      </c>
      <c r="X140" s="45">
        <f t="shared" ref="X140" si="11">SUM(Y140:BW140)</f>
        <v>0</v>
      </c>
    </row>
    <row r="141" spans="2:24">
      <c r="B141" s="23">
        <v>6220</v>
      </c>
      <c r="C141" s="52" t="s">
        <v>1695</v>
      </c>
      <c r="P141" s="42"/>
      <c r="Q141" s="59"/>
      <c r="R141" s="45"/>
      <c r="V141" s="42">
        <v>200157</v>
      </c>
      <c r="W141" s="59" t="s">
        <v>1502</v>
      </c>
      <c r="X141" s="45">
        <f t="shared" ref="X141:X150" si="12">SUM(Y141:BW141)</f>
        <v>0</v>
      </c>
    </row>
    <row r="142" spans="2:24">
      <c r="B142" s="23">
        <v>6230</v>
      </c>
      <c r="C142" s="52" t="s">
        <v>1696</v>
      </c>
      <c r="P142" s="42"/>
      <c r="Q142" s="59"/>
      <c r="R142" s="45"/>
      <c r="V142" s="42">
        <v>200158</v>
      </c>
      <c r="W142" s="59" t="s">
        <v>1502</v>
      </c>
      <c r="X142" s="45">
        <f t="shared" si="12"/>
        <v>0</v>
      </c>
    </row>
    <row r="143" spans="2:24">
      <c r="B143" s="23">
        <v>6240</v>
      </c>
      <c r="C143" s="52" t="s">
        <v>1697</v>
      </c>
      <c r="P143" s="42"/>
      <c r="Q143" s="59"/>
      <c r="R143" s="45"/>
      <c r="V143" s="42">
        <v>200159</v>
      </c>
      <c r="W143" s="59" t="s">
        <v>1502</v>
      </c>
      <c r="X143" s="45">
        <f t="shared" si="12"/>
        <v>0</v>
      </c>
    </row>
    <row r="144" spans="2:24">
      <c r="B144" s="23">
        <v>6250</v>
      </c>
      <c r="C144" s="58" t="s">
        <v>1698</v>
      </c>
      <c r="P144" s="42"/>
      <c r="Q144" s="59"/>
      <c r="R144" s="45"/>
      <c r="V144" s="42">
        <v>200160</v>
      </c>
      <c r="W144" s="59" t="s">
        <v>1502</v>
      </c>
      <c r="X144" s="45">
        <f t="shared" si="12"/>
        <v>0</v>
      </c>
    </row>
    <row r="145" spans="2:24">
      <c r="B145" s="24">
        <v>6260</v>
      </c>
      <c r="C145" s="41" t="s">
        <v>1699</v>
      </c>
      <c r="P145" s="42"/>
      <c r="Q145" s="59"/>
      <c r="R145" s="45"/>
      <c r="V145" s="42">
        <v>200161</v>
      </c>
      <c r="W145" s="59" t="s">
        <v>1502</v>
      </c>
      <c r="X145" s="45">
        <f t="shared" si="12"/>
        <v>0</v>
      </c>
    </row>
    <row r="146" spans="2:24">
      <c r="B146" s="24">
        <v>6270</v>
      </c>
      <c r="C146" s="41" t="s">
        <v>1700</v>
      </c>
      <c r="P146" s="42"/>
      <c r="Q146" s="59"/>
      <c r="R146" s="45"/>
      <c r="V146" s="42">
        <v>200162</v>
      </c>
      <c r="W146" s="59" t="s">
        <v>1502</v>
      </c>
      <c r="X146" s="45">
        <f t="shared" si="12"/>
        <v>0</v>
      </c>
    </row>
    <row r="147" spans="2:24">
      <c r="B147" s="24">
        <v>6280</v>
      </c>
      <c r="C147" s="35" t="s">
        <v>1701</v>
      </c>
      <c r="P147" s="42"/>
      <c r="Q147" s="59"/>
      <c r="R147" s="45"/>
      <c r="V147" s="42">
        <v>200163</v>
      </c>
      <c r="W147" s="59" t="s">
        <v>1502</v>
      </c>
      <c r="X147" s="45">
        <f t="shared" si="12"/>
        <v>0</v>
      </c>
    </row>
    <row r="148" spans="2:24">
      <c r="B148" s="24">
        <v>6290</v>
      </c>
      <c r="C148" s="35" t="s">
        <v>1702</v>
      </c>
      <c r="P148" s="42"/>
      <c r="Q148" s="59"/>
      <c r="R148" s="45"/>
      <c r="V148" s="42">
        <v>200164</v>
      </c>
      <c r="W148" s="59" t="s">
        <v>1502</v>
      </c>
      <c r="X148" s="45">
        <f t="shared" si="12"/>
        <v>0</v>
      </c>
    </row>
    <row r="149" spans="2:24">
      <c r="P149" s="42"/>
      <c r="Q149" s="59"/>
      <c r="R149" s="45"/>
      <c r="V149" s="42">
        <v>200165</v>
      </c>
      <c r="W149" s="59" t="s">
        <v>1502</v>
      </c>
      <c r="X149" s="45">
        <f t="shared" si="12"/>
        <v>0</v>
      </c>
    </row>
    <row r="150" spans="2:24">
      <c r="P150" s="42"/>
      <c r="Q150" s="59"/>
      <c r="R150" s="45"/>
      <c r="V150" s="42">
        <v>200166</v>
      </c>
      <c r="W150" s="59" t="s">
        <v>1502</v>
      </c>
      <c r="X150" s="45">
        <f t="shared" si="12"/>
        <v>0</v>
      </c>
    </row>
  </sheetData>
  <phoneticPr fontId="28" type="noConversion"/>
  <pageMargins left="0.75" right="0.75" top="1" bottom="1" header="0.51180555555555596" footer="0.51180555555555596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B3:I61"/>
  <sheetViews>
    <sheetView workbookViewId="0">
      <selection activeCell="I22" sqref="I22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8" max="8" width="13" customWidth="1"/>
  </cols>
  <sheetData>
    <row r="3" spans="2:9">
      <c r="B3" s="1" t="s">
        <v>1520</v>
      </c>
      <c r="C3" s="1" t="s">
        <v>1521</v>
      </c>
      <c r="D3" s="1" t="s">
        <v>1522</v>
      </c>
      <c r="E3" s="2" t="s">
        <v>1801</v>
      </c>
      <c r="F3" t="s">
        <v>1703</v>
      </c>
      <c r="G3" t="s">
        <v>1704</v>
      </c>
      <c r="H3" t="s">
        <v>1705</v>
      </c>
      <c r="I3" t="s">
        <v>1568</v>
      </c>
    </row>
    <row r="4" spans="2:9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200061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小血瓶蓝瓶库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3.2</v>
      </c>
      <c r="E4" s="1">
        <f ca="1">IF(B4="","",VLOOKUP(--B4,道具产出规划!$A$2:$AN$238,MATCH(E$3,道具产出规划!$2:$2,0),0))</f>
        <v>1.2</v>
      </c>
      <c r="F4">
        <f t="shared" ref="F4" ca="1" si="0">E4/50</f>
        <v>2.4E-2</v>
      </c>
      <c r="G4">
        <v>50</v>
      </c>
      <c r="H4">
        <v>200</v>
      </c>
      <c r="I4">
        <v>1000</v>
      </c>
    </row>
    <row r="5" spans="2:9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200062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大血瓶蓝瓶库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0.7</v>
      </c>
      <c r="E5" s="1">
        <f ca="1">IF(B5="","",VLOOKUP(--B5,道具产出规划!$A$2:$AN$238,MATCH(E$3,道具产出规划!$2:$2,0),0))</f>
        <v>0.2</v>
      </c>
      <c r="F5">
        <f t="shared" ref="F5" ca="1" si="1">E5/50</f>
        <v>4.0000000000000001E-3</v>
      </c>
      <c r="G5">
        <v>50</v>
      </c>
      <c r="H5">
        <v>100</v>
      </c>
      <c r="I5">
        <v>1000</v>
      </c>
    </row>
    <row r="6" spans="2:9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200066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修炼丹库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12.1</v>
      </c>
      <c r="E6" s="1">
        <f ca="1">IF(B6="","",VLOOKUP(--B6,道具产出规划!$A$2:$AN$238,MATCH(E$3,道具产出规划!$2:$2,0),0))</f>
        <v>0.6</v>
      </c>
      <c r="F6">
        <f t="shared" ref="F6:F7" ca="1" si="2">E6/50</f>
        <v>1.2E-2</v>
      </c>
      <c r="G6">
        <v>50</v>
      </c>
      <c r="H6">
        <v>160</v>
      </c>
      <c r="I6">
        <v>1000</v>
      </c>
    </row>
    <row r="7" spans="2:9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200169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经验宝珠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8.3</v>
      </c>
      <c r="E7" s="1">
        <f ca="1">IF(B7="","",VLOOKUP(--B7,道具产出规划!$A$2:$AN$238,MATCH(E$3,道具产出规划!$2:$2,0),0))</f>
        <v>0.6</v>
      </c>
      <c r="F7">
        <f t="shared" ca="1" si="2"/>
        <v>1.2E-2</v>
      </c>
      <c r="G7">
        <v>50</v>
      </c>
      <c r="H7">
        <v>120</v>
      </c>
      <c r="I7">
        <v>1000</v>
      </c>
    </row>
    <row r="8" spans="2:9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</row>
    <row r="9" spans="2:9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</row>
    <row r="10" spans="2:9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</row>
    <row r="11" spans="2:9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</row>
    <row r="12" spans="2:9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</row>
    <row r="13" spans="2:9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</row>
    <row r="14" spans="2:9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</row>
    <row r="15" spans="2:9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20" t="s">
        <v>1569</v>
      </c>
    </row>
    <row r="16" spans="2:9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20" t="s">
        <v>1570</v>
      </c>
    </row>
    <row r="17" spans="2:6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20" t="s">
        <v>1571</v>
      </c>
    </row>
    <row r="18" spans="2:6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20" t="s">
        <v>1572</v>
      </c>
    </row>
    <row r="19" spans="2:6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20" t="s">
        <v>1573</v>
      </c>
    </row>
    <row r="20" spans="2:6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</row>
    <row r="21" spans="2:6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</row>
    <row r="22" spans="2:6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</row>
    <row r="23" spans="2:6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</row>
    <row r="24" spans="2:6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</row>
    <row r="25" spans="2:6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</row>
    <row r="26" spans="2:6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</row>
    <row r="27" spans="2:6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</row>
    <row r="28" spans="2:6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</row>
    <row r="29" spans="2:6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</row>
    <row r="30" spans="2:6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</row>
    <row r="31" spans="2:6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</row>
    <row r="32" spans="2:6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B3:AF61"/>
  <sheetViews>
    <sheetView topLeftCell="K1" workbookViewId="0">
      <selection activeCell="AD19" sqref="AD19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9" width="8.625" customWidth="1"/>
    <col min="10" max="10" width="11.25" customWidth="1"/>
    <col min="11" max="11" width="14.625" customWidth="1"/>
    <col min="12" max="12" width="11.25" customWidth="1"/>
    <col min="14" max="14" width="13.125" customWidth="1"/>
    <col min="19" max="19" width="13" customWidth="1"/>
    <col min="24" max="24" width="12.25" customWidth="1"/>
  </cols>
  <sheetData>
    <row r="3" spans="2:32">
      <c r="B3" s="1" t="s">
        <v>1520</v>
      </c>
      <c r="C3" s="1" t="s">
        <v>1521</v>
      </c>
      <c r="D3" s="1" t="s">
        <v>1522</v>
      </c>
      <c r="E3" s="2" t="s">
        <v>1524</v>
      </c>
      <c r="F3" t="s">
        <v>1703</v>
      </c>
      <c r="G3" t="s">
        <v>1704</v>
      </c>
      <c r="H3" t="s">
        <v>1705</v>
      </c>
      <c r="I3" t="s">
        <v>1568</v>
      </c>
      <c r="J3" s="1" t="s">
        <v>1520</v>
      </c>
      <c r="K3" s="1" t="s">
        <v>1521</v>
      </c>
      <c r="L3" s="1" t="s">
        <v>1522</v>
      </c>
      <c r="M3" s="2" t="s">
        <v>1549</v>
      </c>
      <c r="N3" t="s">
        <v>1706</v>
      </c>
      <c r="O3" t="s">
        <v>1704</v>
      </c>
      <c r="P3" t="s">
        <v>1705</v>
      </c>
      <c r="Q3" t="s">
        <v>1568</v>
      </c>
      <c r="R3" s="1" t="s">
        <v>1520</v>
      </c>
      <c r="S3" s="1" t="s">
        <v>1521</v>
      </c>
      <c r="T3" s="1" t="s">
        <v>1522</v>
      </c>
      <c r="U3" s="2" t="s">
        <v>1798</v>
      </c>
      <c r="W3" s="1" t="s">
        <v>1520</v>
      </c>
      <c r="X3" s="1" t="s">
        <v>1521</v>
      </c>
      <c r="Y3" s="1" t="s">
        <v>1522</v>
      </c>
      <c r="Z3" s="2" t="s">
        <v>1229</v>
      </c>
      <c r="AB3" s="1" t="s">
        <v>1520</v>
      </c>
      <c r="AC3" s="1" t="s">
        <v>1521</v>
      </c>
      <c r="AD3" s="1" t="s">
        <v>1522</v>
      </c>
      <c r="AE3" s="2" t="s">
        <v>1815</v>
      </c>
    </row>
    <row r="4" spans="2:32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200063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一级药库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22.35</v>
      </c>
      <c r="E4" s="1">
        <f ca="1">IF(B4="","",VLOOKUP(--B4,道具产出规划!$A$2:$AN$238,MATCH(E$3,道具产出规划!$2:$2,0),0))</f>
        <v>10</v>
      </c>
      <c r="F4">
        <f ca="1">E4/50</f>
        <v>0.2</v>
      </c>
      <c r="G4">
        <v>50</v>
      </c>
      <c r="H4">
        <v>200</v>
      </c>
      <c r="I4">
        <v>1000</v>
      </c>
      <c r="J4" s="3" t="str">
        <f t="array" aca="1" ref="J4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1)))&amp;""</f>
        <v>200123</v>
      </c>
      <c r="K4" s="1" t="str">
        <f t="array" aca="1" ref="K4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1)))&amp;""</f>
        <v>20级蓝装库</v>
      </c>
      <c r="L4" s="1" t="str">
        <f t="array" aca="1" ref="L4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1)))&amp;""</f>
        <v>2</v>
      </c>
      <c r="M4" s="1">
        <f ca="1">IF(J4="","",VLOOKUP(--J4,道具产出规划!$A$2:$AN$238,MATCH(M$3,道具产出规划!$2:$2,0),0))</f>
        <v>2</v>
      </c>
      <c r="N4">
        <f ca="1">M4/50*5</f>
        <v>0.2</v>
      </c>
      <c r="O4">
        <v>50</v>
      </c>
      <c r="P4">
        <v>400</v>
      </c>
      <c r="Q4">
        <v>1000</v>
      </c>
      <c r="R4" s="3" t="str">
        <f t="array" aca="1" ref="R4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1)))&amp;""</f>
        <v>200189</v>
      </c>
      <c r="S4" s="1" t="str">
        <f t="array" aca="1" ref="S4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1)))&amp;""</f>
        <v>40级铁</v>
      </c>
      <c r="T4" s="1" t="str">
        <f t="array" aca="1" ref="T4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1)))&amp;""</f>
        <v>0.7</v>
      </c>
      <c r="U4" s="1">
        <f ca="1">IF(R4="","",VLOOKUP(--R4,道具产出规划!$A$2:$AN$238,MATCH(U$3,道具产出规划!$2:$2,0),0))</f>
        <v>0.1</v>
      </c>
      <c r="V4">
        <f ca="1">U4/5</f>
        <v>0.02</v>
      </c>
      <c r="W4" s="3" t="str">
        <f t="array" aca="1" ref="W4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1)))&amp;""</f>
        <v>200063</v>
      </c>
      <c r="X4" s="1" t="str">
        <f t="array" aca="1" ref="X4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1)))&amp;""</f>
        <v>一级药库</v>
      </c>
      <c r="Y4" s="1" t="str">
        <f t="array" aca="1" ref="Y4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1)))&amp;""</f>
        <v>22.35</v>
      </c>
      <c r="Z4" s="1">
        <f ca="1">IF(W4="","",VLOOKUP(--W4,道具产出规划!$A$2:$AN$238,MATCH(Z$3,道具产出规划!$2:$2,0),0))</f>
        <v>3</v>
      </c>
      <c r="AA4">
        <f ca="1">Z4/10</f>
        <v>0.3</v>
      </c>
      <c r="AB4" s="3" t="str">
        <f t="array" aca="1" ref="AB4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1)))&amp;""</f>
        <v>200063</v>
      </c>
      <c r="AC4" s="1" t="str">
        <f t="array" aca="1" ref="AC4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1)))&amp;""</f>
        <v>一级药库</v>
      </c>
      <c r="AD4" s="1" t="str">
        <f t="array" aca="1" ref="AD4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1)))&amp;""</f>
        <v>22.35</v>
      </c>
      <c r="AE4" s="1">
        <f ca="1">IF(AB4="","",VLOOKUP(--AB4,道具产出规划!$A$2:$AN$238,MATCH(AE$3,道具产出规划!$2:$2,0),0))</f>
        <v>1.5</v>
      </c>
      <c r="AF4">
        <f ca="1">AE4/5</f>
        <v>0.3</v>
      </c>
    </row>
    <row r="5" spans="2:32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200064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二级药库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12.9</v>
      </c>
      <c r="E5" s="1">
        <f ca="1">IF(B5="","",VLOOKUP(--B5,道具产出规划!$A$2:$AN$238,MATCH(E$3,道具产出规划!$2:$2,0),0))</f>
        <v>5</v>
      </c>
      <c r="F5">
        <f t="shared" ref="F5" ca="1" si="0">E5/50</f>
        <v>0.1</v>
      </c>
      <c r="G5">
        <v>50</v>
      </c>
      <c r="H5">
        <v>100</v>
      </c>
      <c r="I5">
        <v>1000</v>
      </c>
      <c r="J5" s="3" t="str">
        <f t="array" aca="1" ref="J5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2)))&amp;""</f>
        <v>200124</v>
      </c>
      <c r="K5" s="1" t="str">
        <f t="array" aca="1" ref="K5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2)))&amp;""</f>
        <v>30级蓝装库</v>
      </c>
      <c r="L5" s="1" t="str">
        <f t="array" aca="1" ref="L5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2)))&amp;""</f>
        <v>1.5</v>
      </c>
      <c r="M5" s="1">
        <f ca="1">IF(J5="","",VLOOKUP(--J5,道具产出规划!$A$2:$AN$238,MATCH(M$3,道具产出规划!$2:$2,0),0))</f>
        <v>1.5</v>
      </c>
      <c r="N5">
        <v>0.3</v>
      </c>
      <c r="O5">
        <v>50</v>
      </c>
      <c r="P5">
        <v>300</v>
      </c>
      <c r="Q5">
        <v>1000</v>
      </c>
      <c r="R5" s="3" t="str">
        <f t="array" aca="1" ref="R5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2)))&amp;""</f>
        <v>200190</v>
      </c>
      <c r="S5" s="1" t="str">
        <f t="array" aca="1" ref="S5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2)))&amp;""</f>
        <v>50级铁</v>
      </c>
      <c r="T5" s="1" t="str">
        <f t="array" aca="1" ref="T5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2)))&amp;""</f>
        <v>0.546</v>
      </c>
      <c r="U5" s="1">
        <f ca="1">IF(R5="","",VLOOKUP(--R5,道具产出规划!$A$2:$AN$238,MATCH(U$3,道具产出规划!$2:$2,0),0))</f>
        <v>0.1</v>
      </c>
      <c r="V5">
        <f t="shared" ref="V5" ca="1" si="1">U5/5</f>
        <v>0.02</v>
      </c>
      <c r="W5" s="3" t="str">
        <f t="array" aca="1" ref="W5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2)))&amp;""</f>
        <v>200064</v>
      </c>
      <c r="X5" s="1" t="str">
        <f t="array" aca="1" ref="X5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2)))&amp;""</f>
        <v>二级药库</v>
      </c>
      <c r="Y5" s="1" t="str">
        <f t="array" aca="1" ref="Y5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2)))&amp;""</f>
        <v>12.9</v>
      </c>
      <c r="Z5" s="1">
        <f ca="1">IF(W5="","",VLOOKUP(--W5,道具产出规划!$A$2:$AN$238,MATCH(Z$3,道具产出规划!$2:$2,0),0))</f>
        <v>2</v>
      </c>
      <c r="AA5">
        <f t="shared" ref="AA5" ca="1" si="2">Z5/10</f>
        <v>0.2</v>
      </c>
      <c r="AB5" s="3" t="str">
        <f t="array" aca="1" ref="AB5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2)))&amp;""</f>
        <v>200064</v>
      </c>
      <c r="AC5" s="1" t="str">
        <f t="array" aca="1" ref="AC5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2)))&amp;""</f>
        <v>二级药库</v>
      </c>
      <c r="AD5" s="1" t="str">
        <f t="array" aca="1" ref="AD5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2)))&amp;""</f>
        <v>12.9</v>
      </c>
      <c r="AE5" s="1">
        <f ca="1">IF(AB5="","",VLOOKUP(--AB5,道具产出规划!$A$2:$AN$238,MATCH(AE$3,道具产出规划!$2:$2,0),0))</f>
        <v>1</v>
      </c>
      <c r="AF5">
        <f t="shared" ref="AF5:AF9" ca="1" si="3">AE5/5</f>
        <v>0.2</v>
      </c>
    </row>
    <row r="6" spans="2:32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200108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20级绿装库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5.5</v>
      </c>
      <c r="E6" s="1">
        <f ca="1">IF(B6="","",VLOOKUP(--B6,道具产出规划!$A$2:$AN$238,MATCH(E$3,道具产出规划!$2:$2,0),0))</f>
        <v>4</v>
      </c>
      <c r="F6">
        <f t="shared" ref="F6" ca="1" si="4">E6/50</f>
        <v>0.08</v>
      </c>
      <c r="G6">
        <v>50</v>
      </c>
      <c r="H6">
        <v>160</v>
      </c>
      <c r="I6">
        <v>1000</v>
      </c>
      <c r="J6" s="3" t="str">
        <f t="array" aca="1" ref="J6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3)))&amp;""</f>
        <v>200125</v>
      </c>
      <c r="K6" s="1" t="str">
        <f t="array" aca="1" ref="K6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3)))&amp;""</f>
        <v>40级蓝装库</v>
      </c>
      <c r="L6" s="1" t="str">
        <f t="array" aca="1" ref="L6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3)))&amp;""</f>
        <v>1</v>
      </c>
      <c r="M6" s="1">
        <f ca="1">IF(J6="","",VLOOKUP(--J6,道具产出规划!$A$2:$AN$238,MATCH(M$3,道具产出规划!$2:$2,0),0))</f>
        <v>1</v>
      </c>
      <c r="N6">
        <v>0.2</v>
      </c>
      <c r="O6">
        <v>50</v>
      </c>
      <c r="P6">
        <v>200</v>
      </c>
      <c r="Q6">
        <v>1000</v>
      </c>
      <c r="R6" s="3" t="str">
        <f t="array" aca="1" ref="R6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3)))&amp;""</f>
        <v>200191</v>
      </c>
      <c r="S6" s="1" t="str">
        <f t="array" aca="1" ref="S6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3)))&amp;""</f>
        <v>60级铁</v>
      </c>
      <c r="T6" s="1" t="str">
        <f t="array" aca="1" ref="T6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3)))&amp;""</f>
        <v>0.346</v>
      </c>
      <c r="U6" s="1">
        <f ca="1">IF(R6="","",VLOOKUP(--R6,道具产出规划!$A$2:$AN$238,MATCH(U$3,道具产出规划!$2:$2,0),0))</f>
        <v>7.4999999999999997E-2</v>
      </c>
      <c r="V6">
        <f t="shared" ref="V6" ca="1" si="5">U6/5</f>
        <v>1.4999999999999999E-2</v>
      </c>
      <c r="W6" s="3" t="str">
        <f t="array" aca="1" ref="W6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3)))&amp;""</f>
        <v>200074</v>
      </c>
      <c r="X6" s="1" t="str">
        <f t="array" aca="1" ref="X6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3)))&amp;""</f>
        <v>珍稀五宝库</v>
      </c>
      <c r="Y6" s="1" t="str">
        <f t="array" aca="1" ref="Y6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3)))&amp;""</f>
        <v>0.635</v>
      </c>
      <c r="Z6" s="1">
        <f ca="1">IF(W6="","",VLOOKUP(--W6,道具产出规划!$A$2:$AN$238,MATCH(Z$3,道具产出规划!$2:$2,0),0))</f>
        <v>0.1</v>
      </c>
      <c r="AA6">
        <f ca="1">Z6/10</f>
        <v>0.01</v>
      </c>
      <c r="AB6" s="3" t="str">
        <f t="array" aca="1" ref="AB6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3)))&amp;""</f>
        <v>200066</v>
      </c>
      <c r="AC6" s="1" t="str">
        <f t="array" aca="1" ref="AC6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3)))&amp;""</f>
        <v>修炼丹库</v>
      </c>
      <c r="AD6" s="1" t="str">
        <f t="array" aca="1" ref="AD6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3)))&amp;""</f>
        <v>12.1</v>
      </c>
      <c r="AE6" s="1">
        <f ca="1">IF(AB6="","",VLOOKUP(--AB6,道具产出规划!$A$2:$AN$238,MATCH(AE$3,道具产出规划!$2:$2,0),0))</f>
        <v>1</v>
      </c>
      <c r="AF6">
        <f t="shared" ca="1" si="3"/>
        <v>0.2</v>
      </c>
    </row>
    <row r="7" spans="2:32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200109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30级绿装库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4.5</v>
      </c>
      <c r="E7" s="1">
        <f ca="1">IF(B7="","",VLOOKUP(--B7,道具产出规划!$A$2:$AN$238,MATCH(E$3,道具产出规划!$2:$2,0),0))</f>
        <v>3</v>
      </c>
      <c r="F7">
        <f ca="1">E7/50</f>
        <v>0.06</v>
      </c>
      <c r="G7">
        <v>50</v>
      </c>
      <c r="H7">
        <v>120</v>
      </c>
      <c r="I7">
        <v>1000</v>
      </c>
      <c r="J7" s="3" t="str">
        <f t="array" aca="1" ref="J7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4)))&amp;""</f>
        <v>200126</v>
      </c>
      <c r="K7" s="1" t="str">
        <f t="array" aca="1" ref="K7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4)))&amp;""</f>
        <v>50级蓝装库</v>
      </c>
      <c r="L7" s="1" t="str">
        <f t="array" aca="1" ref="L7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4)))&amp;""</f>
        <v>0.5</v>
      </c>
      <c r="M7" s="1">
        <f ca="1">IF(J7="","",VLOOKUP(--J7,道具产出规划!$A$2:$AN$238,MATCH(M$3,道具产出规划!$2:$2,0),0))</f>
        <v>0.5</v>
      </c>
      <c r="N7">
        <v>0.1</v>
      </c>
      <c r="O7">
        <v>50</v>
      </c>
      <c r="P7">
        <v>100</v>
      </c>
      <c r="Q7">
        <v>1000</v>
      </c>
      <c r="R7" s="3" t="str">
        <f t="array" aca="1" ref="R7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4)))&amp;""</f>
        <v>200192</v>
      </c>
      <c r="S7" s="1" t="str">
        <f t="array" aca="1" ref="S7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4)))&amp;""</f>
        <v>70级铁</v>
      </c>
      <c r="T7" s="1" t="str">
        <f t="array" aca="1" ref="T7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4)))&amp;""</f>
        <v>0.196</v>
      </c>
      <c r="U7" s="1">
        <f ca="1">IF(R7="","",VLOOKUP(--R7,道具产出规划!$A$2:$AN$238,MATCH(U$3,道具产出规划!$2:$2,0),0))</f>
        <v>0.05</v>
      </c>
      <c r="V7">
        <f t="shared" ref="V7:V14" ca="1" si="6">U7/5</f>
        <v>0.01</v>
      </c>
      <c r="W7" s="3" t="str">
        <f t="array" aca="1" ref="W7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4)))&amp;""</f>
        <v>200169</v>
      </c>
      <c r="X7" s="1" t="str">
        <f t="array" aca="1" ref="X7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4)))&amp;""</f>
        <v>经验宝珠</v>
      </c>
      <c r="Y7" s="1" t="str">
        <f t="array" aca="1" ref="Y7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4)))&amp;""</f>
        <v>8.3</v>
      </c>
      <c r="Z7" s="1">
        <f ca="1">IF(W7="","",VLOOKUP(--W7,道具产出规划!$A$2:$AN$238,MATCH(Z$3,道具产出规划!$2:$2,0),0))</f>
        <v>4</v>
      </c>
      <c r="AA7">
        <f ca="1">Z7/10</f>
        <v>0.4</v>
      </c>
      <c r="AB7" s="3" t="str">
        <f t="array" aca="1" ref="AB7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4)))&amp;""</f>
        <v>200068</v>
      </c>
      <c r="AC7" s="1" t="str">
        <f t="array" aca="1" ref="AC7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4)))&amp;""</f>
        <v>1级宝石库</v>
      </c>
      <c r="AD7" s="1" t="str">
        <f t="array" aca="1" ref="AD7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4)))&amp;""</f>
        <v>5.7</v>
      </c>
      <c r="AE7" s="1">
        <f ca="1">IF(AB7="","",VLOOKUP(--AB7,道具产出规划!$A$2:$AN$238,MATCH(AE$3,道具产出规划!$2:$2,0),0))</f>
        <v>0.2</v>
      </c>
      <c r="AF7">
        <f t="shared" ca="1" si="3"/>
        <v>0.04</v>
      </c>
    </row>
    <row r="8" spans="2:32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200110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40级绿装库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3.5</v>
      </c>
      <c r="E8" s="1">
        <f ca="1">IF(B8="","",VLOOKUP(--B8,道具产出规划!$A$2:$AN$238,MATCH(E$3,道具产出规划!$2:$2,0),0))</f>
        <v>2</v>
      </c>
      <c r="F8">
        <f ca="1">E8/50</f>
        <v>0.04</v>
      </c>
      <c r="G8">
        <v>50</v>
      </c>
      <c r="H8">
        <v>100</v>
      </c>
      <c r="I8">
        <v>1000</v>
      </c>
      <c r="J8" s="3" t="str">
        <f t="array" aca="1" ref="J8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5)))&amp;""</f>
        <v/>
      </c>
      <c r="K8" s="1" t="str">
        <f t="array" aca="1" ref="K8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5)))&amp;""</f>
        <v/>
      </c>
      <c r="L8" s="1" t="str">
        <f t="array" aca="1" ref="L8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5)))&amp;""</f>
        <v/>
      </c>
      <c r="M8" s="1" t="str">
        <f ca="1">IF(J8="","",VLOOKUP(--J8,道具产出规划!$A$2:$AN$238,MATCH(M$3,道具产出规划!$2:$2,0),0))</f>
        <v/>
      </c>
      <c r="R8" s="3" t="str">
        <f t="array" aca="1" ref="R8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5)))&amp;""</f>
        <v>200080</v>
      </c>
      <c r="S8" s="1" t="str">
        <f t="array" aca="1" ref="S8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5)))&amp;""</f>
        <v>40级打造图纸库</v>
      </c>
      <c r="T8" s="1" t="str">
        <f t="array" aca="1" ref="T8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5)))&amp;""</f>
        <v>0.7</v>
      </c>
      <c r="U8" s="1">
        <f ca="1">IF(R8="","",VLOOKUP(--R8,道具产出规划!$A$2:$AN$238,MATCH(U$3,道具产出规划!$2:$2,0),0))</f>
        <v>0.1</v>
      </c>
      <c r="V8">
        <f t="shared" ca="1" si="6"/>
        <v>0.02</v>
      </c>
      <c r="W8" s="3" t="str">
        <f t="array" aca="1" ref="W8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5)))&amp;""</f>
        <v>200172</v>
      </c>
      <c r="X8" s="1" t="str">
        <f t="array" aca="1" ref="X8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5)))&amp;""</f>
        <v>光环卷轴碎片</v>
      </c>
      <c r="Y8" s="1" t="str">
        <f t="array" aca="1" ref="Y8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5)))&amp;""</f>
        <v>4.9</v>
      </c>
      <c r="Z8" s="1">
        <f ca="1">IF(W8="","",VLOOKUP(--W8,道具产出规划!$A$2:$AN$238,MATCH(Z$3,道具产出规划!$2:$2,0),0))</f>
        <v>0.9</v>
      </c>
      <c r="AA8">
        <f ca="1">Z8/10</f>
        <v>0.09</v>
      </c>
      <c r="AB8" s="3" t="str">
        <f t="array" aca="1" ref="AB8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5)))&amp;""</f>
        <v>200169</v>
      </c>
      <c r="AC8" s="1" t="str">
        <f t="array" aca="1" ref="AC8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5)))&amp;""</f>
        <v>经验宝珠</v>
      </c>
      <c r="AD8" s="1" t="str">
        <f t="array" aca="1" ref="AD8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5)))&amp;""</f>
        <v>8.3</v>
      </c>
      <c r="AE8" s="1">
        <f ca="1">IF(AB8="","",VLOOKUP(--AB8,道具产出规划!$A$2:$AN$238,MATCH(AE$3,道具产出规划!$2:$2,0),0))</f>
        <v>0.8</v>
      </c>
      <c r="AF8">
        <f t="shared" ca="1" si="3"/>
        <v>0.16</v>
      </c>
    </row>
    <row r="9" spans="2:32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200111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50级绿装库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3</v>
      </c>
      <c r="E9" s="1">
        <f ca="1">IF(B9="","",VLOOKUP(--B9,道具产出规划!$A$2:$AN$238,MATCH(E$3,道具产出规划!$2:$2,0),0))</f>
        <v>1.5</v>
      </c>
      <c r="F9">
        <f ca="1">E9/50</f>
        <v>0.03</v>
      </c>
      <c r="G9">
        <v>50</v>
      </c>
      <c r="H9">
        <v>80</v>
      </c>
      <c r="I9">
        <v>1000</v>
      </c>
      <c r="J9" s="3" t="str">
        <f t="array" aca="1" ref="J9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6)))&amp;""</f>
        <v/>
      </c>
      <c r="K9" s="1" t="str">
        <f t="array" aca="1" ref="K9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6)))&amp;""</f>
        <v/>
      </c>
      <c r="L9" s="1" t="str">
        <f t="array" aca="1" ref="L9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6)))&amp;""</f>
        <v/>
      </c>
      <c r="M9" s="1" t="str">
        <f ca="1">IF(J9="","",VLOOKUP(--J9,道具产出规划!$A$2:$AN$238,MATCH(M$3,道具产出规划!$2:$2,0),0))</f>
        <v/>
      </c>
      <c r="R9" s="3" t="str">
        <f t="array" aca="1" ref="R9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6)))&amp;""</f>
        <v>200081</v>
      </c>
      <c r="S9" s="1" t="str">
        <f t="array" aca="1" ref="S9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6)))&amp;""</f>
        <v>50级打造图纸库</v>
      </c>
      <c r="T9" s="1" t="str">
        <f t="array" aca="1" ref="T9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6)))&amp;""</f>
        <v>0.546</v>
      </c>
      <c r="U9" s="1">
        <f ca="1">IF(R9="","",VLOOKUP(--R9,道具产出规划!$A$2:$AN$238,MATCH(U$3,道具产出规划!$2:$2,0),0))</f>
        <v>0.1</v>
      </c>
      <c r="V9">
        <f t="shared" ca="1" si="6"/>
        <v>0.02</v>
      </c>
      <c r="W9" s="3" t="str">
        <f t="array" aca="1" ref="W9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6)))&amp;""</f>
        <v/>
      </c>
      <c r="X9" s="1" t="str">
        <f t="array" aca="1" ref="X9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6)))&amp;""</f>
        <v/>
      </c>
      <c r="Y9" s="1" t="str">
        <f t="array" aca="1" ref="Y9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6)))&amp;""</f>
        <v/>
      </c>
      <c r="Z9" s="1" t="str">
        <f ca="1">IF(W9="","",VLOOKUP(--W9,道具产出规划!$A$2:$AN$238,MATCH(Z$3,道具产出规划!$2:$2,0),0))</f>
        <v/>
      </c>
      <c r="AB9" s="3" t="str">
        <f t="array" aca="1" ref="AB9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6)))&amp;""</f>
        <v>200172</v>
      </c>
      <c r="AC9" s="1" t="str">
        <f t="array" aca="1" ref="AC9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6)))&amp;""</f>
        <v>光环卷轴碎片</v>
      </c>
      <c r="AD9" s="1" t="str">
        <f t="array" aca="1" ref="AD9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6)))&amp;""</f>
        <v>4.9</v>
      </c>
      <c r="AE9" s="1">
        <f ca="1">IF(AB9="","",VLOOKUP(--AB9,道具产出规划!$A$2:$AN$238,MATCH(AE$3,道具产出规划!$2:$2,0),0))</f>
        <v>0.5</v>
      </c>
      <c r="AF9">
        <f t="shared" ca="1" si="3"/>
        <v>0.1</v>
      </c>
    </row>
    <row r="10" spans="2:32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200112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60级绿装库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2.5</v>
      </c>
      <c r="E10" s="1">
        <f ca="1">IF(B10="","",VLOOKUP(--B10,道具产出规划!$A$2:$AN$238,MATCH(E$3,道具产出规划!$2:$2,0),0))</f>
        <v>1</v>
      </c>
      <c r="F10">
        <f ca="1">E10/50</f>
        <v>0.02</v>
      </c>
      <c r="G10">
        <v>50</v>
      </c>
      <c r="H10">
        <v>60</v>
      </c>
      <c r="I10">
        <v>1000</v>
      </c>
      <c r="J10" s="3" t="str">
        <f t="array" aca="1" ref="J10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7)))&amp;""</f>
        <v/>
      </c>
      <c r="K10" s="1" t="str">
        <f t="array" aca="1" ref="K10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7)))&amp;""</f>
        <v/>
      </c>
      <c r="L10" s="1" t="str">
        <f t="array" aca="1" ref="L10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7)))&amp;""</f>
        <v/>
      </c>
      <c r="M10" s="1" t="str">
        <f ca="1">IF(J10="","",VLOOKUP(--J10,道具产出规划!$A$2:$AN$238,MATCH(M$3,道具产出规划!$2:$2,0),0))</f>
        <v/>
      </c>
      <c r="R10" s="3" t="str">
        <f t="array" aca="1" ref="R10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7)))&amp;""</f>
        <v>200082</v>
      </c>
      <c r="S10" s="1" t="str">
        <f t="array" aca="1" ref="S10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7)))&amp;""</f>
        <v>60级打造图纸库</v>
      </c>
      <c r="T10" s="1" t="str">
        <f t="array" aca="1" ref="T10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7)))&amp;""</f>
        <v>0.346</v>
      </c>
      <c r="U10" s="1">
        <f ca="1">IF(R10="","",VLOOKUP(--R10,道具产出规划!$A$2:$AN$238,MATCH(U$3,道具产出规划!$2:$2,0),0))</f>
        <v>7.4999999999999997E-2</v>
      </c>
      <c r="V10">
        <f t="shared" ca="1" si="6"/>
        <v>1.4999999999999999E-2</v>
      </c>
      <c r="W10" s="3" t="str">
        <f t="array" aca="1" ref="W10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7)))&amp;""</f>
        <v/>
      </c>
      <c r="X10" s="1" t="str">
        <f t="array" aca="1" ref="X10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7)))&amp;""</f>
        <v/>
      </c>
      <c r="Y10" s="1" t="str">
        <f t="array" aca="1" ref="Y10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7)))&amp;""</f>
        <v/>
      </c>
      <c r="Z10" s="1" t="str">
        <f ca="1">IF(W10="","",VLOOKUP(--W10,道具产出规划!$A$2:$AN$238,MATCH(Z$3,道具产出规划!$2:$2,0),0))</f>
        <v/>
      </c>
      <c r="AB10" s="3" t="str">
        <f t="array" aca="1" ref="AB10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7)))&amp;""</f>
        <v/>
      </c>
      <c r="AC10" s="1" t="str">
        <f t="array" aca="1" ref="AC10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7)))&amp;""</f>
        <v/>
      </c>
      <c r="AD10" s="1" t="str">
        <f t="array" aca="1" ref="AD10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7)))&amp;""</f>
        <v/>
      </c>
      <c r="AE10" s="1"/>
    </row>
    <row r="11" spans="2:32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200113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70级绿装库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</v>
      </c>
      <c r="E11" s="1">
        <f ca="1">IF(B11="","",VLOOKUP(--B11,道具产出规划!$A$2:$AN$238,MATCH(E$3,道具产出规划!$2:$2,0),0))</f>
        <v>0.5</v>
      </c>
      <c r="F11">
        <f ca="1">E11/50</f>
        <v>0.01</v>
      </c>
      <c r="G11">
        <v>50</v>
      </c>
      <c r="H11">
        <v>60</v>
      </c>
      <c r="I11">
        <v>1000</v>
      </c>
      <c r="J11" s="3" t="str">
        <f t="array" aca="1" ref="J11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8)))&amp;""</f>
        <v/>
      </c>
      <c r="K11" s="1" t="str">
        <f t="array" aca="1" ref="K11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8)))&amp;""</f>
        <v/>
      </c>
      <c r="L11" s="1" t="str">
        <f t="array" aca="1" ref="L11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8)))&amp;""</f>
        <v/>
      </c>
      <c r="M11" s="1" t="str">
        <f ca="1">IF(J11="","",VLOOKUP(--J11,道具产出规划!$A$2:$AN$238,MATCH(M$3,道具产出规划!$2:$2,0),0))</f>
        <v/>
      </c>
      <c r="R11" s="3" t="str">
        <f t="array" aca="1" ref="R11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8)))&amp;""</f>
        <v>200083</v>
      </c>
      <c r="S11" s="1" t="str">
        <f t="array" aca="1" ref="S11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8)))&amp;""</f>
        <v>70级打造图纸库</v>
      </c>
      <c r="T11" s="1" t="str">
        <f t="array" aca="1" ref="T11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8)))&amp;""</f>
        <v>0.196</v>
      </c>
      <c r="U11" s="1">
        <f ca="1">IF(R11="","",VLOOKUP(--R11,道具产出规划!$A$2:$AN$238,MATCH(U$3,道具产出规划!$2:$2,0),0))</f>
        <v>0.05</v>
      </c>
      <c r="V11">
        <f t="shared" ca="1" si="6"/>
        <v>0.01</v>
      </c>
      <c r="W11" s="3" t="str">
        <f t="array" aca="1" ref="W11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8)))&amp;""</f>
        <v/>
      </c>
      <c r="X11" s="1" t="str">
        <f t="array" aca="1" ref="X11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8)))&amp;""</f>
        <v/>
      </c>
      <c r="Y11" s="1" t="str">
        <f t="array" aca="1" ref="Y11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8)))&amp;""</f>
        <v/>
      </c>
      <c r="Z11" s="1" t="str">
        <f ca="1">IF(W11="","",VLOOKUP(--W11,道具产出规划!$A$2:$AN$238,MATCH(Z$3,道具产出规划!$2:$2,0),0))</f>
        <v/>
      </c>
      <c r="AB11" s="3" t="str">
        <f t="array" aca="1" ref="AB11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8)))&amp;""</f>
        <v/>
      </c>
      <c r="AC11" s="1" t="str">
        <f t="array" aca="1" ref="AC11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8)))&amp;""</f>
        <v/>
      </c>
      <c r="AD11" s="1" t="str">
        <f t="array" aca="1" ref="AD11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8)))&amp;""</f>
        <v/>
      </c>
      <c r="AE11" s="1" t="str">
        <f ca="1">IF(AB11="","",VLOOKUP(--AB11,道具产出规划!$A$2:$AN$238,MATCH(AE$3,道具产出规划!$2:$2,0),0))</f>
        <v/>
      </c>
    </row>
    <row r="12" spans="2:32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J12" s="3" t="str">
        <f t="array" aca="1" ref="J12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9)))&amp;""</f>
        <v/>
      </c>
      <c r="K12" s="1" t="str">
        <f t="array" aca="1" ref="K12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9)))&amp;""</f>
        <v/>
      </c>
      <c r="L12" s="1" t="str">
        <f t="array" aca="1" ref="L12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9)))&amp;""</f>
        <v/>
      </c>
      <c r="M12" s="1" t="str">
        <f ca="1">IF(J12="","",VLOOKUP(--J12,道具产出规划!$A$2:$AN$238,MATCH(M$3,道具产出规划!$2:$2,0),0))</f>
        <v/>
      </c>
      <c r="R12" s="3" t="str">
        <f t="array" aca="1" ref="R12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9)))&amp;""</f>
        <v>200138</v>
      </c>
      <c r="S12" s="1" t="str">
        <f t="array" aca="1" ref="S12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9)))&amp;""</f>
        <v>20级紫装库</v>
      </c>
      <c r="T12" s="1" t="str">
        <f t="array" aca="1" ref="T12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9)))&amp;""</f>
        <v>1</v>
      </c>
      <c r="U12" s="1">
        <f ca="1">IF(R12="","",VLOOKUP(--R12,道具产出规划!$A$2:$AN$238,MATCH(U$3,道具产出规划!$2:$2,0),0))</f>
        <v>1</v>
      </c>
      <c r="V12">
        <f t="shared" ca="1" si="6"/>
        <v>0.2</v>
      </c>
      <c r="W12" s="3" t="str">
        <f t="array" aca="1" ref="W12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9)))&amp;""</f>
        <v/>
      </c>
      <c r="X12" s="1" t="str">
        <f t="array" aca="1" ref="X12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9)))&amp;""</f>
        <v/>
      </c>
      <c r="Y12" s="1" t="str">
        <f t="array" aca="1" ref="Y12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9)))&amp;""</f>
        <v/>
      </c>
      <c r="Z12" s="1" t="str">
        <f ca="1">IF(W12="","",VLOOKUP(--W12,道具产出规划!$A$2:$AN$238,MATCH(Z$3,道具产出规划!$2:$2,0),0))</f>
        <v/>
      </c>
      <c r="AB12" s="3" t="str">
        <f t="array" aca="1" ref="AB12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9)))&amp;""</f>
        <v/>
      </c>
      <c r="AC12" s="1" t="str">
        <f t="array" aca="1" ref="AC12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9)))&amp;""</f>
        <v/>
      </c>
      <c r="AD12" s="1" t="str">
        <f t="array" aca="1" ref="AD12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9)))&amp;""</f>
        <v/>
      </c>
      <c r="AE12" s="1" t="str">
        <f ca="1">IF(AB12="","",VLOOKUP(--AB12,道具产出规划!$A$2:$AN$238,MATCH(AE$3,道具产出规划!$2:$2,0),0))</f>
        <v/>
      </c>
    </row>
    <row r="13" spans="2:32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J13" s="3" t="str">
        <f t="array" aca="1" ref="J13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10)))&amp;""</f>
        <v/>
      </c>
      <c r="K13" s="1" t="str">
        <f t="array" aca="1" ref="K13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10)))&amp;""</f>
        <v/>
      </c>
      <c r="L13" s="1" t="str">
        <f t="array" aca="1" ref="L13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10)))&amp;""</f>
        <v/>
      </c>
      <c r="M13" s="1" t="str">
        <f ca="1">IF(J13="","",VLOOKUP(--J13,道具产出规划!$A$2:$AN$238,MATCH(M$3,道具产出规划!$2:$2,0),0))</f>
        <v/>
      </c>
      <c r="R13" s="3" t="str">
        <f t="array" aca="1" ref="R13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10)))&amp;""</f>
        <v>200139</v>
      </c>
      <c r="S13" s="1" t="str">
        <f t="array" aca="1" ref="S13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10)))&amp;""</f>
        <v>30级紫装库</v>
      </c>
      <c r="T13" s="1" t="str">
        <f t="array" aca="1" ref="T13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10)))&amp;""</f>
        <v>0.8</v>
      </c>
      <c r="U13" s="1">
        <f ca="1">IF(R13="","",VLOOKUP(--R13,道具产出规划!$A$2:$AN$238,MATCH(U$3,道具产出规划!$2:$2,0),0))</f>
        <v>0.4</v>
      </c>
      <c r="V13">
        <f t="shared" ca="1" si="6"/>
        <v>0.08</v>
      </c>
      <c r="W13" s="3" t="str">
        <f t="array" aca="1" ref="W13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10)))&amp;""</f>
        <v/>
      </c>
      <c r="X13" s="1" t="str">
        <f t="array" aca="1" ref="X13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10)))&amp;""</f>
        <v/>
      </c>
      <c r="Y13" s="1" t="str">
        <f t="array" aca="1" ref="Y13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10)))&amp;""</f>
        <v/>
      </c>
      <c r="Z13" s="1" t="str">
        <f ca="1">IF(W13="","",VLOOKUP(--W13,道具产出规划!$A$2:$AN$238,MATCH(Z$3,道具产出规划!$2:$2,0),0))</f>
        <v/>
      </c>
      <c r="AB13" s="3" t="str">
        <f t="array" aca="1" ref="AB13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10)))&amp;""</f>
        <v/>
      </c>
      <c r="AC13" s="1" t="str">
        <f t="array" aca="1" ref="AC13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10)))&amp;""</f>
        <v/>
      </c>
      <c r="AD13" s="1" t="str">
        <f t="array" aca="1" ref="AD13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10)))&amp;""</f>
        <v/>
      </c>
      <c r="AE13" s="1" t="str">
        <f ca="1">IF(AB13="","",VLOOKUP(--AB13,道具产出规划!$A$2:$AN$238,MATCH(AE$3,道具产出规划!$2:$2,0),0))</f>
        <v/>
      </c>
    </row>
    <row r="14" spans="2:32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J14" s="3" t="str">
        <f t="array" aca="1" ref="J14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11)))&amp;""</f>
        <v/>
      </c>
      <c r="K14" s="1" t="str">
        <f t="array" aca="1" ref="K14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11)))&amp;""</f>
        <v/>
      </c>
      <c r="L14" s="1" t="str">
        <f t="array" aca="1" ref="L14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11)))&amp;""</f>
        <v/>
      </c>
      <c r="M14" s="1" t="str">
        <f ca="1">IF(J14="","",VLOOKUP(--J14,道具产出规划!$A$2:$AN$238,MATCH(M$3,道具产出规划!$2:$2,0),0))</f>
        <v/>
      </c>
      <c r="R14" s="3" t="str">
        <f t="array" aca="1" ref="R14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11)))&amp;""</f>
        <v>200140</v>
      </c>
      <c r="S14" s="1" t="str">
        <f t="array" aca="1" ref="S14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11)))&amp;""</f>
        <v>40级紫装库</v>
      </c>
      <c r="T14" s="1" t="str">
        <f t="array" aca="1" ref="T14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11)))&amp;""</f>
        <v>0.4</v>
      </c>
      <c r="U14" s="1">
        <f ca="1">IF(R14="","",VLOOKUP(--R14,道具产出规划!$A$2:$AN$238,MATCH(U$3,道具产出规划!$2:$2,0),0))</f>
        <v>0.2</v>
      </c>
      <c r="V14">
        <f t="shared" ca="1" si="6"/>
        <v>0.04</v>
      </c>
      <c r="W14" s="3" t="str">
        <f t="array" aca="1" ref="W14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11)))&amp;""</f>
        <v/>
      </c>
      <c r="X14" s="1" t="str">
        <f t="array" aca="1" ref="X14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11)))&amp;""</f>
        <v/>
      </c>
      <c r="Y14" s="1" t="str">
        <f t="array" aca="1" ref="Y14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11)))&amp;""</f>
        <v/>
      </c>
      <c r="Z14" s="1" t="str">
        <f ca="1">IF(W14="","",VLOOKUP(--W14,道具产出规划!$A$2:$AN$238,MATCH(Z$3,道具产出规划!$2:$2,0),0))</f>
        <v/>
      </c>
      <c r="AB14" s="3" t="str">
        <f t="array" aca="1" ref="AB14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11)))&amp;""</f>
        <v/>
      </c>
      <c r="AC14" s="1" t="str">
        <f t="array" aca="1" ref="AC14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11)))&amp;""</f>
        <v/>
      </c>
      <c r="AD14" s="1" t="str">
        <f t="array" aca="1" ref="AD14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11)))&amp;""</f>
        <v/>
      </c>
      <c r="AE14" s="1" t="str">
        <f ca="1">IF(AB14="","",VLOOKUP(--AB14,道具产出规划!$A$2:$AN$238,MATCH(AE$3,道具产出规划!$2:$2,0),0))</f>
        <v/>
      </c>
    </row>
    <row r="15" spans="2:32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J15" s="3" t="str">
        <f t="array" aca="1" ref="J15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12)))&amp;""</f>
        <v/>
      </c>
      <c r="K15" s="1" t="str">
        <f t="array" aca="1" ref="K15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12)))&amp;""</f>
        <v/>
      </c>
      <c r="L15" s="1" t="str">
        <f t="array" aca="1" ref="L15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12)))&amp;""</f>
        <v/>
      </c>
      <c r="M15" s="1" t="str">
        <f ca="1">IF(J15="","",VLOOKUP(--J15,道具产出规划!$A$2:$AN$238,MATCH(M$3,道具产出规划!$2:$2,0),0))</f>
        <v/>
      </c>
      <c r="R15" s="3" t="str">
        <f t="array" aca="1" ref="R15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12)))&amp;""</f>
        <v/>
      </c>
      <c r="S15" s="1" t="str">
        <f t="array" aca="1" ref="S15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12)))&amp;""</f>
        <v/>
      </c>
      <c r="T15" s="1" t="str">
        <f t="array" aca="1" ref="T15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12)))&amp;""</f>
        <v/>
      </c>
      <c r="U15" s="1" t="str">
        <f ca="1">IF(R15="","",VLOOKUP(--R15,道具产出规划!$A$2:$AN$238,MATCH(U$3,道具产出规划!$2:$2,0),0))</f>
        <v/>
      </c>
      <c r="W15" s="3" t="str">
        <f t="array" aca="1" ref="W15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12)))&amp;""</f>
        <v/>
      </c>
      <c r="X15" s="1" t="str">
        <f t="array" aca="1" ref="X15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12)))&amp;""</f>
        <v/>
      </c>
      <c r="Y15" s="1" t="str">
        <f t="array" aca="1" ref="Y15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12)))&amp;""</f>
        <v/>
      </c>
      <c r="Z15" s="1" t="str">
        <f ca="1">IF(W15="","",VLOOKUP(--W15,道具产出规划!$A$2:$AN$238,MATCH(Z$3,道具产出规划!$2:$2,0),0))</f>
        <v/>
      </c>
      <c r="AB15" s="3" t="str">
        <f t="array" aca="1" ref="AB15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12)))&amp;""</f>
        <v/>
      </c>
      <c r="AC15" s="1" t="str">
        <f t="array" aca="1" ref="AC15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12)))&amp;""</f>
        <v/>
      </c>
      <c r="AD15" s="1" t="str">
        <f t="array" aca="1" ref="AD15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12)))&amp;""</f>
        <v/>
      </c>
      <c r="AE15" s="1" t="str">
        <f ca="1">IF(AB15="","",VLOOKUP(--AB15,道具产出规划!$A$2:$AN$238,MATCH(AE$3,道具产出规划!$2:$2,0),0))</f>
        <v/>
      </c>
    </row>
    <row r="16" spans="2:32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J16" s="3" t="str">
        <f t="array" aca="1" ref="J16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13)))&amp;""</f>
        <v/>
      </c>
      <c r="K16" s="1" t="str">
        <f t="array" aca="1" ref="K16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13)))&amp;""</f>
        <v/>
      </c>
      <c r="L16" s="1" t="str">
        <f t="array" aca="1" ref="L16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13)))&amp;""</f>
        <v/>
      </c>
      <c r="M16" s="1" t="str">
        <f ca="1">IF(J16="","",VLOOKUP(--J16,道具产出规划!$A$2:$AN$238,MATCH(M$3,道具产出规划!$2:$2,0),0))</f>
        <v/>
      </c>
      <c r="R16" s="3" t="str">
        <f t="array" aca="1" ref="R16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13)))&amp;""</f>
        <v/>
      </c>
      <c r="S16" s="1" t="str">
        <f t="array" aca="1" ref="S16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13)))&amp;""</f>
        <v/>
      </c>
      <c r="T16" s="1" t="str">
        <f t="array" aca="1" ref="T16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13)))&amp;""</f>
        <v/>
      </c>
      <c r="U16" s="1" t="str">
        <f ca="1">IF(R16="","",VLOOKUP(--R16,道具产出规划!$A$2:$AN$238,MATCH(U$3,道具产出规划!$2:$2,0),0))</f>
        <v/>
      </c>
      <c r="W16" s="3" t="str">
        <f t="array" aca="1" ref="W16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13)))&amp;""</f>
        <v/>
      </c>
      <c r="X16" s="1" t="str">
        <f t="array" aca="1" ref="X16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13)))&amp;""</f>
        <v/>
      </c>
      <c r="Y16" s="1" t="str">
        <f t="array" aca="1" ref="Y16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13)))&amp;""</f>
        <v/>
      </c>
      <c r="Z16" s="1" t="str">
        <f ca="1">IF(W16="","",VLOOKUP(--W16,道具产出规划!$A$2:$AN$238,MATCH(Z$3,道具产出规划!$2:$2,0),0))</f>
        <v/>
      </c>
      <c r="AB16" s="3" t="str">
        <f t="array" aca="1" ref="AB16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13)))&amp;""</f>
        <v/>
      </c>
      <c r="AC16" s="1" t="str">
        <f t="array" aca="1" ref="AC16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13)))&amp;""</f>
        <v/>
      </c>
      <c r="AD16" s="1" t="str">
        <f t="array" aca="1" ref="AD16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13)))&amp;""</f>
        <v/>
      </c>
      <c r="AE16" s="1" t="str">
        <f ca="1">IF(AB16="","",VLOOKUP(--AB16,道具产出规划!$A$2:$AN$238,MATCH(AE$3,道具产出规划!$2:$2,0),0))</f>
        <v/>
      </c>
    </row>
    <row r="17" spans="2:3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J17" s="3" t="str">
        <f t="array" aca="1" ref="J17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14)))&amp;""</f>
        <v/>
      </c>
      <c r="K17" s="1" t="str">
        <f t="array" aca="1" ref="K17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14)))&amp;""</f>
        <v/>
      </c>
      <c r="L17" s="1" t="str">
        <f t="array" aca="1" ref="L17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14)))&amp;""</f>
        <v/>
      </c>
      <c r="M17" s="1" t="str">
        <f ca="1">IF(J17="","",VLOOKUP(--J17,道具产出规划!$A$2:$AN$238,MATCH(M$3,道具产出规划!$2:$2,0),0))</f>
        <v/>
      </c>
      <c r="R17" s="3" t="str">
        <f t="array" aca="1" ref="R17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14)))&amp;""</f>
        <v/>
      </c>
      <c r="S17" s="1" t="str">
        <f t="array" aca="1" ref="S17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14)))&amp;""</f>
        <v/>
      </c>
      <c r="T17" s="1" t="str">
        <f t="array" aca="1" ref="T17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14)))&amp;""</f>
        <v/>
      </c>
      <c r="U17" s="1" t="str">
        <f ca="1">IF(R17="","",VLOOKUP(--R17,道具产出规划!$A$2:$AN$238,MATCH(U$3,道具产出规划!$2:$2,0),0))</f>
        <v/>
      </c>
      <c r="W17" s="3" t="str">
        <f t="array" aca="1" ref="W17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14)))&amp;""</f>
        <v/>
      </c>
      <c r="X17" s="1" t="str">
        <f t="array" aca="1" ref="X17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14)))&amp;""</f>
        <v/>
      </c>
      <c r="Y17" s="1" t="str">
        <f t="array" aca="1" ref="Y17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14)))&amp;""</f>
        <v/>
      </c>
      <c r="Z17" s="1" t="str">
        <f ca="1">IF(W17="","",VLOOKUP(--W17,道具产出规划!$A$2:$AN$238,MATCH(Z$3,道具产出规划!$2:$2,0),0))</f>
        <v/>
      </c>
      <c r="AB17" s="3" t="str">
        <f t="array" aca="1" ref="AB17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14)))&amp;""</f>
        <v/>
      </c>
      <c r="AC17" s="1" t="str">
        <f t="array" aca="1" ref="AC17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14)))&amp;""</f>
        <v/>
      </c>
      <c r="AD17" s="1" t="str">
        <f t="array" aca="1" ref="AD17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14)))&amp;""</f>
        <v/>
      </c>
      <c r="AE17" s="1" t="str">
        <f ca="1">IF(AB17="","",VLOOKUP(--AB17,道具产出规划!$A$2:$AN$238,MATCH(AE$3,道具产出规划!$2:$2,0),0))</f>
        <v/>
      </c>
    </row>
    <row r="18" spans="2:3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J18" s="3" t="str">
        <f t="array" aca="1" ref="J18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15)))&amp;""</f>
        <v/>
      </c>
      <c r="K18" s="1" t="str">
        <f t="array" aca="1" ref="K18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15)))&amp;""</f>
        <v/>
      </c>
      <c r="L18" s="1" t="str">
        <f t="array" aca="1" ref="L18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15)))&amp;""</f>
        <v/>
      </c>
      <c r="M18" s="1" t="str">
        <f ca="1">IF(J18="","",VLOOKUP(--J18,道具产出规划!$A$2:$AN$238,MATCH(M$3,道具产出规划!$2:$2,0),0))</f>
        <v/>
      </c>
      <c r="R18" s="3" t="str">
        <f t="array" aca="1" ref="R18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15)))&amp;""</f>
        <v/>
      </c>
      <c r="S18" s="1" t="str">
        <f t="array" aca="1" ref="S18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15)))&amp;""</f>
        <v/>
      </c>
      <c r="T18" s="1" t="str">
        <f t="array" aca="1" ref="T18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15)))&amp;""</f>
        <v/>
      </c>
      <c r="U18" s="1" t="str">
        <f ca="1">IF(R18="","",VLOOKUP(--R18,道具产出规划!$A$2:$AN$238,MATCH(U$3,道具产出规划!$2:$2,0),0))</f>
        <v/>
      </c>
      <c r="W18" s="3" t="str">
        <f t="array" aca="1" ref="W18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15)))&amp;""</f>
        <v/>
      </c>
      <c r="X18" s="1" t="str">
        <f t="array" aca="1" ref="X18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15)))&amp;""</f>
        <v/>
      </c>
      <c r="Y18" s="1" t="str">
        <f t="array" aca="1" ref="Y18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15)))&amp;""</f>
        <v/>
      </c>
      <c r="Z18" s="1" t="str">
        <f ca="1">IF(W18="","",VLOOKUP(--W18,道具产出规划!$A$2:$AN$238,MATCH(Z$3,道具产出规划!$2:$2,0),0))</f>
        <v/>
      </c>
      <c r="AB18" s="3" t="str">
        <f t="array" aca="1" ref="AB18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15)))&amp;""</f>
        <v/>
      </c>
      <c r="AC18" s="1" t="str">
        <f t="array" aca="1" ref="AC18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15)))&amp;""</f>
        <v/>
      </c>
      <c r="AD18" s="1" t="str">
        <f t="array" aca="1" ref="AD18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15)))&amp;""</f>
        <v/>
      </c>
      <c r="AE18" s="1" t="str">
        <f ca="1">IF(AB18="","",VLOOKUP(--AB18,道具产出规划!$A$2:$AN$238,MATCH(AE$3,道具产出规划!$2:$2,0),0))</f>
        <v/>
      </c>
    </row>
    <row r="19" spans="2:3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J19" s="3" t="str">
        <f t="array" aca="1" ref="J19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16)))&amp;""</f>
        <v/>
      </c>
      <c r="K19" s="1" t="str">
        <f t="array" aca="1" ref="K19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16)))&amp;""</f>
        <v/>
      </c>
      <c r="L19" s="1" t="str">
        <f t="array" aca="1" ref="L19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16)))&amp;""</f>
        <v/>
      </c>
      <c r="M19" s="1" t="str">
        <f ca="1">IF(J19="","",VLOOKUP(--J19,道具产出规划!$A$2:$AN$238,MATCH(M$3,道具产出规划!$2:$2,0),0))</f>
        <v/>
      </c>
      <c r="R19" s="3" t="str">
        <f t="array" aca="1" ref="R19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16)))&amp;""</f>
        <v/>
      </c>
      <c r="S19" s="1" t="str">
        <f t="array" aca="1" ref="S19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16)))&amp;""</f>
        <v/>
      </c>
      <c r="T19" s="1" t="str">
        <f t="array" aca="1" ref="T19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16)))&amp;""</f>
        <v/>
      </c>
      <c r="U19" s="1" t="str">
        <f ca="1">IF(R19="","",VLOOKUP(--R19,道具产出规划!$A$2:$AN$238,MATCH(U$3,道具产出规划!$2:$2,0),0))</f>
        <v/>
      </c>
      <c r="W19" s="3" t="str">
        <f t="array" aca="1" ref="W19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16)))&amp;""</f>
        <v/>
      </c>
      <c r="X19" s="1" t="str">
        <f t="array" aca="1" ref="X19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16)))&amp;""</f>
        <v/>
      </c>
      <c r="Y19" s="1" t="str">
        <f t="array" aca="1" ref="Y19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16)))&amp;""</f>
        <v/>
      </c>
      <c r="Z19" s="1" t="str">
        <f ca="1">IF(W19="","",VLOOKUP(--W19,道具产出规划!$A$2:$AN$238,MATCH(Z$3,道具产出规划!$2:$2,0),0))</f>
        <v/>
      </c>
      <c r="AB19" s="3" t="str">
        <f t="array" aca="1" ref="AB19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16)))&amp;""</f>
        <v/>
      </c>
      <c r="AC19" s="1" t="str">
        <f t="array" aca="1" ref="AC19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16)))&amp;""</f>
        <v/>
      </c>
      <c r="AD19" s="1" t="str">
        <f t="array" aca="1" ref="AD19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16)))&amp;""</f>
        <v/>
      </c>
      <c r="AE19" s="1" t="str">
        <f ca="1">IF(AB19="","",VLOOKUP(--AB19,道具产出规划!$A$2:$AN$238,MATCH(AE$3,道具产出规划!$2:$2,0),0))</f>
        <v/>
      </c>
    </row>
    <row r="20" spans="2:3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J20" s="3" t="str">
        <f t="array" aca="1" ref="J20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17)))&amp;""</f>
        <v/>
      </c>
      <c r="K20" s="1" t="str">
        <f t="array" aca="1" ref="K20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17)))&amp;""</f>
        <v/>
      </c>
      <c r="L20" s="1" t="str">
        <f t="array" aca="1" ref="L20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17)))&amp;""</f>
        <v/>
      </c>
      <c r="M20" s="1" t="str">
        <f ca="1">IF(J20="","",VLOOKUP(--J20,道具产出规划!$A$2:$AN$238,MATCH(M$3,道具产出规划!$2:$2,0),0))</f>
        <v/>
      </c>
      <c r="R20" s="3" t="str">
        <f t="array" aca="1" ref="R20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17)))&amp;""</f>
        <v/>
      </c>
      <c r="S20" s="1" t="str">
        <f t="array" aca="1" ref="S20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17)))&amp;""</f>
        <v/>
      </c>
      <c r="T20" s="1" t="str">
        <f t="array" aca="1" ref="T20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17)))&amp;""</f>
        <v/>
      </c>
      <c r="U20" s="1" t="str">
        <f ca="1">IF(R20="","",VLOOKUP(--R20,道具产出规划!$A$2:$AN$238,MATCH(U$3,道具产出规划!$2:$2,0),0))</f>
        <v/>
      </c>
      <c r="W20" s="3" t="str">
        <f t="array" aca="1" ref="W20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17)))&amp;""</f>
        <v/>
      </c>
      <c r="X20" s="1" t="str">
        <f t="array" aca="1" ref="X20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17)))&amp;""</f>
        <v/>
      </c>
      <c r="Y20" s="1" t="str">
        <f t="array" aca="1" ref="Y20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17)))&amp;""</f>
        <v/>
      </c>
      <c r="Z20" s="1" t="str">
        <f ca="1">IF(W20="","",VLOOKUP(--W20,道具产出规划!$A$2:$AN$238,MATCH(Z$3,道具产出规划!$2:$2,0),0))</f>
        <v/>
      </c>
      <c r="AB20" s="3" t="str">
        <f t="array" aca="1" ref="AB20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17)))&amp;""</f>
        <v/>
      </c>
      <c r="AC20" s="1" t="str">
        <f t="array" aca="1" ref="AC20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17)))&amp;""</f>
        <v/>
      </c>
      <c r="AD20" s="1" t="str">
        <f t="array" aca="1" ref="AD20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17)))&amp;""</f>
        <v/>
      </c>
      <c r="AE20" s="1" t="str">
        <f ca="1">IF(AB20="","",VLOOKUP(--AB20,道具产出规划!$A$2:$AN$238,MATCH(AE$3,道具产出规划!$2:$2,0),0))</f>
        <v/>
      </c>
    </row>
    <row r="21" spans="2:3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J21" s="3" t="str">
        <f t="array" aca="1" ref="J21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18)))&amp;""</f>
        <v/>
      </c>
      <c r="K21" s="1" t="str">
        <f t="array" aca="1" ref="K21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18)))&amp;""</f>
        <v/>
      </c>
      <c r="L21" s="1" t="str">
        <f t="array" aca="1" ref="L21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18)))&amp;""</f>
        <v/>
      </c>
      <c r="M21" s="1" t="str">
        <f ca="1">IF(J21="","",VLOOKUP(--J21,道具产出规划!$A$2:$AN$238,MATCH(M$3,道具产出规划!$2:$2,0),0))</f>
        <v/>
      </c>
      <c r="R21" s="3" t="str">
        <f t="array" aca="1" ref="R21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18)))&amp;""</f>
        <v/>
      </c>
      <c r="S21" s="1" t="str">
        <f t="array" aca="1" ref="S21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18)))&amp;""</f>
        <v/>
      </c>
      <c r="T21" s="1" t="str">
        <f t="array" aca="1" ref="T21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18)))&amp;""</f>
        <v/>
      </c>
      <c r="U21" s="1" t="str">
        <f ca="1">IF(R21="","",VLOOKUP(--R21,道具产出规划!$A$2:$AN$238,MATCH(U$3,道具产出规划!$2:$2,0),0))</f>
        <v/>
      </c>
      <c r="W21" s="3" t="str">
        <f t="array" aca="1" ref="W21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18)))&amp;""</f>
        <v/>
      </c>
      <c r="X21" s="1" t="str">
        <f t="array" aca="1" ref="X21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18)))&amp;""</f>
        <v/>
      </c>
      <c r="Y21" s="1" t="str">
        <f t="array" aca="1" ref="Y21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18)))&amp;""</f>
        <v/>
      </c>
      <c r="Z21" s="1" t="str">
        <f ca="1">IF(W21="","",VLOOKUP(--W21,道具产出规划!$A$2:$AN$238,MATCH(Z$3,道具产出规划!$2:$2,0),0))</f>
        <v/>
      </c>
      <c r="AB21" s="3" t="str">
        <f t="array" aca="1" ref="AB21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18)))&amp;""</f>
        <v/>
      </c>
      <c r="AC21" s="1" t="str">
        <f t="array" aca="1" ref="AC21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18)))&amp;""</f>
        <v/>
      </c>
      <c r="AD21" s="1" t="str">
        <f t="array" aca="1" ref="AD21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18)))&amp;""</f>
        <v/>
      </c>
      <c r="AE21" s="1" t="str">
        <f ca="1">IF(AB21="","",VLOOKUP(--AB21,道具产出规划!$A$2:$AN$238,MATCH(AE$3,道具产出规划!$2:$2,0),0))</f>
        <v/>
      </c>
    </row>
    <row r="22" spans="2:3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J22" s="3" t="str">
        <f t="array" aca="1" ref="J22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19)))&amp;""</f>
        <v/>
      </c>
      <c r="K22" s="1" t="str">
        <f t="array" aca="1" ref="K22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19)))&amp;""</f>
        <v/>
      </c>
      <c r="L22" s="1" t="str">
        <f t="array" aca="1" ref="L22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19)))&amp;""</f>
        <v/>
      </c>
      <c r="M22" s="1" t="str">
        <f ca="1">IF(J22="","",VLOOKUP(--J22,道具产出规划!$A$2:$AN$238,MATCH(M$3,道具产出规划!$2:$2,0),0))</f>
        <v/>
      </c>
      <c r="R22" s="3" t="str">
        <f t="array" aca="1" ref="R22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19)))&amp;""</f>
        <v/>
      </c>
      <c r="S22" s="1" t="str">
        <f t="array" aca="1" ref="S22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19)))&amp;""</f>
        <v/>
      </c>
      <c r="T22" s="1" t="str">
        <f t="array" aca="1" ref="T22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19)))&amp;""</f>
        <v/>
      </c>
      <c r="U22" s="1" t="str">
        <f ca="1">IF(R22="","",VLOOKUP(--R22,道具产出规划!$A$2:$AN$238,MATCH(U$3,道具产出规划!$2:$2,0),0))</f>
        <v/>
      </c>
      <c r="W22" s="3" t="str">
        <f t="array" aca="1" ref="W22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19)))&amp;""</f>
        <v/>
      </c>
      <c r="X22" s="1" t="str">
        <f t="array" aca="1" ref="X22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19)))&amp;""</f>
        <v/>
      </c>
      <c r="Y22" s="1" t="str">
        <f t="array" aca="1" ref="Y22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19)))&amp;""</f>
        <v/>
      </c>
      <c r="Z22" s="1" t="str">
        <f ca="1">IF(W22="","",VLOOKUP(--W22,道具产出规划!$A$2:$AN$238,MATCH(Z$3,道具产出规划!$2:$2,0),0))</f>
        <v/>
      </c>
      <c r="AB22" s="3" t="str">
        <f t="array" aca="1" ref="AB22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19)))&amp;""</f>
        <v/>
      </c>
      <c r="AC22" s="1" t="str">
        <f t="array" aca="1" ref="AC22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19)))&amp;""</f>
        <v/>
      </c>
      <c r="AD22" s="1" t="str">
        <f t="array" aca="1" ref="AD22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19)))&amp;""</f>
        <v/>
      </c>
      <c r="AE22" s="1" t="str">
        <f ca="1">IF(AB22="","",VLOOKUP(--AB22,道具产出规划!$A$2:$AN$238,MATCH(AE$3,道具产出规划!$2:$2,0),0))</f>
        <v/>
      </c>
    </row>
    <row r="23" spans="2:3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J23" s="3" t="str">
        <f t="array" aca="1" ref="J23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20)))&amp;""</f>
        <v/>
      </c>
      <c r="K23" s="1" t="str">
        <f t="array" aca="1" ref="K23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20)))&amp;""</f>
        <v/>
      </c>
      <c r="L23" s="1" t="str">
        <f t="array" aca="1" ref="L23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20)))&amp;""</f>
        <v/>
      </c>
      <c r="M23" s="1" t="str">
        <f ca="1">IF(J23="","",VLOOKUP(--J23,道具产出规划!$A$2:$AN$238,MATCH(M$3,道具产出规划!$2:$2,0),0))</f>
        <v/>
      </c>
      <c r="R23" s="3" t="str">
        <f t="array" aca="1" ref="R23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20)))&amp;""</f>
        <v/>
      </c>
      <c r="S23" s="1" t="str">
        <f t="array" aca="1" ref="S23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20)))&amp;""</f>
        <v/>
      </c>
      <c r="T23" s="1" t="str">
        <f t="array" aca="1" ref="T23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20)))&amp;""</f>
        <v/>
      </c>
      <c r="U23" s="1" t="str">
        <f ca="1">IF(R23="","",VLOOKUP(--R23,道具产出规划!$A$2:$AN$238,MATCH(U$3,道具产出规划!$2:$2,0),0))</f>
        <v/>
      </c>
      <c r="W23" s="3" t="str">
        <f t="array" aca="1" ref="W23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20)))&amp;""</f>
        <v/>
      </c>
      <c r="X23" s="1" t="str">
        <f t="array" aca="1" ref="X23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20)))&amp;""</f>
        <v/>
      </c>
      <c r="Y23" s="1" t="str">
        <f t="array" aca="1" ref="Y23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20)))&amp;""</f>
        <v/>
      </c>
      <c r="Z23" s="1" t="str">
        <f ca="1">IF(W23="","",VLOOKUP(--W23,道具产出规划!$A$2:$AN$238,MATCH(Z$3,道具产出规划!$2:$2,0),0))</f>
        <v/>
      </c>
      <c r="AB23" s="3" t="str">
        <f t="array" aca="1" ref="AB23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20)))&amp;""</f>
        <v/>
      </c>
      <c r="AC23" s="1" t="str">
        <f t="array" aca="1" ref="AC23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20)))&amp;""</f>
        <v/>
      </c>
      <c r="AD23" s="1" t="str">
        <f t="array" aca="1" ref="AD23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20)))&amp;""</f>
        <v/>
      </c>
      <c r="AE23" s="1" t="str">
        <f ca="1">IF(AB23="","",VLOOKUP(--AB23,道具产出规划!$A$2:$AN$238,MATCH(AE$3,道具产出规划!$2:$2,0),0))</f>
        <v/>
      </c>
    </row>
    <row r="24" spans="2:3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J24" s="3" t="str">
        <f t="array" aca="1" ref="J24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21)))&amp;""</f>
        <v/>
      </c>
      <c r="K24" s="1" t="str">
        <f t="array" aca="1" ref="K24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21)))&amp;""</f>
        <v/>
      </c>
      <c r="L24" s="1" t="str">
        <f t="array" aca="1" ref="L24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21)))&amp;""</f>
        <v/>
      </c>
      <c r="M24" s="1" t="str">
        <f ca="1">IF(J24="","",VLOOKUP(--J24,道具产出规划!$A$2:$AN$238,MATCH(M$3,道具产出规划!$2:$2,0),0))</f>
        <v/>
      </c>
      <c r="R24" s="3" t="str">
        <f t="array" aca="1" ref="R24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21)))&amp;""</f>
        <v/>
      </c>
      <c r="S24" s="1" t="str">
        <f t="array" aca="1" ref="S24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21)))&amp;""</f>
        <v/>
      </c>
      <c r="T24" s="1" t="str">
        <f t="array" aca="1" ref="T24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21)))&amp;""</f>
        <v/>
      </c>
      <c r="U24" s="1" t="str">
        <f ca="1">IF(R24="","",VLOOKUP(--R24,道具产出规划!$A$2:$AN$238,MATCH(U$3,道具产出规划!$2:$2,0),0))</f>
        <v/>
      </c>
      <c r="W24" s="3" t="str">
        <f t="array" aca="1" ref="W24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21)))&amp;""</f>
        <v/>
      </c>
      <c r="X24" s="1" t="str">
        <f t="array" aca="1" ref="X24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21)))&amp;""</f>
        <v/>
      </c>
      <c r="Y24" s="1" t="str">
        <f t="array" aca="1" ref="Y24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21)))&amp;""</f>
        <v/>
      </c>
      <c r="Z24" s="1" t="str">
        <f ca="1">IF(W24="","",VLOOKUP(--W24,道具产出规划!$A$2:$AN$238,MATCH(Z$3,道具产出规划!$2:$2,0),0))</f>
        <v/>
      </c>
      <c r="AB24" s="3" t="str">
        <f t="array" aca="1" ref="AB24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21)))&amp;""</f>
        <v/>
      </c>
      <c r="AC24" s="1" t="str">
        <f t="array" aca="1" ref="AC24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21)))&amp;""</f>
        <v/>
      </c>
      <c r="AD24" s="1" t="str">
        <f t="array" aca="1" ref="AD24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21)))&amp;""</f>
        <v/>
      </c>
      <c r="AE24" s="1" t="str">
        <f ca="1">IF(AB24="","",VLOOKUP(--AB24,道具产出规划!$A$2:$AN$238,MATCH(AE$3,道具产出规划!$2:$2,0),0))</f>
        <v/>
      </c>
    </row>
    <row r="25" spans="2:3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J25" s="3" t="str">
        <f t="array" aca="1" ref="J25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22)))&amp;""</f>
        <v/>
      </c>
      <c r="K25" s="1" t="str">
        <f t="array" aca="1" ref="K25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22)))&amp;""</f>
        <v/>
      </c>
      <c r="L25" s="1" t="str">
        <f t="array" aca="1" ref="L25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22)))&amp;""</f>
        <v/>
      </c>
      <c r="M25" s="1" t="str">
        <f ca="1">IF(J25="","",VLOOKUP(--J25,道具产出规划!$A$2:$AN$238,MATCH(M$3,道具产出规划!$2:$2,0),0))</f>
        <v/>
      </c>
      <c r="R25" s="3" t="str">
        <f t="array" aca="1" ref="R25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22)))&amp;""</f>
        <v/>
      </c>
      <c r="S25" s="1" t="str">
        <f t="array" aca="1" ref="S25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22)))&amp;""</f>
        <v/>
      </c>
      <c r="T25" s="1" t="str">
        <f t="array" aca="1" ref="T25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22)))&amp;""</f>
        <v/>
      </c>
      <c r="U25" s="1" t="str">
        <f ca="1">IF(R25="","",VLOOKUP(--R25,道具产出规划!$A$2:$AN$238,MATCH(U$3,道具产出规划!$2:$2,0),0))</f>
        <v/>
      </c>
      <c r="W25" s="3" t="str">
        <f t="array" aca="1" ref="W25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22)))&amp;""</f>
        <v/>
      </c>
      <c r="X25" s="1" t="str">
        <f t="array" aca="1" ref="X25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22)))&amp;""</f>
        <v/>
      </c>
      <c r="Y25" s="1" t="str">
        <f t="array" aca="1" ref="Y25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22)))&amp;""</f>
        <v/>
      </c>
      <c r="Z25" s="1" t="str">
        <f ca="1">IF(W25="","",VLOOKUP(--W25,道具产出规划!$A$2:$AN$238,MATCH(Z$3,道具产出规划!$2:$2,0),0))</f>
        <v/>
      </c>
      <c r="AB25" s="3" t="str">
        <f t="array" aca="1" ref="AB25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22)))&amp;""</f>
        <v/>
      </c>
      <c r="AC25" s="1" t="str">
        <f t="array" aca="1" ref="AC25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22)))&amp;""</f>
        <v/>
      </c>
      <c r="AD25" s="1" t="str">
        <f t="array" aca="1" ref="AD25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22)))&amp;""</f>
        <v/>
      </c>
      <c r="AE25" s="1" t="str">
        <f ca="1">IF(AB25="","",VLOOKUP(--AB25,道具产出规划!$A$2:$AN$238,MATCH(AE$3,道具产出规划!$2:$2,0),0))</f>
        <v/>
      </c>
    </row>
    <row r="26" spans="2:3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J26" s="3" t="str">
        <f t="array" aca="1" ref="J26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23)))&amp;""</f>
        <v/>
      </c>
      <c r="K26" s="1" t="str">
        <f t="array" aca="1" ref="K26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23)))&amp;""</f>
        <v/>
      </c>
      <c r="L26" s="1" t="str">
        <f t="array" aca="1" ref="L26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23)))&amp;""</f>
        <v/>
      </c>
      <c r="M26" s="1" t="str">
        <f ca="1">IF(J26="","",VLOOKUP(--J26,道具产出规划!$A$2:$AN$238,MATCH(M$3,道具产出规划!$2:$2,0),0))</f>
        <v/>
      </c>
      <c r="R26" s="3" t="str">
        <f t="array" aca="1" ref="R26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23)))&amp;""</f>
        <v/>
      </c>
      <c r="S26" s="1" t="str">
        <f t="array" aca="1" ref="S26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23)))&amp;""</f>
        <v/>
      </c>
      <c r="T26" s="1" t="str">
        <f t="array" aca="1" ref="T26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23)))&amp;""</f>
        <v/>
      </c>
      <c r="U26" s="1" t="str">
        <f ca="1">IF(R26="","",VLOOKUP(--R26,道具产出规划!$A$2:$AN$238,MATCH(U$3,道具产出规划!$2:$2,0),0))</f>
        <v/>
      </c>
      <c r="W26" s="3" t="str">
        <f t="array" aca="1" ref="W26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23)))&amp;""</f>
        <v/>
      </c>
      <c r="X26" s="1" t="str">
        <f t="array" aca="1" ref="X26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23)))&amp;""</f>
        <v/>
      </c>
      <c r="Y26" s="1" t="str">
        <f t="array" aca="1" ref="Y26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23)))&amp;""</f>
        <v/>
      </c>
      <c r="Z26" s="1" t="str">
        <f ca="1">IF(W26="","",VLOOKUP(--W26,道具产出规划!$A$2:$AN$238,MATCH(Z$3,道具产出规划!$2:$2,0),0))</f>
        <v/>
      </c>
      <c r="AB26" s="3" t="str">
        <f t="array" aca="1" ref="AB26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23)))&amp;""</f>
        <v/>
      </c>
      <c r="AC26" s="1" t="str">
        <f t="array" aca="1" ref="AC26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23)))&amp;""</f>
        <v/>
      </c>
      <c r="AD26" s="1" t="str">
        <f t="array" aca="1" ref="AD26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23)))&amp;""</f>
        <v/>
      </c>
      <c r="AE26" s="1" t="str">
        <f ca="1">IF(AB26="","",VLOOKUP(--AB26,道具产出规划!$A$2:$AN$238,MATCH(AE$3,道具产出规划!$2:$2,0),0))</f>
        <v/>
      </c>
    </row>
    <row r="27" spans="2:3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J27" s="3" t="str">
        <f t="array" aca="1" ref="J27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24)))&amp;""</f>
        <v/>
      </c>
      <c r="K27" s="1" t="str">
        <f t="array" aca="1" ref="K27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24)))&amp;""</f>
        <v/>
      </c>
      <c r="L27" s="1" t="str">
        <f t="array" aca="1" ref="L27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24)))&amp;""</f>
        <v/>
      </c>
      <c r="M27" s="1" t="str">
        <f ca="1">IF(J27="","",VLOOKUP(--J27,道具产出规划!$A$2:$AN$238,MATCH(M$3,道具产出规划!$2:$2,0),0))</f>
        <v/>
      </c>
      <c r="R27" s="3" t="str">
        <f t="array" aca="1" ref="R27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24)))&amp;""</f>
        <v/>
      </c>
      <c r="S27" s="1" t="str">
        <f t="array" aca="1" ref="S27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24)))&amp;""</f>
        <v/>
      </c>
      <c r="T27" s="1" t="str">
        <f t="array" aca="1" ref="T27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24)))&amp;""</f>
        <v/>
      </c>
      <c r="U27" s="1" t="str">
        <f ca="1">IF(R27="","",VLOOKUP(--R27,道具产出规划!$A$2:$AN$238,MATCH(U$3,道具产出规划!$2:$2,0),0))</f>
        <v/>
      </c>
      <c r="W27" s="3" t="str">
        <f t="array" aca="1" ref="W27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24)))&amp;""</f>
        <v/>
      </c>
      <c r="X27" s="1" t="str">
        <f t="array" aca="1" ref="X27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24)))&amp;""</f>
        <v/>
      </c>
      <c r="Y27" s="1" t="str">
        <f t="array" aca="1" ref="Y27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24)))&amp;""</f>
        <v/>
      </c>
      <c r="Z27" s="1" t="str">
        <f ca="1">IF(W27="","",VLOOKUP(--W27,道具产出规划!$A$2:$AN$238,MATCH(Z$3,道具产出规划!$2:$2,0),0))</f>
        <v/>
      </c>
      <c r="AB27" s="3" t="str">
        <f t="array" aca="1" ref="AB27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24)))&amp;""</f>
        <v/>
      </c>
      <c r="AC27" s="1" t="str">
        <f t="array" aca="1" ref="AC27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24)))&amp;""</f>
        <v/>
      </c>
      <c r="AD27" s="1" t="str">
        <f t="array" aca="1" ref="AD27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24)))&amp;""</f>
        <v/>
      </c>
      <c r="AE27" s="1" t="str">
        <f ca="1">IF(AB27="","",VLOOKUP(--AB27,道具产出规划!$A$2:$AN$238,MATCH(AE$3,道具产出规划!$2:$2,0),0))</f>
        <v/>
      </c>
    </row>
    <row r="28" spans="2:3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J28" s="3" t="str">
        <f t="array" aca="1" ref="J28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25)))&amp;""</f>
        <v/>
      </c>
      <c r="K28" s="1" t="str">
        <f t="array" aca="1" ref="K28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25)))&amp;""</f>
        <v/>
      </c>
      <c r="L28" s="1" t="str">
        <f t="array" aca="1" ref="L28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25)))&amp;""</f>
        <v/>
      </c>
      <c r="M28" s="1" t="str">
        <f ca="1">IF(J28="","",VLOOKUP(--J28,道具产出规划!$A$2:$AN$238,MATCH(M$3,道具产出规划!$2:$2,0),0))</f>
        <v/>
      </c>
      <c r="R28" s="3" t="str">
        <f t="array" aca="1" ref="R28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25)))&amp;""</f>
        <v/>
      </c>
      <c r="S28" s="1" t="str">
        <f t="array" aca="1" ref="S28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25)))&amp;""</f>
        <v/>
      </c>
      <c r="T28" s="1" t="str">
        <f t="array" aca="1" ref="T28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25)))&amp;""</f>
        <v/>
      </c>
      <c r="U28" s="1" t="str">
        <f ca="1">IF(R28="","",VLOOKUP(--R28,道具产出规划!$A$2:$AN$238,MATCH(U$3,道具产出规划!$2:$2,0),0))</f>
        <v/>
      </c>
      <c r="W28" s="3" t="str">
        <f t="array" aca="1" ref="W28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25)))&amp;""</f>
        <v/>
      </c>
      <c r="X28" s="1" t="str">
        <f t="array" aca="1" ref="X28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25)))&amp;""</f>
        <v/>
      </c>
      <c r="Y28" s="1" t="str">
        <f t="array" aca="1" ref="Y28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25)))&amp;""</f>
        <v/>
      </c>
      <c r="Z28" s="1" t="str">
        <f ca="1">IF(W28="","",VLOOKUP(--W28,道具产出规划!$A$2:$AN$238,MATCH(Z$3,道具产出规划!$2:$2,0),0))</f>
        <v/>
      </c>
      <c r="AB28" s="3" t="str">
        <f t="array" aca="1" ref="AB28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25)))&amp;""</f>
        <v/>
      </c>
      <c r="AC28" s="1" t="str">
        <f t="array" aca="1" ref="AC28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25)))&amp;""</f>
        <v/>
      </c>
      <c r="AD28" s="1" t="str">
        <f t="array" aca="1" ref="AD28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25)))&amp;""</f>
        <v/>
      </c>
      <c r="AE28" s="1" t="str">
        <f ca="1">IF(AB28="","",VLOOKUP(--AB28,道具产出规划!$A$2:$AN$238,MATCH(AE$3,道具产出规划!$2:$2,0),0))</f>
        <v/>
      </c>
    </row>
    <row r="29" spans="2:3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J29" s="3" t="str">
        <f t="array" aca="1" ref="J29" ca="1">INDEX(道具产出规划!$A:$A,SMALL(IF(LEN(INDIRECT(ADDRESS(3,MATCH(M$3,道具产出规划!$2:$2,0),1,TRUE,"道具产出规划")):INDIRECT(ADDRESS(1000,MATCH(M$3,道具产出规划!$2:$2,0),1,TRUE,"道具产出规划")))&gt;0,ROW(道具产出规划!$3:$998),2^20),ROW(道具产出规划!$A26)))&amp;""</f>
        <v/>
      </c>
      <c r="K29" s="1" t="str">
        <f t="array" aca="1" ref="K29" ca="1">INDEX(道具产出规划!$B:$B,SMALL(IF(LEN(INDIRECT(ADDRESS(3,MATCH(M$3,道具产出规划!$2:$2,0),1,TRUE,"道具产出规划")):INDIRECT(ADDRESS(1000,MATCH(M$3,道具产出规划!$2:$2,0),1,TRUE,"道具产出规划")))&gt;0,ROW(道具产出规划!$3:$998),2^20),ROW(道具产出规划!$A26)))&amp;""</f>
        <v/>
      </c>
      <c r="L29" s="1" t="str">
        <f t="array" aca="1" ref="L29" ca="1">INDEX(道具产出规划!$C:$C,SMALL(IF(LEN(INDIRECT(ADDRESS(3,MATCH(M$3,道具产出规划!$2:$2,0),1,TRUE,"道具产出规划")):INDIRECT(ADDRESS(1000,MATCH(M$3,道具产出规划!$2:$2,0),1,TRUE,"道具产出规划")))&gt;0,ROW(道具产出规划!$3:$998),2^20),ROW(道具产出规划!$A26)))&amp;""</f>
        <v/>
      </c>
      <c r="M29" s="1" t="str">
        <f ca="1">IF(J29="","",VLOOKUP(--J29,道具产出规划!$A$2:$AN$238,MATCH(M$3,道具产出规划!$2:$2,0),0))</f>
        <v/>
      </c>
      <c r="R29" s="3" t="str">
        <f t="array" aca="1" ref="R29" ca="1">INDEX(道具产出规划!$A:$A,SMALL(IF(LEN(INDIRECT(ADDRESS(3,MATCH(U$3,道具产出规划!$2:$2,0),1,TRUE,"道具产出规划")):INDIRECT(ADDRESS(1000,MATCH(U$3,道具产出规划!$2:$2,0),1,TRUE,"道具产出规划")))&gt;0,ROW(道具产出规划!$3:$998),2^20),ROW(道具产出规划!$A26)))&amp;""</f>
        <v/>
      </c>
      <c r="S29" s="1" t="str">
        <f t="array" aca="1" ref="S29" ca="1">INDEX(道具产出规划!$B:$B,SMALL(IF(LEN(INDIRECT(ADDRESS(3,MATCH(U$3,道具产出规划!$2:$2,0),1,TRUE,"道具产出规划")):INDIRECT(ADDRESS(1000,MATCH(U$3,道具产出规划!$2:$2,0),1,TRUE,"道具产出规划")))&gt;0,ROW(道具产出规划!$3:$998),2^20),ROW(道具产出规划!$A26)))&amp;""</f>
        <v/>
      </c>
      <c r="T29" s="1" t="str">
        <f t="array" aca="1" ref="T29" ca="1">INDEX(道具产出规划!$C:$C,SMALL(IF(LEN(INDIRECT(ADDRESS(3,MATCH(U$3,道具产出规划!$2:$2,0),1,TRUE,"道具产出规划")):INDIRECT(ADDRESS(1000,MATCH(U$3,道具产出规划!$2:$2,0),1,TRUE,"道具产出规划")))&gt;0,ROW(道具产出规划!$3:$998),2^20),ROW(道具产出规划!$A26)))&amp;""</f>
        <v/>
      </c>
      <c r="U29" s="1" t="str">
        <f ca="1">IF(R29="","",VLOOKUP(--R29,道具产出规划!$A$2:$AN$238,MATCH(U$3,道具产出规划!$2:$2,0),0))</f>
        <v/>
      </c>
      <c r="W29" s="3" t="str">
        <f t="array" aca="1" ref="W29" ca="1">INDEX(道具产出规划!$A:$A,SMALL(IF(LEN(INDIRECT(ADDRESS(3,MATCH(Z$3,道具产出规划!$2:$2,0),1,TRUE,"道具产出规划")):INDIRECT(ADDRESS(1000,MATCH(Z$3,道具产出规划!$2:$2,0),1,TRUE,"道具产出规划")))&gt;0,ROW(道具产出规划!$3:$998),2^20),ROW(道具产出规划!$A26)))&amp;""</f>
        <v/>
      </c>
      <c r="X29" s="1" t="str">
        <f t="array" aca="1" ref="X29" ca="1">INDEX(道具产出规划!$B:$B,SMALL(IF(LEN(INDIRECT(ADDRESS(3,MATCH(Z$3,道具产出规划!$2:$2,0),1,TRUE,"道具产出规划")):INDIRECT(ADDRESS(1000,MATCH(Z$3,道具产出规划!$2:$2,0),1,TRUE,"道具产出规划")))&gt;0,ROW(道具产出规划!$3:$998),2^20),ROW(道具产出规划!$A26)))&amp;""</f>
        <v/>
      </c>
      <c r="Y29" s="1" t="str">
        <f t="array" aca="1" ref="Y29" ca="1">INDEX(道具产出规划!$C:$C,SMALL(IF(LEN(INDIRECT(ADDRESS(3,MATCH(Z$3,道具产出规划!$2:$2,0),1,TRUE,"道具产出规划")):INDIRECT(ADDRESS(1000,MATCH(Z$3,道具产出规划!$2:$2,0),1,TRUE,"道具产出规划")))&gt;0,ROW(道具产出规划!$3:$998),2^20),ROW(道具产出规划!$A26)))&amp;""</f>
        <v/>
      </c>
      <c r="Z29" s="1" t="str">
        <f ca="1">IF(W29="","",VLOOKUP(--W29,道具产出规划!$A$2:$AN$238,MATCH(Z$3,道具产出规划!$2:$2,0),0))</f>
        <v/>
      </c>
      <c r="AB29" s="3" t="str">
        <f t="array" aca="1" ref="AB29" ca="1">INDEX(道具产出规划!$A:$A,SMALL(IF(LEN(INDIRECT(ADDRESS(3,MATCH(AE$3,道具产出规划!$2:$2,0),1,TRUE,"道具产出规划")):INDIRECT(ADDRESS(1000,MATCH(AE$3,道具产出规划!$2:$2,0),1,TRUE,"道具产出规划")))&gt;0,ROW(道具产出规划!$3:$998),2^20),ROW(道具产出规划!$A26)))&amp;""</f>
        <v/>
      </c>
      <c r="AC29" s="1" t="str">
        <f t="array" aca="1" ref="AC29" ca="1">INDEX(道具产出规划!$B:$B,SMALL(IF(LEN(INDIRECT(ADDRESS(3,MATCH(AE$3,道具产出规划!$2:$2,0),1,TRUE,"道具产出规划")):INDIRECT(ADDRESS(1000,MATCH(AE$3,道具产出规划!$2:$2,0),1,TRUE,"道具产出规划")))&gt;0,ROW(道具产出规划!$3:$998),2^20),ROW(道具产出规划!$A26)))&amp;""</f>
        <v/>
      </c>
      <c r="AD29" s="1" t="str">
        <f t="array" aca="1" ref="AD29" ca="1">INDEX(道具产出规划!$C:$C,SMALL(IF(LEN(INDIRECT(ADDRESS(3,MATCH(AE$3,道具产出规划!$2:$2,0),1,TRUE,"道具产出规划")):INDIRECT(ADDRESS(1000,MATCH(AE$3,道具产出规划!$2:$2,0),1,TRUE,"道具产出规划")))&gt;0,ROW(道具产出规划!$3:$998),2^20),ROW(道具产出规划!$A26)))&amp;""</f>
        <v/>
      </c>
      <c r="AE29" s="1" t="str">
        <f ca="1">IF(AB29="","",VLOOKUP(--AB29,道具产出规划!$A$2:$AN$238,MATCH(AE$3,道具产出规划!$2:$2,0),0))</f>
        <v/>
      </c>
    </row>
    <row r="30" spans="2:3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</row>
    <row r="31" spans="2:3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</row>
    <row r="32" spans="2:3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J32" t="s">
        <v>1707</v>
      </c>
    </row>
    <row r="33" spans="2:2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  <c r="S33">
        <v>20</v>
      </c>
      <c r="T33" t="s">
        <v>1709</v>
      </c>
      <c r="W33">
        <v>1000</v>
      </c>
    </row>
    <row r="34" spans="2:2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  <c r="S34">
        <v>30</v>
      </c>
      <c r="T34" t="s">
        <v>1710</v>
      </c>
      <c r="W34">
        <v>1000</v>
      </c>
    </row>
    <row r="35" spans="2:2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  <c r="R35" t="s">
        <v>1708</v>
      </c>
      <c r="S35">
        <v>40</v>
      </c>
      <c r="T35" t="s">
        <v>1711</v>
      </c>
      <c r="U35" t="s">
        <v>1712</v>
      </c>
      <c r="V35" t="s">
        <v>217</v>
      </c>
      <c r="W35">
        <v>500</v>
      </c>
      <c r="X35">
        <v>100</v>
      </c>
      <c r="Y35">
        <v>100</v>
      </c>
    </row>
    <row r="36" spans="2:2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  <c r="S36">
        <v>50</v>
      </c>
      <c r="T36" t="s">
        <v>1713</v>
      </c>
      <c r="U36" t="s">
        <v>219</v>
      </c>
      <c r="W36">
        <v>100</v>
      </c>
      <c r="X36">
        <v>100</v>
      </c>
    </row>
    <row r="37" spans="2:2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  <c r="S37">
        <v>60</v>
      </c>
      <c r="T37" t="s">
        <v>1714</v>
      </c>
      <c r="U37" t="s">
        <v>221</v>
      </c>
      <c r="W37">
        <v>75</v>
      </c>
      <c r="X37">
        <v>75</v>
      </c>
    </row>
    <row r="38" spans="2:2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  <c r="S38">
        <v>70</v>
      </c>
      <c r="T38" t="s">
        <v>1715</v>
      </c>
      <c r="U38" t="s">
        <v>223</v>
      </c>
      <c r="W38">
        <v>50</v>
      </c>
      <c r="X38">
        <v>50</v>
      </c>
    </row>
    <row r="39" spans="2:2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2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2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  <c r="K41" s="9"/>
    </row>
    <row r="42" spans="2:2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2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2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2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2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2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2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B3" sqref="B3:E61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1525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200169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经验宝珠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8.3</v>
      </c>
      <c r="E4" s="1">
        <f ca="1">IF(B4="","",VLOOKUP(--B4,道具产出规划!$A$2:$AN$238,MATCH(E$3,道具产出规划!$2:$2,0),0))</f>
        <v>1</v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IF(B5="","",VLOOKUP(--B5,道具产出规划!$A$2:$AN$238,MATCH(E$3,道具产出规划!$2:$2,0),0))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B3:U61"/>
  <sheetViews>
    <sheetView workbookViewId="0">
      <selection activeCell="J50" sqref="J50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2" max="12" width="11.5" customWidth="1"/>
  </cols>
  <sheetData>
    <row r="3" spans="2:8">
      <c r="B3" s="1" t="s">
        <v>1520</v>
      </c>
      <c r="C3" s="1" t="s">
        <v>1521</v>
      </c>
      <c r="D3" s="1" t="s">
        <v>1522</v>
      </c>
      <c r="E3" s="2" t="s">
        <v>1526</v>
      </c>
      <c r="H3" s="5" t="s">
        <v>1716</v>
      </c>
    </row>
    <row r="4" spans="2:8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200066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修炼丹库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12.1</v>
      </c>
      <c r="E4" s="1">
        <f ca="1">IF(B4="","",VLOOKUP(--B4,道具产出规划!$A$2:$AN$238,MATCH(E$3,道具产出规划!$2:$2,0),0))</f>
        <v>2</v>
      </c>
      <c r="F4" s="4">
        <f ca="1">E4*(1-H4)/12.5</f>
        <v>0.11199999999999999</v>
      </c>
      <c r="G4">
        <f ca="1">E4*H4/2.5</f>
        <v>0.24</v>
      </c>
      <c r="H4">
        <v>0.3</v>
      </c>
    </row>
    <row r="5" spans="2:8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200067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打造强化石库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</v>
      </c>
      <c r="E5" s="1">
        <f ca="1">IF(B5="","",VLOOKUP(--B5,道具产出规划!$A$2:$AN$238,MATCH(E$3,道具产出规划!$2:$2,0),0))</f>
        <v>1</v>
      </c>
      <c r="F5" s="4">
        <f t="shared" ref="F5" ca="1" si="0">E5*(1-H5)/12.5</f>
        <v>0.04</v>
      </c>
      <c r="G5">
        <f t="shared" ref="G5" ca="1" si="1">E5*H5/2.5</f>
        <v>0.2</v>
      </c>
      <c r="H5">
        <v>0.5</v>
      </c>
    </row>
    <row r="6" spans="2:8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200068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1级宝石库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5.7</v>
      </c>
      <c r="E6" s="1">
        <f ca="1">IF(B6="","",VLOOKUP(--B6,道具产出规划!$A$2:$AN$238,MATCH(E$3,道具产出规划!$2:$2,0),0))</f>
        <v>1</v>
      </c>
      <c r="F6" s="4">
        <f t="shared" ref="F6" ca="1" si="2">E6*(1-H6)/12.5</f>
        <v>5.5999999999999994E-2</v>
      </c>
      <c r="G6">
        <f t="shared" ref="G6" ca="1" si="3">E6*H6/2.5</f>
        <v>0.12</v>
      </c>
      <c r="H6">
        <v>0.3</v>
      </c>
    </row>
    <row r="7" spans="2:8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200069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2级宝石库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0.895</v>
      </c>
      <c r="E7" s="1">
        <f ca="1">IF(B7="","",VLOOKUP(--B7,道具产出规划!$A$2:$AN$238,MATCH(E$3,道具产出规划!$2:$2,0),0))</f>
        <v>0.5</v>
      </c>
      <c r="F7" s="4">
        <f t="shared" ref="F7:F13" ca="1" si="4">E7*(1-H7)/12.5</f>
        <v>2.7999999999999997E-2</v>
      </c>
      <c r="G7">
        <f t="shared" ref="G7:G13" ca="1" si="5">E7*H7/2.5</f>
        <v>0.06</v>
      </c>
      <c r="H7">
        <v>0.3</v>
      </c>
    </row>
    <row r="8" spans="2:8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200073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光环卷轴库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0.3</v>
      </c>
      <c r="E8" s="1">
        <f ca="1">IF(B8="","",VLOOKUP(--B8,道具产出规划!$A$2:$AN$238,MATCH(E$3,道具产出规划!$2:$2,0),0))</f>
        <v>0.1</v>
      </c>
      <c r="F8" s="4">
        <f t="shared" ca="1" si="4"/>
        <v>0</v>
      </c>
      <c r="G8">
        <f t="shared" ca="1" si="5"/>
        <v>0.04</v>
      </c>
      <c r="H8">
        <v>1</v>
      </c>
    </row>
    <row r="9" spans="2:8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200168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恢复合剂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1</v>
      </c>
      <c r="E9" s="1">
        <f ca="1">IF(B9="","",VLOOKUP(--B9,道具产出规划!$A$2:$AN$238,MATCH(E$3,道具产出规划!$2:$2,0),0))</f>
        <v>1</v>
      </c>
      <c r="F9" s="4">
        <f t="shared" ca="1" si="4"/>
        <v>0.08</v>
      </c>
      <c r="G9">
        <f t="shared" ca="1" si="5"/>
        <v>0</v>
      </c>
      <c r="H9">
        <v>0</v>
      </c>
    </row>
    <row r="10" spans="2:8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200169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经验宝珠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8.3</v>
      </c>
      <c r="E10" s="1">
        <f ca="1">IF(B10="","",VLOOKUP(--B10,道具产出规划!$A$2:$AN$238,MATCH(E$3,道具产出规划!$2:$2,0),0))</f>
        <v>0.5</v>
      </c>
      <c r="F10" s="4">
        <f t="shared" ca="1" si="4"/>
        <v>2.7999999999999997E-2</v>
      </c>
      <c r="G10">
        <f t="shared" ca="1" si="5"/>
        <v>0.06</v>
      </c>
      <c r="H10">
        <v>0.3</v>
      </c>
    </row>
    <row r="11" spans="2:8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200172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光环卷轴碎片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4.9</v>
      </c>
      <c r="E11" s="1">
        <f ca="1">IF(B11="","",VLOOKUP(--B11,道具产出规划!$A$2:$AN$238,MATCH(E$3,道具产出规划!$2:$2,0),0))</f>
        <v>2</v>
      </c>
      <c r="F11" s="4">
        <f t="shared" ca="1" si="4"/>
        <v>0.11199999999999999</v>
      </c>
      <c r="G11">
        <f t="shared" ca="1" si="5"/>
        <v>0.24</v>
      </c>
      <c r="H11">
        <v>0.3</v>
      </c>
    </row>
    <row r="12" spans="2:8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200176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兽王纲要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0.04</v>
      </c>
      <c r="E12" s="1">
        <f ca="1">IF(B12="","",VLOOKUP(--B12,道具产出规划!$A$2:$AN$238,MATCH(E$3,道具产出规划!$2:$2,0),0))</f>
        <v>0.04</v>
      </c>
      <c r="F12" s="4">
        <f t="shared" ca="1" si="4"/>
        <v>1.1999999999999999E-3</v>
      </c>
      <c r="G12">
        <f t="shared" ca="1" si="5"/>
        <v>0.01</v>
      </c>
      <c r="H12">
        <v>0.625</v>
      </c>
    </row>
    <row r="13" spans="2:8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200177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太阳井水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2.8</v>
      </c>
      <c r="E13" s="1">
        <f ca="1">IF(B13="","",VLOOKUP(--B13,道具产出规划!$A$2:$AN$238,MATCH(E$3,道具产出规划!$2:$2,0),0))</f>
        <v>0.25</v>
      </c>
      <c r="F13" s="4">
        <f t="shared" ca="1" si="4"/>
        <v>1.3999999999999999E-2</v>
      </c>
      <c r="G13">
        <f t="shared" ca="1" si="5"/>
        <v>0.03</v>
      </c>
      <c r="H13">
        <v>0.3</v>
      </c>
    </row>
    <row r="14" spans="2:8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8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8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2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  <c r="M17" s="10" t="s">
        <v>1717</v>
      </c>
      <c r="N17" s="10" t="s">
        <v>1718</v>
      </c>
      <c r="O17" s="10" t="s">
        <v>1719</v>
      </c>
      <c r="P17" s="10" t="s">
        <v>1720</v>
      </c>
      <c r="Q17" s="10" t="s">
        <v>1721</v>
      </c>
    </row>
    <row r="18" spans="2:2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  <c r="K18" t="s">
        <v>1722</v>
      </c>
      <c r="L18" t="s">
        <v>1401</v>
      </c>
      <c r="M18">
        <v>0.112</v>
      </c>
      <c r="N18">
        <v>0.14000000000000001</v>
      </c>
      <c r="O18">
        <v>0.24</v>
      </c>
      <c r="P18">
        <v>0.27</v>
      </c>
      <c r="Q18">
        <v>0.31</v>
      </c>
    </row>
    <row r="19" spans="2:2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  <c r="K19" s="9">
        <v>200067</v>
      </c>
      <c r="L19" t="s">
        <v>1402</v>
      </c>
      <c r="M19">
        <v>0.04</v>
      </c>
      <c r="N19">
        <v>0.2</v>
      </c>
      <c r="O19">
        <v>0.2</v>
      </c>
      <c r="P19">
        <v>0.13</v>
      </c>
      <c r="Q19">
        <v>0</v>
      </c>
    </row>
    <row r="20" spans="2:2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  <c r="K20" t="s">
        <v>1723</v>
      </c>
      <c r="L20" t="s">
        <v>1403</v>
      </c>
      <c r="M20">
        <v>5.6000000000000001E-2</v>
      </c>
      <c r="N20">
        <v>0.12</v>
      </c>
      <c r="O20">
        <v>0.12</v>
      </c>
      <c r="P20">
        <v>0.12</v>
      </c>
      <c r="Q20">
        <v>0.19</v>
      </c>
    </row>
    <row r="21" spans="2:2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  <c r="K21" t="s">
        <v>1724</v>
      </c>
      <c r="L21" t="s">
        <v>1404</v>
      </c>
      <c r="M21">
        <v>2.8000000000000001E-2</v>
      </c>
      <c r="N21">
        <v>0.11</v>
      </c>
      <c r="O21">
        <v>0.06</v>
      </c>
      <c r="P21">
        <v>0.03</v>
      </c>
      <c r="Q21">
        <v>0</v>
      </c>
    </row>
    <row r="22" spans="2:2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  <c r="K22" t="s">
        <v>1725</v>
      </c>
      <c r="L22" t="s">
        <v>1408</v>
      </c>
      <c r="M22">
        <v>0</v>
      </c>
      <c r="N22">
        <v>0.04</v>
      </c>
      <c r="O22">
        <v>0.04</v>
      </c>
      <c r="P22">
        <v>0.02</v>
      </c>
      <c r="Q22">
        <v>0</v>
      </c>
    </row>
    <row r="23" spans="2:2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  <c r="K23" t="s">
        <v>1726</v>
      </c>
      <c r="L23" t="s">
        <v>72</v>
      </c>
      <c r="M23">
        <v>0.08</v>
      </c>
      <c r="N23">
        <v>0</v>
      </c>
      <c r="O23">
        <v>0</v>
      </c>
      <c r="P23">
        <v>0</v>
      </c>
      <c r="Q23">
        <v>0</v>
      </c>
    </row>
    <row r="24" spans="2:2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 t="s">
        <v>129</v>
      </c>
      <c r="L24" t="s">
        <v>131</v>
      </c>
      <c r="M24">
        <v>2.8000000000000001E-2</v>
      </c>
      <c r="N24">
        <v>0.11</v>
      </c>
      <c r="O24">
        <v>0.06</v>
      </c>
      <c r="P24">
        <v>0.1</v>
      </c>
      <c r="Q24">
        <v>0.13</v>
      </c>
    </row>
    <row r="25" spans="2:2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  <c r="K25" t="s">
        <v>1090</v>
      </c>
      <c r="L25" t="s">
        <v>1092</v>
      </c>
      <c r="M25">
        <v>0.112</v>
      </c>
      <c r="N25">
        <v>0.14000000000000001</v>
      </c>
      <c r="O25">
        <v>0.24</v>
      </c>
      <c r="P25">
        <v>0.27</v>
      </c>
      <c r="Q25">
        <v>0.31</v>
      </c>
    </row>
    <row r="26" spans="2:2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  <c r="K26" t="s">
        <v>1727</v>
      </c>
      <c r="L26" t="s">
        <v>850</v>
      </c>
      <c r="M26">
        <v>1.1999999999999999E-3</v>
      </c>
      <c r="N26">
        <v>0.06</v>
      </c>
      <c r="O26">
        <v>0.01</v>
      </c>
      <c r="P26">
        <v>0</v>
      </c>
      <c r="Q26">
        <v>0</v>
      </c>
    </row>
    <row r="27" spans="2:2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  <c r="K27" t="s">
        <v>1728</v>
      </c>
      <c r="L27" t="s">
        <v>855</v>
      </c>
      <c r="M27">
        <v>1.4E-2</v>
      </c>
      <c r="N27">
        <v>0.08</v>
      </c>
      <c r="O27">
        <v>0.03</v>
      </c>
      <c r="P27">
        <v>0.06</v>
      </c>
      <c r="Q27">
        <v>0.06</v>
      </c>
    </row>
    <row r="28" spans="2:2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2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2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2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  <c r="L31" t="s">
        <v>1722</v>
      </c>
      <c r="M31" t="s">
        <v>1729</v>
      </c>
      <c r="N31" t="s">
        <v>1723</v>
      </c>
      <c r="O31" t="s">
        <v>1724</v>
      </c>
      <c r="P31" t="s">
        <v>1725</v>
      </c>
      <c r="Q31" t="s">
        <v>1726</v>
      </c>
      <c r="R31" t="s">
        <v>129</v>
      </c>
      <c r="S31" t="s">
        <v>1090</v>
      </c>
      <c r="T31" t="s">
        <v>1727</v>
      </c>
      <c r="U31" t="s">
        <v>1728</v>
      </c>
    </row>
    <row r="32" spans="2:2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21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  <c r="K33" t="s">
        <v>1717</v>
      </c>
      <c r="L33">
        <v>112</v>
      </c>
      <c r="M33">
        <v>40</v>
      </c>
      <c r="N33">
        <v>56</v>
      </c>
      <c r="O33">
        <v>28</v>
      </c>
      <c r="P33">
        <v>0</v>
      </c>
      <c r="Q33">
        <v>80</v>
      </c>
      <c r="R33">
        <v>28</v>
      </c>
      <c r="S33">
        <v>112</v>
      </c>
      <c r="T33">
        <v>1</v>
      </c>
      <c r="U33">
        <v>14</v>
      </c>
    </row>
    <row r="34" spans="2:21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  <c r="K34" t="s">
        <v>1718</v>
      </c>
      <c r="L34">
        <v>140</v>
      </c>
      <c r="M34">
        <v>200</v>
      </c>
      <c r="N34">
        <v>120</v>
      </c>
      <c r="O34">
        <v>110</v>
      </c>
      <c r="P34">
        <v>40</v>
      </c>
      <c r="Q34">
        <v>0</v>
      </c>
      <c r="R34">
        <v>110</v>
      </c>
      <c r="S34">
        <v>140</v>
      </c>
      <c r="T34">
        <v>60</v>
      </c>
      <c r="U34">
        <v>80</v>
      </c>
    </row>
    <row r="35" spans="2:21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  <c r="K35" t="s">
        <v>1719</v>
      </c>
      <c r="L35">
        <v>240</v>
      </c>
      <c r="M35">
        <v>200</v>
      </c>
      <c r="N35">
        <v>120</v>
      </c>
      <c r="O35">
        <v>60</v>
      </c>
      <c r="P35">
        <v>40</v>
      </c>
      <c r="Q35">
        <v>0</v>
      </c>
      <c r="R35">
        <v>60</v>
      </c>
      <c r="S35">
        <v>240</v>
      </c>
      <c r="T35">
        <v>10</v>
      </c>
      <c r="U35">
        <v>30</v>
      </c>
    </row>
    <row r="36" spans="2:21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  <c r="K36" t="s">
        <v>1720</v>
      </c>
      <c r="L36">
        <v>270</v>
      </c>
      <c r="M36">
        <v>130</v>
      </c>
      <c r="N36">
        <v>120</v>
      </c>
      <c r="O36">
        <v>30</v>
      </c>
      <c r="P36">
        <v>20</v>
      </c>
      <c r="Q36">
        <v>0</v>
      </c>
      <c r="R36">
        <v>100</v>
      </c>
      <c r="S36">
        <v>270</v>
      </c>
      <c r="T36">
        <v>0</v>
      </c>
      <c r="U36">
        <v>60</v>
      </c>
    </row>
    <row r="37" spans="2:21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  <c r="K37" t="s">
        <v>1721</v>
      </c>
      <c r="L37">
        <v>310</v>
      </c>
      <c r="M37">
        <v>0</v>
      </c>
      <c r="N37">
        <v>190</v>
      </c>
      <c r="O37">
        <v>0</v>
      </c>
      <c r="P37">
        <v>0</v>
      </c>
      <c r="Q37">
        <v>0</v>
      </c>
      <c r="R37">
        <v>130</v>
      </c>
      <c r="S37">
        <v>310</v>
      </c>
      <c r="T37">
        <v>0</v>
      </c>
      <c r="U37">
        <v>60</v>
      </c>
    </row>
    <row r="38" spans="2:21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21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  <c r="K39" t="s">
        <v>1730</v>
      </c>
    </row>
    <row r="40" spans="2:21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21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  <c r="K41">
        <v>1</v>
      </c>
      <c r="L41" t="s">
        <v>1406</v>
      </c>
      <c r="N41">
        <v>200071</v>
      </c>
      <c r="O41">
        <v>3</v>
      </c>
    </row>
    <row r="42" spans="2:21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  <c r="K42">
        <v>2</v>
      </c>
      <c r="L42" t="s">
        <v>1406</v>
      </c>
      <c r="N42">
        <v>200071</v>
      </c>
      <c r="O42">
        <v>2</v>
      </c>
    </row>
    <row r="43" spans="2:21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  <c r="K43">
        <v>3</v>
      </c>
      <c r="L43" t="s">
        <v>1406</v>
      </c>
      <c r="N43">
        <v>200071</v>
      </c>
      <c r="O43">
        <v>2</v>
      </c>
    </row>
    <row r="44" spans="2:21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  <c r="K44">
        <v>4</v>
      </c>
      <c r="L44" t="s">
        <v>1406</v>
      </c>
      <c r="N44">
        <v>200071</v>
      </c>
      <c r="O44">
        <v>1</v>
      </c>
    </row>
    <row r="45" spans="2:21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  <c r="K45">
        <v>5</v>
      </c>
      <c r="L45" t="s">
        <v>1406</v>
      </c>
      <c r="N45">
        <v>200071</v>
      </c>
      <c r="O45">
        <v>1</v>
      </c>
    </row>
    <row r="46" spans="2:21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  <c r="K46">
        <v>6</v>
      </c>
      <c r="L46" t="s">
        <v>1406</v>
      </c>
      <c r="N46">
        <v>200071</v>
      </c>
      <c r="O46">
        <v>1</v>
      </c>
    </row>
    <row r="47" spans="2:21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  <c r="K47">
        <v>7</v>
      </c>
      <c r="L47" t="s">
        <v>1402</v>
      </c>
      <c r="N47">
        <v>200067</v>
      </c>
      <c r="O47">
        <v>1</v>
      </c>
    </row>
    <row r="48" spans="2:21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  <c r="K48">
        <v>8</v>
      </c>
      <c r="L48" t="s">
        <v>1402</v>
      </c>
      <c r="N48">
        <v>200067</v>
      </c>
      <c r="O48">
        <v>1</v>
      </c>
    </row>
    <row r="49" spans="2:1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  <c r="K49">
        <v>9</v>
      </c>
      <c r="L49" t="s">
        <v>1402</v>
      </c>
      <c r="N49">
        <v>200067</v>
      </c>
      <c r="O49">
        <v>1</v>
      </c>
    </row>
    <row r="50" spans="2:1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  <c r="K50">
        <v>10</v>
      </c>
      <c r="L50" t="s">
        <v>1402</v>
      </c>
      <c r="N50">
        <v>200067</v>
      </c>
      <c r="O50">
        <v>1</v>
      </c>
    </row>
    <row r="51" spans="2:1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1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1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1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1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1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1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1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1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1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1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B3:AH61"/>
  <sheetViews>
    <sheetView topLeftCell="A10" workbookViewId="0">
      <selection activeCell="N30" sqref="N30"/>
    </sheetView>
  </sheetViews>
  <sheetFormatPr defaultColWidth="9" defaultRowHeight="13.5"/>
  <cols>
    <col min="1" max="1" width="11.125" customWidth="1"/>
    <col min="2" max="2" width="8.625" customWidth="1"/>
    <col min="3" max="3" width="14.375" customWidth="1"/>
    <col min="4" max="4" width="8.625" customWidth="1"/>
    <col min="5" max="6" width="10.25" customWidth="1"/>
    <col min="7" max="7" width="8.625" customWidth="1"/>
    <col min="10" max="10" width="13.875" customWidth="1"/>
    <col min="13" max="13" width="11.25" customWidth="1"/>
    <col min="14" max="14" width="13.625" customWidth="1"/>
    <col min="15" max="15" width="14.25" customWidth="1"/>
    <col min="16" max="16" width="19.625" customWidth="1"/>
  </cols>
  <sheetData>
    <row r="3" spans="2:28">
      <c r="B3" s="1" t="s">
        <v>1520</v>
      </c>
      <c r="C3" s="1" t="s">
        <v>1521</v>
      </c>
      <c r="D3" s="1" t="s">
        <v>1522</v>
      </c>
      <c r="E3" s="2" t="s">
        <v>1803</v>
      </c>
      <c r="F3" s="15" t="s">
        <v>1731</v>
      </c>
      <c r="G3" s="10" t="s">
        <v>1703</v>
      </c>
      <c r="H3" t="s">
        <v>1732</v>
      </c>
      <c r="I3" t="s">
        <v>1568</v>
      </c>
    </row>
    <row r="4" spans="2:28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200068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1级宝石库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5.7</v>
      </c>
      <c r="E4" s="1">
        <f ca="1">IF(B4="","",VLOOKUP(--B4,道具产出规划!$A$2:$AN$238,MATCH(E$3,道具产出规划!$2:$2,0),0))</f>
        <v>1</v>
      </c>
      <c r="F4" s="4">
        <v>10</v>
      </c>
      <c r="G4" s="4">
        <f t="shared" ref="G4" ca="1" si="0">E4/10</f>
        <v>0.1</v>
      </c>
      <c r="H4">
        <f t="shared" ref="H4" ca="1" si="1">G4*1000</f>
        <v>100</v>
      </c>
      <c r="I4">
        <v>1000</v>
      </c>
    </row>
    <row r="5" spans="2:28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200071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低级魔兽要诀库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0.465</v>
      </c>
      <c r="E5" s="1">
        <f ca="1">IF(B5="","",VLOOKUP(--B5,道具产出规划!$A$2:$AN$238,MATCH(E$3,道具产出规划!$2:$2,0),0))</f>
        <v>0.2</v>
      </c>
      <c r="F5" s="4">
        <v>10</v>
      </c>
      <c r="G5" s="4">
        <f t="shared" ref="G5" ca="1" si="2">E5/10</f>
        <v>0.02</v>
      </c>
      <c r="H5">
        <f t="shared" ref="H5" ca="1" si="3">G5*1000</f>
        <v>20</v>
      </c>
      <c r="I5">
        <v>1000</v>
      </c>
    </row>
    <row r="6" spans="2:28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200073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光环卷轴库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0.3</v>
      </c>
      <c r="E6" s="1">
        <f ca="1">IF(B6="","",VLOOKUP(--B6,道具产出规划!$A$2:$AN$238,MATCH(E$3,道具产出规划!$2:$2,0),0))</f>
        <v>0.2</v>
      </c>
      <c r="F6" s="4">
        <v>10</v>
      </c>
      <c r="G6" s="4">
        <f t="shared" ref="G6:G12" ca="1" si="4">E6/10</f>
        <v>0.02</v>
      </c>
      <c r="H6">
        <f t="shared" ref="H6:H26" ca="1" si="5">G6*1000</f>
        <v>20</v>
      </c>
      <c r="I6">
        <v>1000</v>
      </c>
    </row>
    <row r="7" spans="2:28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200075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普通五宝库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1.49</v>
      </c>
      <c r="E7" s="1">
        <f ca="1">IF(B7="","",VLOOKUP(--B7,道具产出规划!$A$2:$AN$238,MATCH(E$3,道具产出规划!$2:$2,0),0))</f>
        <v>0.3</v>
      </c>
      <c r="F7" s="4">
        <v>10</v>
      </c>
      <c r="G7" s="4">
        <f t="shared" ca="1" si="4"/>
        <v>0.03</v>
      </c>
      <c r="H7">
        <f t="shared" ca="1" si="5"/>
        <v>30</v>
      </c>
      <c r="I7">
        <v>1000</v>
      </c>
    </row>
    <row r="8" spans="2:28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200172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光环卷轴碎片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4.9</v>
      </c>
      <c r="E8" s="1">
        <f ca="1">IF(B8="","",VLOOKUP(--B8,道具产出规划!$A$2:$AN$238,MATCH(E$3,道具产出规划!$2:$2,0),0))</f>
        <v>0.5</v>
      </c>
      <c r="F8" s="4">
        <v>10</v>
      </c>
      <c r="G8" s="4">
        <f t="shared" ca="1" si="4"/>
        <v>0.05</v>
      </c>
      <c r="H8">
        <f t="shared" ca="1" si="5"/>
        <v>50</v>
      </c>
      <c r="I8">
        <v>1000</v>
      </c>
    </row>
    <row r="9" spans="2:28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200173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营养套餐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1.9</v>
      </c>
      <c r="E9" s="1">
        <f ca="1">IF(B9="","",VLOOKUP(--B9,道具产出规划!$A$2:$AN$238,MATCH(E$3,道具产出规划!$2:$2,0),0))</f>
        <v>0.4</v>
      </c>
      <c r="F9" s="4">
        <v>10</v>
      </c>
      <c r="G9" s="4">
        <f t="shared" ca="1" si="4"/>
        <v>0.04</v>
      </c>
      <c r="H9">
        <f t="shared" ca="1" si="5"/>
        <v>40</v>
      </c>
      <c r="I9">
        <v>1000</v>
      </c>
    </row>
    <row r="10" spans="2:28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200174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高级营养套餐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0.9</v>
      </c>
      <c r="E10" s="1">
        <f ca="1">IF(B10="","",VLOOKUP(--B10,道具产出规划!$A$2:$AN$238,MATCH(E$3,道具产出规划!$2:$2,0),0))</f>
        <v>0.2</v>
      </c>
      <c r="F10" s="4">
        <v>10</v>
      </c>
      <c r="G10" s="4">
        <f t="shared" ca="1" si="4"/>
        <v>0.02</v>
      </c>
      <c r="H10">
        <f t="shared" ca="1" si="5"/>
        <v>20</v>
      </c>
      <c r="I10">
        <v>1000</v>
      </c>
      <c r="P10" t="s">
        <v>1733</v>
      </c>
    </row>
    <row r="11" spans="2:28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200177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太阳井水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2.8</v>
      </c>
      <c r="E11" s="1">
        <f ca="1">IF(B11="","",VLOOKUP(--B11,道具产出规划!$A$2:$AN$238,MATCH(E$3,道具产出规划!$2:$2,0),0))</f>
        <v>0.25</v>
      </c>
      <c r="F11" s="4">
        <v>10</v>
      </c>
      <c r="G11" s="4">
        <f t="shared" ca="1" si="4"/>
        <v>2.5000000000000001E-2</v>
      </c>
      <c r="H11">
        <f t="shared" ca="1" si="5"/>
        <v>25</v>
      </c>
      <c r="I11">
        <v>1000</v>
      </c>
    </row>
    <row r="12" spans="2:28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200180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藏宝图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12.39</v>
      </c>
      <c r="E12" s="1">
        <f ca="1">IF(B12="","",VLOOKUP(--B12,道具产出规划!$A$2:$AN$238,MATCH(E$3,道具产出规划!$2:$2,0),0))</f>
        <v>10</v>
      </c>
      <c r="F12" s="4">
        <v>10</v>
      </c>
      <c r="G12" s="4">
        <f t="shared" ca="1" si="4"/>
        <v>1</v>
      </c>
      <c r="H12">
        <f t="shared" ca="1" si="5"/>
        <v>1000</v>
      </c>
      <c r="I12">
        <v>1000</v>
      </c>
      <c r="K12" t="s">
        <v>1734</v>
      </c>
      <c r="M12" s="18">
        <v>200068</v>
      </c>
      <c r="N12" s="18">
        <v>200071</v>
      </c>
      <c r="O12" s="18">
        <v>200073</v>
      </c>
      <c r="P12" s="18">
        <v>200075</v>
      </c>
      <c r="Q12" s="18">
        <v>200076</v>
      </c>
      <c r="R12" s="18">
        <v>200172</v>
      </c>
      <c r="S12" s="18">
        <v>200173</v>
      </c>
      <c r="T12" s="18">
        <v>200174</v>
      </c>
      <c r="U12" s="18">
        <v>200177</v>
      </c>
      <c r="V12" s="18">
        <v>200188</v>
      </c>
      <c r="W12" s="18">
        <v>200079</v>
      </c>
      <c r="X12" s="18">
        <v>200108</v>
      </c>
      <c r="Y12" s="18">
        <v>200109</v>
      </c>
      <c r="Z12" s="18" t="s">
        <v>1735</v>
      </c>
      <c r="AA12" s="18" t="s">
        <v>1735</v>
      </c>
      <c r="AB12" s="18" t="s">
        <v>1735</v>
      </c>
    </row>
    <row r="13" spans="2:28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200188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30级铁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0.1</v>
      </c>
      <c r="E13" s="1">
        <f ca="1">IF(B13="","",VLOOKUP(--B13,道具产出规划!$A$2:$AN$238,MATCH(E$3,道具产出规划!$2:$2,0),0))</f>
        <v>0.1</v>
      </c>
      <c r="F13" s="4">
        <v>15</v>
      </c>
      <c r="G13" s="17">
        <v>0.66</v>
      </c>
      <c r="H13" s="16">
        <f t="shared" si="5"/>
        <v>660</v>
      </c>
      <c r="I13" s="16">
        <v>1000</v>
      </c>
      <c r="K13" t="s">
        <v>1736</v>
      </c>
      <c r="M13" s="18">
        <v>200068</v>
      </c>
      <c r="N13" s="18">
        <v>200071</v>
      </c>
      <c r="O13" s="18">
        <v>200073</v>
      </c>
      <c r="P13" s="18">
        <v>200075</v>
      </c>
      <c r="Q13" s="18">
        <v>200076</v>
      </c>
      <c r="R13" s="18">
        <v>200172</v>
      </c>
      <c r="S13" s="18">
        <v>200173</v>
      </c>
      <c r="T13" s="18">
        <v>200174</v>
      </c>
      <c r="U13" s="18">
        <v>200177</v>
      </c>
      <c r="V13" s="18">
        <v>200188</v>
      </c>
      <c r="W13" s="18">
        <v>200189</v>
      </c>
      <c r="X13" s="18">
        <v>200079</v>
      </c>
      <c r="Y13" s="18">
        <v>200080</v>
      </c>
      <c r="Z13" s="18">
        <v>200109</v>
      </c>
      <c r="AA13" s="18">
        <v>200110</v>
      </c>
      <c r="AB13" s="18" t="s">
        <v>1735</v>
      </c>
    </row>
    <row r="14" spans="2:28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200189</v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40级铁</v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0.7</v>
      </c>
      <c r="E14" s="1">
        <f ca="1">IF(B14="","",VLOOKUP(--B14,道具产出规划!$A$2:$AN$238,MATCH(E$3,道具产出规划!$2:$2,0),0))</f>
        <v>0.2</v>
      </c>
      <c r="F14" s="4">
        <v>10</v>
      </c>
      <c r="G14" s="4">
        <f t="shared" ref="G14" ca="1" si="6">E14/10</f>
        <v>0.02</v>
      </c>
      <c r="H14">
        <f t="shared" ca="1" si="5"/>
        <v>20</v>
      </c>
      <c r="I14">
        <v>1000</v>
      </c>
      <c r="K14" t="s">
        <v>1737</v>
      </c>
      <c r="M14" s="18">
        <v>200068</v>
      </c>
      <c r="N14" s="18">
        <v>200071</v>
      </c>
      <c r="O14" s="18">
        <v>200073</v>
      </c>
      <c r="P14" s="18">
        <v>200075</v>
      </c>
      <c r="Q14" s="18">
        <v>200076</v>
      </c>
      <c r="R14" s="18">
        <v>200172</v>
      </c>
      <c r="S14" s="18">
        <v>200173</v>
      </c>
      <c r="T14" s="18">
        <v>200174</v>
      </c>
      <c r="U14" s="18">
        <v>200177</v>
      </c>
      <c r="V14" s="18">
        <v>200189</v>
      </c>
      <c r="W14" s="18">
        <v>200190</v>
      </c>
      <c r="X14" s="18">
        <v>200080</v>
      </c>
      <c r="Y14" s="18">
        <v>200081</v>
      </c>
      <c r="Z14" s="18">
        <v>200110</v>
      </c>
      <c r="AA14" s="18">
        <v>200111</v>
      </c>
      <c r="AB14" s="18" t="s">
        <v>1735</v>
      </c>
    </row>
    <row r="15" spans="2:28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200190</v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50级铁</v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0.546</v>
      </c>
      <c r="E15" s="1">
        <f ca="1">IF(B15="","",VLOOKUP(--B15,道具产出规划!$A$2:$AN$238,MATCH(E$3,道具产出规划!$2:$2,0),0))</f>
        <v>0.1</v>
      </c>
      <c r="F15" s="4">
        <v>10</v>
      </c>
      <c r="G15" s="4">
        <f t="shared" ref="G15" ca="1" si="7">E15/10</f>
        <v>0.01</v>
      </c>
      <c r="H15">
        <f t="shared" ca="1" si="5"/>
        <v>10</v>
      </c>
      <c r="I15">
        <v>1000</v>
      </c>
      <c r="K15" t="s">
        <v>1738</v>
      </c>
      <c r="M15" s="18">
        <v>200068</v>
      </c>
      <c r="N15" s="18">
        <v>200071</v>
      </c>
      <c r="O15" s="18">
        <v>200073</v>
      </c>
      <c r="P15" s="18">
        <v>200075</v>
      </c>
      <c r="Q15" s="18">
        <v>200076</v>
      </c>
      <c r="R15" s="18">
        <v>200172</v>
      </c>
      <c r="S15" s="18">
        <v>200173</v>
      </c>
      <c r="T15" s="18">
        <v>200174</v>
      </c>
      <c r="U15" s="18">
        <v>200177</v>
      </c>
      <c r="V15" s="18">
        <v>200190</v>
      </c>
      <c r="W15" s="18">
        <v>200191</v>
      </c>
      <c r="X15" s="18">
        <v>200081</v>
      </c>
      <c r="Y15" s="18">
        <v>200082</v>
      </c>
      <c r="Z15" s="18">
        <v>200111</v>
      </c>
      <c r="AA15" s="18">
        <v>200112</v>
      </c>
      <c r="AB15" s="18" t="s">
        <v>1735</v>
      </c>
    </row>
    <row r="16" spans="2:28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200191</v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60级铁</v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0.346</v>
      </c>
      <c r="E16" s="1">
        <f ca="1">IF(B16="","",VLOOKUP(--B16,道具产出规划!$A$2:$AN$238,MATCH(E$3,道具产出规划!$2:$2,0),0))</f>
        <v>0.05</v>
      </c>
      <c r="F16" s="4">
        <v>10</v>
      </c>
      <c r="G16" s="4">
        <f t="shared" ref="G16:G26" ca="1" si="8">E16/10</f>
        <v>5.0000000000000001E-3</v>
      </c>
      <c r="H16">
        <f t="shared" ca="1" si="5"/>
        <v>5</v>
      </c>
      <c r="I16">
        <v>1000</v>
      </c>
      <c r="K16" t="s">
        <v>1739</v>
      </c>
      <c r="M16" s="18">
        <v>200068</v>
      </c>
      <c r="N16" s="18">
        <v>200071</v>
      </c>
      <c r="O16" s="18">
        <v>200073</v>
      </c>
      <c r="P16" s="18">
        <v>200075</v>
      </c>
      <c r="Q16" s="18">
        <v>200076</v>
      </c>
      <c r="R16" s="18">
        <v>200172</v>
      </c>
      <c r="S16" s="18">
        <v>200173</v>
      </c>
      <c r="T16" s="18">
        <v>200174</v>
      </c>
      <c r="U16" s="18">
        <v>200177</v>
      </c>
      <c r="V16" s="18">
        <v>200190</v>
      </c>
      <c r="W16" s="18">
        <v>200191</v>
      </c>
      <c r="X16" s="18">
        <v>200081</v>
      </c>
      <c r="Y16" s="18">
        <v>200082</v>
      </c>
      <c r="Z16" s="18">
        <v>200111</v>
      </c>
      <c r="AA16" s="18">
        <v>200112</v>
      </c>
      <c r="AB16" s="18">
        <v>200113</v>
      </c>
    </row>
    <row r="17" spans="2:34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200079</v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30级打造图纸库</v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0.1</v>
      </c>
      <c r="E17" s="1">
        <f ca="1">IF(B17="","",VLOOKUP(--B17,道具产出规划!$A$2:$AN$238,MATCH(E$3,道具产出规划!$2:$2,0),0))</f>
        <v>0.1</v>
      </c>
      <c r="F17" s="4">
        <v>10</v>
      </c>
      <c r="G17" s="4">
        <f t="shared" ca="1" si="8"/>
        <v>0.01</v>
      </c>
      <c r="H17">
        <f t="shared" ca="1" si="5"/>
        <v>10</v>
      </c>
      <c r="I17">
        <v>1000</v>
      </c>
    </row>
    <row r="18" spans="2:34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200080</v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40级打造图纸库</v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0.7</v>
      </c>
      <c r="E18" s="1">
        <f ca="1">IF(B18="","",VLOOKUP(--B18,道具产出规划!$A$2:$AN$238,MATCH(E$3,道具产出规划!$2:$2,0),0))</f>
        <v>0.2</v>
      </c>
      <c r="F18" s="4">
        <v>10</v>
      </c>
      <c r="G18" s="4">
        <f t="shared" ca="1" si="8"/>
        <v>0.02</v>
      </c>
      <c r="H18">
        <f t="shared" ca="1" si="5"/>
        <v>20</v>
      </c>
      <c r="I18">
        <v>1000</v>
      </c>
    </row>
    <row r="19" spans="2:34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200081</v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50级打造图纸库</v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0.546</v>
      </c>
      <c r="E19" s="1">
        <f ca="1">IF(B19="","",VLOOKUP(--B19,道具产出规划!$A$2:$AN$238,MATCH(E$3,道具产出规划!$2:$2,0),0))</f>
        <v>0.1</v>
      </c>
      <c r="F19" s="4">
        <v>10</v>
      </c>
      <c r="G19" s="4">
        <f t="shared" ca="1" si="8"/>
        <v>0.01</v>
      </c>
      <c r="H19">
        <f t="shared" ca="1" si="5"/>
        <v>10</v>
      </c>
      <c r="I19">
        <v>1000</v>
      </c>
    </row>
    <row r="20" spans="2:34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200082</v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60级打造图纸库</v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0.346</v>
      </c>
      <c r="E20" s="1">
        <f ca="1">IF(B20="","",VLOOKUP(--B20,道具产出规划!$A$2:$AN$238,MATCH(E$3,道具产出规划!$2:$2,0),0))</f>
        <v>0.05</v>
      </c>
      <c r="F20" s="4">
        <v>10</v>
      </c>
      <c r="G20" s="4">
        <f t="shared" ca="1" si="8"/>
        <v>5.0000000000000001E-3</v>
      </c>
      <c r="H20">
        <f t="shared" ca="1" si="5"/>
        <v>5</v>
      </c>
      <c r="I20">
        <v>1000</v>
      </c>
      <c r="O20" s="170" t="s">
        <v>1740</v>
      </c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</row>
    <row r="21" spans="2:34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200108</v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20级绿装库</v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5.5</v>
      </c>
      <c r="E21" s="1">
        <f ca="1">IF(B21="","",VLOOKUP(--B21,道具产出规划!$A$2:$AN$238,MATCH(E$3,道具产出规划!$2:$2,0),0))</f>
        <v>0.5</v>
      </c>
      <c r="F21" s="4">
        <v>10</v>
      </c>
      <c r="G21" s="4">
        <f t="shared" ca="1" si="8"/>
        <v>0.05</v>
      </c>
      <c r="H21">
        <f t="shared" ca="1" si="5"/>
        <v>50</v>
      </c>
      <c r="I21">
        <v>1000</v>
      </c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</row>
    <row r="22" spans="2:34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200109</v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30级绿装库</v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4.5</v>
      </c>
      <c r="E22" s="1">
        <f ca="1">IF(B22="","",VLOOKUP(--B22,道具产出规划!$A$2:$AN$238,MATCH(E$3,道具产出规划!$2:$2,0),0))</f>
        <v>0.5</v>
      </c>
      <c r="F22" s="4">
        <v>10</v>
      </c>
      <c r="G22" s="4">
        <f t="shared" ca="1" si="8"/>
        <v>0.05</v>
      </c>
      <c r="H22">
        <f t="shared" ca="1" si="5"/>
        <v>50</v>
      </c>
      <c r="I22">
        <v>1000</v>
      </c>
      <c r="K22" t="s">
        <v>1175</v>
      </c>
      <c r="L22" t="s">
        <v>1741</v>
      </c>
      <c r="M22" t="s">
        <v>1705</v>
      </c>
      <c r="O22" s="19" t="s">
        <v>1742</v>
      </c>
      <c r="P22" s="19" t="s">
        <v>1741</v>
      </c>
      <c r="Q22" s="19" t="s">
        <v>1703</v>
      </c>
      <c r="R22" s="19" t="s">
        <v>1705</v>
      </c>
      <c r="S22" s="19" t="s">
        <v>1743</v>
      </c>
      <c r="T22" s="19" t="s">
        <v>1741</v>
      </c>
      <c r="U22" s="19" t="s">
        <v>1703</v>
      </c>
      <c r="V22" s="19" t="s">
        <v>1705</v>
      </c>
      <c r="W22" s="19" t="s">
        <v>1744</v>
      </c>
      <c r="X22" s="19" t="s">
        <v>1741</v>
      </c>
      <c r="Y22" s="19" t="s">
        <v>1703</v>
      </c>
      <c r="Z22" s="19" t="s">
        <v>1705</v>
      </c>
      <c r="AA22" s="19" t="s">
        <v>1745</v>
      </c>
      <c r="AB22" s="19" t="s">
        <v>1741</v>
      </c>
      <c r="AC22" s="19" t="s">
        <v>1703</v>
      </c>
      <c r="AD22" s="19" t="s">
        <v>1705</v>
      </c>
      <c r="AE22" s="19" t="s">
        <v>1746</v>
      </c>
      <c r="AF22" s="19" t="s">
        <v>1741</v>
      </c>
      <c r="AG22" s="19" t="s">
        <v>1703</v>
      </c>
      <c r="AH22" s="19" t="s">
        <v>1705</v>
      </c>
    </row>
    <row r="23" spans="2:34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200110</v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40级绿装库</v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3.5</v>
      </c>
      <c r="E23" s="1">
        <f ca="1">IF(B23="","",VLOOKUP(--B23,道具产出规划!$A$2:$AN$238,MATCH(E$3,道具产出规划!$2:$2,0),0))</f>
        <v>0.5</v>
      </c>
      <c r="F23" s="4">
        <v>10</v>
      </c>
      <c r="G23" s="4">
        <f t="shared" ca="1" si="8"/>
        <v>0.05</v>
      </c>
      <c r="H23">
        <f t="shared" ca="1" si="5"/>
        <v>50</v>
      </c>
      <c r="I23">
        <v>1000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2:34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200111</v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50级绿装库</v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3</v>
      </c>
      <c r="E24" s="1">
        <f ca="1">IF(B24="","",VLOOKUP(--B24,道具产出规划!$A$2:$AN$238,MATCH(E$3,道具产出规划!$2:$2,0),0))</f>
        <v>0.5</v>
      </c>
      <c r="F24" s="4">
        <v>10</v>
      </c>
      <c r="G24" s="4">
        <f t="shared" ca="1" si="8"/>
        <v>0.05</v>
      </c>
      <c r="H24">
        <f t="shared" ca="1" si="5"/>
        <v>50</v>
      </c>
      <c r="I24">
        <v>1000</v>
      </c>
      <c r="L24" t="s">
        <v>1805</v>
      </c>
      <c r="M24">
        <v>400</v>
      </c>
      <c r="O24" s="19" t="s">
        <v>215</v>
      </c>
      <c r="P24" s="19" t="s">
        <v>1414</v>
      </c>
      <c r="Q24" s="19">
        <v>0.01</v>
      </c>
      <c r="R24" s="19">
        <f t="shared" ref="R24" si="9">Q24*1000</f>
        <v>10</v>
      </c>
      <c r="S24" s="19" t="s">
        <v>215</v>
      </c>
      <c r="T24" s="19" t="s">
        <v>1414</v>
      </c>
      <c r="U24" s="19">
        <v>0.04</v>
      </c>
      <c r="V24" s="19">
        <f t="shared" ref="V24" si="10">U24*1000</f>
        <v>40</v>
      </c>
      <c r="W24" s="19" t="s">
        <v>217</v>
      </c>
      <c r="X24" s="19" t="s">
        <v>1415</v>
      </c>
      <c r="Y24" s="19">
        <v>0.04</v>
      </c>
      <c r="Z24" s="19">
        <f t="shared" ref="Z24" si="11">Y24*1000</f>
        <v>40</v>
      </c>
      <c r="AA24" s="19" t="s">
        <v>219</v>
      </c>
      <c r="AB24" s="19" t="s">
        <v>1416</v>
      </c>
      <c r="AC24" s="19">
        <v>0.03</v>
      </c>
      <c r="AD24" s="19">
        <f t="shared" ref="AD24" si="12">AC24*1000</f>
        <v>30</v>
      </c>
      <c r="AE24" s="19" t="s">
        <v>219</v>
      </c>
      <c r="AF24" s="19" t="s">
        <v>1416</v>
      </c>
      <c r="AG24" s="19">
        <v>0.03</v>
      </c>
      <c r="AH24" s="19">
        <f t="shared" ref="AH24" si="13">AG24*1000</f>
        <v>30</v>
      </c>
    </row>
    <row r="25" spans="2:34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200112</v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60级绿装库</v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2.5</v>
      </c>
      <c r="E25" s="1">
        <f ca="1">IF(B25="","",VLOOKUP(--B25,道具产出规划!$A$2:$AN$238,MATCH(E$3,道具产出规划!$2:$2,0),0))</f>
        <v>0.5</v>
      </c>
      <c r="F25" s="4">
        <v>10</v>
      </c>
      <c r="G25" s="4">
        <f t="shared" ca="1" si="8"/>
        <v>0.05</v>
      </c>
      <c r="H25">
        <f t="shared" ca="1" si="5"/>
        <v>50</v>
      </c>
      <c r="I25">
        <v>1000</v>
      </c>
      <c r="L25" s="157" t="s">
        <v>1806</v>
      </c>
      <c r="M25">
        <v>50</v>
      </c>
      <c r="O25" s="19" t="s">
        <v>1747</v>
      </c>
      <c r="P25" s="19" t="s">
        <v>1429</v>
      </c>
      <c r="Q25" s="19">
        <v>0.01</v>
      </c>
      <c r="R25" s="19">
        <f>Q25*1000</f>
        <v>10</v>
      </c>
      <c r="S25" s="19" t="s">
        <v>217</v>
      </c>
      <c r="T25" s="19" t="s">
        <v>1415</v>
      </c>
      <c r="U25" s="19">
        <v>0.04</v>
      </c>
      <c r="V25" s="19">
        <f>U25*1000</f>
        <v>40</v>
      </c>
      <c r="W25" s="19" t="s">
        <v>219</v>
      </c>
      <c r="X25" s="19" t="s">
        <v>1416</v>
      </c>
      <c r="Y25" s="19">
        <v>0.03</v>
      </c>
      <c r="Z25" s="19">
        <f>Y25*1000</f>
        <v>30</v>
      </c>
      <c r="AA25" s="19" t="s">
        <v>221</v>
      </c>
      <c r="AB25" s="19" t="s">
        <v>1417</v>
      </c>
      <c r="AC25" s="19">
        <v>0.02</v>
      </c>
      <c r="AD25" s="19">
        <f>AC25*1000</f>
        <v>20</v>
      </c>
      <c r="AE25" s="19" t="s">
        <v>221</v>
      </c>
      <c r="AF25" s="19" t="s">
        <v>1417</v>
      </c>
      <c r="AG25" s="19">
        <v>0.02</v>
      </c>
      <c r="AH25" s="19">
        <f t="shared" ref="AH25" si="14">AG25*1000</f>
        <v>20</v>
      </c>
    </row>
    <row r="26" spans="2:34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200113</v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70级绿装库</v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2</v>
      </c>
      <c r="E26" s="1">
        <f ca="1">IF(B26="","",VLOOKUP(--B26,道具产出规划!$A$2:$AN$238,MATCH(E$3,道具产出规划!$2:$2,0),0))</f>
        <v>0.5</v>
      </c>
      <c r="F26" s="4">
        <v>10</v>
      </c>
      <c r="G26" s="4">
        <f t="shared" ca="1" si="8"/>
        <v>0.05</v>
      </c>
      <c r="H26">
        <f t="shared" ca="1" si="5"/>
        <v>50</v>
      </c>
      <c r="I26">
        <v>1000</v>
      </c>
      <c r="L26" t="s">
        <v>1396</v>
      </c>
      <c r="M26">
        <v>50</v>
      </c>
      <c r="O26" s="19" t="s">
        <v>1748</v>
      </c>
      <c r="P26" s="19" t="s">
        <v>1458</v>
      </c>
      <c r="Q26" s="19">
        <v>0.1</v>
      </c>
      <c r="R26" s="19">
        <f>Q26*1000</f>
        <v>100</v>
      </c>
      <c r="S26" s="19" t="s">
        <v>1747</v>
      </c>
      <c r="T26" s="19" t="s">
        <v>1429</v>
      </c>
      <c r="U26" s="19">
        <v>0.01</v>
      </c>
      <c r="V26" s="19">
        <f>U26*1000</f>
        <v>10</v>
      </c>
      <c r="W26" s="19" t="s">
        <v>1712</v>
      </c>
      <c r="X26" s="19" t="s">
        <v>1430</v>
      </c>
      <c r="Y26" s="19">
        <v>0.04</v>
      </c>
      <c r="Z26" s="19">
        <f>Y26*1000</f>
        <v>40</v>
      </c>
      <c r="AA26" s="19" t="s">
        <v>1713</v>
      </c>
      <c r="AB26" s="19" t="s">
        <v>1431</v>
      </c>
      <c r="AC26" s="19">
        <v>0.03</v>
      </c>
      <c r="AD26" s="19">
        <f>AC26*1000</f>
        <v>30</v>
      </c>
      <c r="AE26" s="19" t="s">
        <v>1713</v>
      </c>
      <c r="AF26" s="19" t="s">
        <v>1431</v>
      </c>
      <c r="AG26" s="19">
        <v>0.03</v>
      </c>
      <c r="AH26" s="19">
        <f>AG26*1000</f>
        <v>30</v>
      </c>
    </row>
    <row r="27" spans="2:34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  <c r="G27" s="4"/>
      <c r="L27" s="157" t="s">
        <v>1408</v>
      </c>
      <c r="M27">
        <v>50</v>
      </c>
      <c r="O27" s="19" t="s">
        <v>1749</v>
      </c>
      <c r="P27" s="19" t="s">
        <v>1459</v>
      </c>
      <c r="Q27" s="19">
        <v>0.1</v>
      </c>
      <c r="R27" s="19">
        <f>Q27*1000</f>
        <v>100</v>
      </c>
      <c r="S27" s="19" t="s">
        <v>1712</v>
      </c>
      <c r="T27" s="19" t="s">
        <v>1430</v>
      </c>
      <c r="U27" s="19">
        <v>0.04</v>
      </c>
      <c r="V27" s="19">
        <f>U27*1000</f>
        <v>40</v>
      </c>
      <c r="W27" s="19" t="s">
        <v>1713</v>
      </c>
      <c r="X27" s="19" t="s">
        <v>1431</v>
      </c>
      <c r="Y27" s="19">
        <v>0.03</v>
      </c>
      <c r="Z27" s="19">
        <f>Y27*1000</f>
        <v>30</v>
      </c>
      <c r="AA27" s="19" t="s">
        <v>1714</v>
      </c>
      <c r="AB27" s="19" t="s">
        <v>1432</v>
      </c>
      <c r="AC27" s="19">
        <v>0.02</v>
      </c>
      <c r="AD27" s="19">
        <f>AC27*1000</f>
        <v>20</v>
      </c>
      <c r="AE27" s="19" t="s">
        <v>1714</v>
      </c>
      <c r="AF27" s="19" t="s">
        <v>1432</v>
      </c>
      <c r="AG27" s="19">
        <v>0.02</v>
      </c>
      <c r="AH27" s="19">
        <f>AG27*1000</f>
        <v>20</v>
      </c>
    </row>
    <row r="28" spans="2:34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  <c r="G28" s="4"/>
      <c r="L28" t="s">
        <v>843</v>
      </c>
      <c r="M28">
        <v>50</v>
      </c>
      <c r="O28" s="19"/>
      <c r="P28" s="19"/>
      <c r="Q28" s="19"/>
      <c r="R28" s="19"/>
      <c r="S28" s="19" t="s">
        <v>1749</v>
      </c>
      <c r="T28" s="19" t="s">
        <v>1459</v>
      </c>
      <c r="U28" s="19">
        <v>0.1</v>
      </c>
      <c r="V28" s="19">
        <f>U28*1000</f>
        <v>100</v>
      </c>
      <c r="W28" s="19" t="s">
        <v>1750</v>
      </c>
      <c r="X28" s="19" t="s">
        <v>1460</v>
      </c>
      <c r="Y28" s="19">
        <v>0.1</v>
      </c>
      <c r="Z28" s="19">
        <f>Y28*1000</f>
        <v>100</v>
      </c>
      <c r="AA28" s="19" t="s">
        <v>1751</v>
      </c>
      <c r="AB28" s="19" t="s">
        <v>1461</v>
      </c>
      <c r="AC28" s="19">
        <v>0.1</v>
      </c>
      <c r="AD28" s="19">
        <f>AC28*1000</f>
        <v>100</v>
      </c>
      <c r="AE28" s="19" t="s">
        <v>1751</v>
      </c>
      <c r="AF28" s="19" t="s">
        <v>1461</v>
      </c>
      <c r="AG28" s="19">
        <v>0.1</v>
      </c>
      <c r="AH28" s="19">
        <f>AG28*1000</f>
        <v>100</v>
      </c>
    </row>
    <row r="29" spans="2:34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  <c r="G29" s="4"/>
      <c r="L29" s="161" t="s">
        <v>1810</v>
      </c>
      <c r="M29">
        <v>50</v>
      </c>
      <c r="O29" s="19"/>
      <c r="P29" s="19"/>
      <c r="Q29" s="19"/>
      <c r="R29" s="19"/>
      <c r="S29" s="19" t="s">
        <v>1750</v>
      </c>
      <c r="T29" s="19" t="s">
        <v>1460</v>
      </c>
      <c r="U29" s="19">
        <v>0.1</v>
      </c>
      <c r="V29" s="19">
        <f>U29*1000</f>
        <v>100</v>
      </c>
      <c r="W29" s="19" t="s">
        <v>1751</v>
      </c>
      <c r="X29" s="19" t="s">
        <v>1461</v>
      </c>
      <c r="Y29" s="19">
        <v>0.1</v>
      </c>
      <c r="Z29" s="19">
        <f>Y29*1000</f>
        <v>100</v>
      </c>
      <c r="AA29" s="19" t="s">
        <v>1752</v>
      </c>
      <c r="AB29" s="19" t="s">
        <v>1462</v>
      </c>
      <c r="AC29" s="19">
        <v>0.1</v>
      </c>
      <c r="AD29" s="19">
        <f>AC29*1000</f>
        <v>100</v>
      </c>
      <c r="AE29" s="19" t="s">
        <v>1752</v>
      </c>
      <c r="AF29" s="19" t="s">
        <v>1462</v>
      </c>
      <c r="AG29" s="19">
        <v>0.1</v>
      </c>
      <c r="AH29" s="19">
        <f>AG29*1000</f>
        <v>100</v>
      </c>
    </row>
    <row r="30" spans="2:34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  <c r="G30" s="4"/>
      <c r="L30" s="161" t="s">
        <v>1811</v>
      </c>
      <c r="M30">
        <v>75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 t="s">
        <v>1753</v>
      </c>
      <c r="AF30" s="19" t="s">
        <v>1463</v>
      </c>
      <c r="AG30" s="19">
        <v>0.1</v>
      </c>
      <c r="AH30" s="19">
        <f>AG30*1000</f>
        <v>100</v>
      </c>
    </row>
    <row r="31" spans="2:34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  <c r="G31" s="4"/>
      <c r="I31" s="6"/>
      <c r="L31" t="s">
        <v>1409</v>
      </c>
      <c r="M31">
        <v>75</v>
      </c>
    </row>
    <row r="32" spans="2:34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  <c r="G32" s="4"/>
      <c r="L32" s="157" t="s">
        <v>1807</v>
      </c>
      <c r="M32">
        <v>50</v>
      </c>
    </row>
    <row r="33" spans="2:16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  <c r="I33" s="9"/>
      <c r="L33" s="157" t="s">
        <v>1808</v>
      </c>
      <c r="M33">
        <v>75</v>
      </c>
      <c r="P33" s="9"/>
    </row>
    <row r="34" spans="2:16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  <c r="L34" s="157" t="s">
        <v>1809</v>
      </c>
      <c r="M34">
        <v>75</v>
      </c>
    </row>
    <row r="35" spans="2:16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  <c r="L35" s="162" t="s">
        <v>1804</v>
      </c>
    </row>
    <row r="36" spans="2:16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  <c r="L36" s="162" t="s">
        <v>1538</v>
      </c>
    </row>
    <row r="37" spans="2:16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16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16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16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16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16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16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16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16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16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16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16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mergeCells count="1">
    <mergeCell ref="O20:AH21"/>
  </mergeCells>
  <phoneticPr fontId="28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3:T61"/>
  <sheetViews>
    <sheetView tabSelected="1" workbookViewId="0">
      <selection activeCell="T9" sqref="T9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1" max="11" width="15.125" customWidth="1"/>
  </cols>
  <sheetData>
    <row r="3" spans="1:20">
      <c r="B3" s="1" t="s">
        <v>1520</v>
      </c>
      <c r="C3" s="1" t="s">
        <v>1521</v>
      </c>
      <c r="D3" s="1" t="s">
        <v>1522</v>
      </c>
      <c r="E3" s="2" t="s">
        <v>1802</v>
      </c>
      <c r="G3" t="s">
        <v>1704</v>
      </c>
      <c r="H3" t="s">
        <v>1705</v>
      </c>
      <c r="I3" t="s">
        <v>1568</v>
      </c>
    </row>
    <row r="4" spans="1:20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200062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大血瓶蓝瓶库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0.7</v>
      </c>
      <c r="E4" s="1">
        <f ca="1">IF(B4="","",VLOOKUP(--B4,道具产出规划!$A$2:$AN$238,MATCH(E$3,道具产出规划!$2:$2,0),0))</f>
        <v>0.5</v>
      </c>
      <c r="F4" s="4">
        <f t="shared" ref="F4" ca="1" si="0">E4/10</f>
        <v>0.05</v>
      </c>
      <c r="G4">
        <v>10</v>
      </c>
      <c r="H4">
        <v>50</v>
      </c>
      <c r="I4">
        <v>1000</v>
      </c>
    </row>
    <row r="5" spans="1:20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200066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修炼丹库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12.1</v>
      </c>
      <c r="E5" s="1">
        <f ca="1">IF(B5="","",VLOOKUP(--B5,道具产出规划!$A$2:$AN$238,MATCH(E$3,道具产出规划!$2:$2,0),0))</f>
        <v>2</v>
      </c>
      <c r="F5" s="4">
        <f t="shared" ref="F5" ca="1" si="1">E5/10</f>
        <v>0.2</v>
      </c>
      <c r="G5">
        <v>10</v>
      </c>
      <c r="H5">
        <v>200</v>
      </c>
      <c r="I5">
        <v>1000</v>
      </c>
      <c r="O5" s="171" t="s">
        <v>1626</v>
      </c>
      <c r="P5" t="s">
        <v>1754</v>
      </c>
      <c r="Q5" t="s">
        <v>1398</v>
      </c>
      <c r="S5">
        <v>0.05</v>
      </c>
    </row>
    <row r="6" spans="1:20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200068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1级宝石库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5.7</v>
      </c>
      <c r="E6" s="1">
        <f ca="1">IF(B6="","",VLOOKUP(--B6,道具产出规划!$A$2:$AN$238,MATCH(E$3,道具产出规划!$2:$2,0),0))</f>
        <v>1</v>
      </c>
      <c r="F6" s="4">
        <f t="shared" ref="F6:F13" ca="1" si="2">E6/10</f>
        <v>0.1</v>
      </c>
      <c r="G6">
        <v>10</v>
      </c>
      <c r="H6">
        <v>100</v>
      </c>
      <c r="I6">
        <v>1000</v>
      </c>
      <c r="O6" s="171"/>
      <c r="P6" t="s">
        <v>1722</v>
      </c>
      <c r="Q6" t="s">
        <v>1401</v>
      </c>
      <c r="S6">
        <v>0.2</v>
      </c>
    </row>
    <row r="7" spans="1:20">
      <c r="A7" s="5"/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200071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低级魔兽要诀库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0.465</v>
      </c>
      <c r="E7" s="1">
        <f ca="1">IF(B7="","",VLOOKUP(--B7,道具产出规划!$A$2:$AN$238,MATCH(E$3,道具产出规划!$2:$2,0),0))</f>
        <v>0.1</v>
      </c>
      <c r="F7" s="4">
        <f t="shared" ca="1" si="2"/>
        <v>0.01</v>
      </c>
      <c r="G7">
        <v>10</v>
      </c>
      <c r="H7">
        <v>10</v>
      </c>
      <c r="I7">
        <v>1000</v>
      </c>
      <c r="O7" s="13"/>
    </row>
    <row r="8" spans="1:20">
      <c r="A8" s="5"/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200074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珍稀五宝库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0.635</v>
      </c>
      <c r="E8" s="1">
        <f ca="1">IF(B8="","",VLOOKUP(--B8,道具产出规划!$A$2:$AN$238,MATCH(E$3,道具产出规划!$2:$2,0),0))</f>
        <v>1.4999999999999999E-2</v>
      </c>
      <c r="F8" s="4">
        <f t="shared" ca="1" si="2"/>
        <v>1.5E-3</v>
      </c>
      <c r="G8">
        <v>10</v>
      </c>
      <c r="H8">
        <f t="shared" ref="H8" ca="1" si="3">F8*1000</f>
        <v>1.5</v>
      </c>
      <c r="I8">
        <v>1000</v>
      </c>
      <c r="O8" s="13"/>
    </row>
    <row r="9" spans="1:20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200075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普通五宝库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1.49</v>
      </c>
      <c r="E9" s="1">
        <f ca="1">IF(B9="","",VLOOKUP(--B9,道具产出规划!$A$2:$AN$238,MATCH(E$3,道具产出规划!$2:$2,0),0))</f>
        <v>0.03</v>
      </c>
      <c r="F9" s="4">
        <f t="shared" ca="1" si="2"/>
        <v>3.0000000000000001E-3</v>
      </c>
      <c r="G9">
        <v>10</v>
      </c>
      <c r="H9">
        <f ca="1">F9*1000</f>
        <v>3</v>
      </c>
      <c r="I9">
        <v>1000</v>
      </c>
      <c r="O9" s="171" t="s">
        <v>1627</v>
      </c>
      <c r="P9">
        <v>200068</v>
      </c>
      <c r="Q9" t="s">
        <v>1403</v>
      </c>
      <c r="S9">
        <v>0.1</v>
      </c>
      <c r="T9">
        <f t="shared" ref="T9" si="4">S9*5</f>
        <v>0.5</v>
      </c>
    </row>
    <row r="10" spans="1:20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200175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资质影砂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0.07</v>
      </c>
      <c r="E10" s="1">
        <f ca="1">IF(B10="","",VLOOKUP(--B10,道具产出规划!$A$2:$AN$238,MATCH(E$3,道具产出规划!$2:$2,0),0))</f>
        <v>0.02</v>
      </c>
      <c r="F10" s="4">
        <f t="shared" ca="1" si="2"/>
        <v>2E-3</v>
      </c>
      <c r="G10">
        <v>10</v>
      </c>
      <c r="H10">
        <f ca="1">F10*1000</f>
        <v>2</v>
      </c>
      <c r="I10">
        <v>1000</v>
      </c>
      <c r="O10" s="171"/>
      <c r="P10">
        <v>200075</v>
      </c>
      <c r="Q10" t="s">
        <v>1410</v>
      </c>
      <c r="S10">
        <v>3.0000000000000001E-3</v>
      </c>
      <c r="T10" s="172">
        <f>S10*5</f>
        <v>1.4999999999999999E-2</v>
      </c>
    </row>
    <row r="11" spans="1:20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200177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太阳井水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2.8</v>
      </c>
      <c r="E11" s="1">
        <f ca="1">IF(B11="","",VLOOKUP(--B11,道具产出规划!$A$2:$AN$238,MATCH(E$3,道具产出规划!$2:$2,0),0))</f>
        <v>0.8</v>
      </c>
      <c r="F11" s="4">
        <f t="shared" ca="1" si="2"/>
        <v>0.08</v>
      </c>
      <c r="G11">
        <v>10</v>
      </c>
      <c r="H11">
        <f ca="1">F11*1000</f>
        <v>80</v>
      </c>
      <c r="I11">
        <v>1000</v>
      </c>
      <c r="O11" s="13"/>
    </row>
    <row r="12" spans="1:20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200183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浓缩染料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0.26</v>
      </c>
      <c r="E12" s="1">
        <f ca="1">IF(B12="","",VLOOKUP(--B12,道具产出规划!$A$2:$AN$238,MATCH(E$3,道具产出规划!$2:$2,0),0))</f>
        <v>0.1</v>
      </c>
      <c r="F12" s="4">
        <f t="shared" ca="1" si="2"/>
        <v>0.01</v>
      </c>
      <c r="G12">
        <v>10</v>
      </c>
      <c r="H12">
        <f ca="1">F12*1000</f>
        <v>10</v>
      </c>
      <c r="I12">
        <v>1000</v>
      </c>
      <c r="O12" s="13"/>
    </row>
    <row r="13" spans="1:20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200189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40级铁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0.7</v>
      </c>
      <c r="E13" s="1">
        <f ca="1">IF(B13="","",VLOOKUP(--B13,道具产出规划!$A$2:$AN$238,MATCH(E$3,道具产出规划!$2:$2,0),0))</f>
        <v>0.1</v>
      </c>
      <c r="F13" s="4">
        <f t="shared" ca="1" si="2"/>
        <v>0.01</v>
      </c>
      <c r="G13">
        <v>10</v>
      </c>
      <c r="H13">
        <f ca="1">F13*1000</f>
        <v>10</v>
      </c>
      <c r="I13">
        <v>1000</v>
      </c>
      <c r="O13" s="171" t="s">
        <v>1628</v>
      </c>
      <c r="P13">
        <v>200071</v>
      </c>
      <c r="Q13" t="s">
        <v>1406</v>
      </c>
      <c r="S13">
        <v>0.01</v>
      </c>
      <c r="T13">
        <f t="shared" ref="T13" si="5">S13*5</f>
        <v>0.05</v>
      </c>
    </row>
    <row r="14" spans="1:20">
      <c r="B14" s="158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200190</v>
      </c>
      <c r="C14" s="159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50级铁</v>
      </c>
      <c r="D14" s="159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0.546</v>
      </c>
      <c r="E14" s="159">
        <f ca="1">IF(B14="","",VLOOKUP(--B14,道具产出规划!$A$2:$AN$238,MATCH(E$3,道具产出规划!$2:$2,0),0))</f>
        <v>0.1</v>
      </c>
      <c r="F14" s="160">
        <f ca="1">E14/4</f>
        <v>2.5000000000000001E-2</v>
      </c>
      <c r="G14">
        <v>4</v>
      </c>
      <c r="H14">
        <f t="shared" ref="H14" ca="1" si="6">F14*5000</f>
        <v>125</v>
      </c>
      <c r="I14">
        <v>1000</v>
      </c>
      <c r="O14" s="171"/>
      <c r="P14">
        <v>310100</v>
      </c>
      <c r="Q14" t="s">
        <v>846</v>
      </c>
      <c r="S14">
        <v>2E-3</v>
      </c>
      <c r="T14">
        <f>S14*5</f>
        <v>0.01</v>
      </c>
    </row>
    <row r="15" spans="1:20">
      <c r="B15" s="158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200191</v>
      </c>
      <c r="C15" s="159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60级铁</v>
      </c>
      <c r="D15" s="159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0.346</v>
      </c>
      <c r="E15" s="159">
        <f ca="1">IF(B15="","",VLOOKUP(--B15,道具产出规划!$A$2:$AN$238,MATCH(E$3,道具产出规划!$2:$2,0),0))</f>
        <v>7.4999999999999997E-2</v>
      </c>
      <c r="F15" s="160">
        <f t="shared" ref="F15:F26" ca="1" si="7">E15/4</f>
        <v>1.8749999999999999E-2</v>
      </c>
      <c r="G15">
        <v>4</v>
      </c>
      <c r="H15">
        <f t="shared" ref="H15" ca="1" si="8">F15*5000</f>
        <v>93.75</v>
      </c>
      <c r="I15">
        <v>1000</v>
      </c>
      <c r="O15" s="171"/>
      <c r="P15">
        <v>310102</v>
      </c>
      <c r="Q15" t="s">
        <v>855</v>
      </c>
      <c r="S15">
        <v>0.08</v>
      </c>
      <c r="T15">
        <f>S15*5</f>
        <v>0.4</v>
      </c>
    </row>
    <row r="16" spans="1:20">
      <c r="B16" s="158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200192</v>
      </c>
      <c r="C16" s="159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70级铁</v>
      </c>
      <c r="D16" s="159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0.196</v>
      </c>
      <c r="E16" s="159">
        <f ca="1">IF(B16="","",VLOOKUP(--B16,道具产出规划!$A$2:$AN$238,MATCH(E$3,道具产出规划!$2:$2,0),0))</f>
        <v>0.05</v>
      </c>
      <c r="F16" s="160">
        <f t="shared" ca="1" si="7"/>
        <v>1.2500000000000001E-2</v>
      </c>
      <c r="G16">
        <v>4</v>
      </c>
      <c r="H16">
        <f t="shared" ref="H16:H26" ca="1" si="9">F16*5000</f>
        <v>62.5</v>
      </c>
      <c r="I16">
        <v>1000</v>
      </c>
    </row>
    <row r="17" spans="2:20">
      <c r="B17" s="158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200193</v>
      </c>
      <c r="C17" s="159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80级铁</v>
      </c>
      <c r="D17" s="159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0.076</v>
      </c>
      <c r="E17" s="159">
        <f ca="1">IF(B17="","",VLOOKUP(--B17,道具产出规划!$A$2:$AN$238,MATCH(E$3,道具产出规划!$2:$2,0),0))</f>
        <v>0.03</v>
      </c>
      <c r="F17" s="160">
        <f t="shared" ca="1" si="7"/>
        <v>7.4999999999999997E-3</v>
      </c>
      <c r="G17">
        <v>4</v>
      </c>
      <c r="H17">
        <f t="shared" ca="1" si="9"/>
        <v>37.5</v>
      </c>
      <c r="I17">
        <v>1000</v>
      </c>
    </row>
    <row r="18" spans="2:20">
      <c r="B18" s="158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200194</v>
      </c>
      <c r="C18" s="159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90级铁</v>
      </c>
      <c r="D18" s="159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>0.056</v>
      </c>
      <c r="E18" s="159">
        <f ca="1">IF(B18="","",VLOOKUP(--B18,道具产出规划!$A$2:$AN$238,MATCH(E$3,道具产出规划!$2:$2,0),0))</f>
        <v>0.01</v>
      </c>
      <c r="F18" s="160">
        <f t="shared" ca="1" si="7"/>
        <v>2.5000000000000001E-3</v>
      </c>
      <c r="G18">
        <v>4</v>
      </c>
      <c r="H18">
        <f t="shared" ca="1" si="9"/>
        <v>12.5</v>
      </c>
      <c r="I18">
        <v>1000</v>
      </c>
      <c r="O18" s="171" t="s">
        <v>1628</v>
      </c>
      <c r="P18">
        <v>200074</v>
      </c>
      <c r="Q18" t="s">
        <v>1409</v>
      </c>
      <c r="S18">
        <v>1.5E-3</v>
      </c>
      <c r="T18" s="172">
        <f t="shared" ref="T18" si="10">S18*5</f>
        <v>7.4999999999999997E-3</v>
      </c>
    </row>
    <row r="19" spans="2:20">
      <c r="B19" s="158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200080</v>
      </c>
      <c r="C19" s="159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40级打造图纸库</v>
      </c>
      <c r="D19" s="159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>0.7</v>
      </c>
      <c r="E19" s="159">
        <f ca="1">IF(B19="","",VLOOKUP(--B19,道具产出规划!$A$2:$AN$238,MATCH(E$3,道具产出规划!$2:$2,0),0))</f>
        <v>0.1</v>
      </c>
      <c r="F19" s="160">
        <f t="shared" ca="1" si="7"/>
        <v>2.5000000000000001E-2</v>
      </c>
      <c r="G19">
        <v>4</v>
      </c>
      <c r="H19">
        <f t="shared" ca="1" si="9"/>
        <v>125</v>
      </c>
      <c r="I19">
        <v>1000</v>
      </c>
      <c r="O19" s="171"/>
      <c r="P19">
        <v>200076</v>
      </c>
      <c r="Q19" t="s">
        <v>1411</v>
      </c>
      <c r="S19">
        <v>5.0000000000000001E-3</v>
      </c>
      <c r="T19">
        <f>S19*5</f>
        <v>2.5000000000000001E-2</v>
      </c>
    </row>
    <row r="20" spans="2:20">
      <c r="B20" s="158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200081</v>
      </c>
      <c r="C20" s="159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50级打造图纸库</v>
      </c>
      <c r="D20" s="159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>0.546</v>
      </c>
      <c r="E20" s="159">
        <f ca="1">IF(B20="","",VLOOKUP(--B20,道具产出规划!$A$2:$AN$238,MATCH(E$3,道具产出规划!$2:$2,0),0))</f>
        <v>0.1</v>
      </c>
      <c r="F20" s="160">
        <f t="shared" ca="1" si="7"/>
        <v>2.5000000000000001E-2</v>
      </c>
      <c r="G20">
        <v>4</v>
      </c>
      <c r="H20">
        <f t="shared" ca="1" si="9"/>
        <v>125</v>
      </c>
      <c r="I20">
        <v>1000</v>
      </c>
      <c r="O20" s="171"/>
      <c r="P20">
        <v>339001</v>
      </c>
      <c r="Q20" t="s">
        <v>1816</v>
      </c>
      <c r="S20">
        <v>0.01</v>
      </c>
      <c r="T20">
        <f>S20*5</f>
        <v>0.05</v>
      </c>
    </row>
    <row r="21" spans="2:20">
      <c r="B21" s="158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200082</v>
      </c>
      <c r="C21" s="159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60级打造图纸库</v>
      </c>
      <c r="D21" s="159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>0.346</v>
      </c>
      <c r="E21" s="159">
        <f ca="1">IF(B21="","",VLOOKUP(--B21,道具产出规划!$A$2:$AN$238,MATCH(E$3,道具产出规划!$2:$2,0),0))</f>
        <v>7.4999999999999997E-2</v>
      </c>
      <c r="F21" s="160">
        <f t="shared" ca="1" si="7"/>
        <v>1.8749999999999999E-2</v>
      </c>
      <c r="G21">
        <v>4</v>
      </c>
      <c r="H21">
        <f t="shared" ca="1" si="9"/>
        <v>93.75</v>
      </c>
      <c r="I21">
        <v>1000</v>
      </c>
      <c r="O21" s="13"/>
    </row>
    <row r="22" spans="2:20">
      <c r="B22" s="158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200083</v>
      </c>
      <c r="C22" s="159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70级打造图纸库</v>
      </c>
      <c r="D22" s="159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>0.196</v>
      </c>
      <c r="E22" s="159">
        <f ca="1">IF(B22="","",VLOOKUP(--B22,道具产出规划!$A$2:$AN$238,MATCH(E$3,道具产出规划!$2:$2,0),0))</f>
        <v>0.05</v>
      </c>
      <c r="F22" s="160">
        <f t="shared" ca="1" si="7"/>
        <v>1.2500000000000001E-2</v>
      </c>
      <c r="G22">
        <v>4</v>
      </c>
      <c r="H22">
        <f t="shared" ca="1" si="9"/>
        <v>62.5</v>
      </c>
      <c r="I22">
        <v>1000</v>
      </c>
    </row>
    <row r="23" spans="2:20">
      <c r="B23" s="158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200084</v>
      </c>
      <c r="C23" s="159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80级打造图纸库</v>
      </c>
      <c r="D23" s="159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>0.076</v>
      </c>
      <c r="E23" s="159">
        <f ca="1">IF(B23="","",VLOOKUP(--B23,道具产出规划!$A$2:$AN$238,MATCH(E$3,道具产出规划!$2:$2,0),0))</f>
        <v>0.03</v>
      </c>
      <c r="F23" s="160">
        <f t="shared" ca="1" si="7"/>
        <v>7.4999999999999997E-3</v>
      </c>
      <c r="G23">
        <v>4</v>
      </c>
      <c r="H23">
        <f t="shared" ca="1" si="9"/>
        <v>37.5</v>
      </c>
      <c r="I23">
        <v>1000</v>
      </c>
    </row>
    <row r="24" spans="2:20">
      <c r="B24" s="158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200085</v>
      </c>
      <c r="C24" s="159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90级打造图纸库</v>
      </c>
      <c r="D24" s="159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>0.056</v>
      </c>
      <c r="E24" s="159">
        <f ca="1">IF(B24="","",VLOOKUP(--B24,道具产出规划!$A$2:$AN$238,MATCH(E$3,道具产出规划!$2:$2,0),0))</f>
        <v>0.01</v>
      </c>
      <c r="F24" s="160">
        <f t="shared" ca="1" si="7"/>
        <v>2.5000000000000001E-3</v>
      </c>
      <c r="G24">
        <v>4</v>
      </c>
      <c r="H24">
        <f t="shared" ca="1" si="9"/>
        <v>12.5</v>
      </c>
      <c r="I24">
        <v>1000</v>
      </c>
    </row>
    <row r="25" spans="2:20">
      <c r="B25" s="158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200139</v>
      </c>
      <c r="C25" s="159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30级紫装库</v>
      </c>
      <c r="D25" s="159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>0.8</v>
      </c>
      <c r="E25" s="159">
        <f ca="1">IF(B25="","",VLOOKUP(--B25,道具产出规划!$A$2:$AN$238,MATCH(E$3,道具产出规划!$2:$2,0),0))</f>
        <v>0.4</v>
      </c>
      <c r="F25" s="160">
        <f t="shared" ca="1" si="7"/>
        <v>0.1</v>
      </c>
      <c r="G25">
        <v>4</v>
      </c>
      <c r="H25">
        <f t="shared" ca="1" si="9"/>
        <v>500</v>
      </c>
      <c r="I25">
        <v>1000</v>
      </c>
    </row>
    <row r="26" spans="2:20">
      <c r="B26" s="158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200140</v>
      </c>
      <c r="C26" s="159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40级紫装库</v>
      </c>
      <c r="D26" s="159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>0.4</v>
      </c>
      <c r="E26" s="159">
        <f ca="1">IF(B26="","",VLOOKUP(--B26,道具产出规划!$A$2:$AN$238,MATCH(E$3,道具产出规划!$2:$2,0),0))</f>
        <v>0.2</v>
      </c>
      <c r="F26" s="160">
        <f t="shared" ca="1" si="7"/>
        <v>0.05</v>
      </c>
      <c r="G26">
        <v>4</v>
      </c>
      <c r="H26">
        <f t="shared" ca="1" si="9"/>
        <v>250</v>
      </c>
      <c r="I26">
        <v>1000</v>
      </c>
    </row>
    <row r="27" spans="2:20">
      <c r="B27" s="158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59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59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59" t="str">
        <f ca="1">IF(B27="","",VLOOKUP(--B27,道具产出规划!$A$2:$AN$238,MATCH(E$3,道具产出规划!$2:$2,0),0))</f>
        <v/>
      </c>
      <c r="F27" s="160"/>
    </row>
    <row r="28" spans="2:20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20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  <c r="G29" t="s">
        <v>1755</v>
      </c>
    </row>
    <row r="30" spans="2:20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20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20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1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1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1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1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1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1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1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1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1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1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1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1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1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1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1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  <c r="O47" s="7"/>
    </row>
    <row r="48" spans="2:1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  <c r="O48" s="7"/>
    </row>
    <row r="49" spans="2:16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  <c r="K49" s="6"/>
      <c r="O49" s="7"/>
    </row>
    <row r="50" spans="2:16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  <c r="O50" s="7"/>
      <c r="P50" s="6"/>
    </row>
    <row r="51" spans="2:16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  <c r="O51" s="7"/>
    </row>
    <row r="52" spans="2:16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  <c r="O52" s="7"/>
    </row>
    <row r="53" spans="2:16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  <c r="O53" s="14"/>
    </row>
    <row r="54" spans="2:16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16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16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16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16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16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16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16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mergeCells count="4">
    <mergeCell ref="O5:O6"/>
    <mergeCell ref="O9:O10"/>
    <mergeCell ref="O13:O15"/>
    <mergeCell ref="O18:O20"/>
  </mergeCells>
  <phoneticPr fontId="28" type="noConversion"/>
  <pageMargins left="0.69930555555555596" right="0.69930555555555596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D5" sqref="D5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1532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200063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一级药库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22.35</v>
      </c>
      <c r="E4" s="1">
        <f ca="1">IF(B4="","",VLOOKUP(--B4,道具产出规划!$A$2:$AN$238,MATCH(E$3,道具产出规划!$2:$2,0),0))</f>
        <v>2</v>
      </c>
      <c r="F4" s="4">
        <f ca="1">E4/10</f>
        <v>0.2</v>
      </c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200064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二级药库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12.9</v>
      </c>
      <c r="E5" s="1">
        <f ca="1">IF(B5="","",VLOOKUP(--B5,道具产出规划!$A$2:$AN$238,MATCH(E$3,道具产出规划!$2:$2,0),0))</f>
        <v>1</v>
      </c>
      <c r="F5" s="4">
        <f ca="1">E5/10</f>
        <v>0.1</v>
      </c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B3:X61"/>
  <sheetViews>
    <sheetView workbookViewId="0">
      <selection activeCell="F10" sqref="F10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5" max="15" width="15.25" customWidth="1"/>
  </cols>
  <sheetData>
    <row r="3" spans="2:24">
      <c r="B3" s="1" t="s">
        <v>1520</v>
      </c>
      <c r="C3" s="1" t="s">
        <v>1521</v>
      </c>
      <c r="D3" s="1" t="s">
        <v>1522</v>
      </c>
      <c r="E3" s="2" t="s">
        <v>1800</v>
      </c>
    </row>
    <row r="4" spans="2:24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200182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染料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0.072</v>
      </c>
      <c r="E4" s="1">
        <f ca="1">IF(B4="","",VLOOKUP(--B4,道具产出规划!$A$2:$AN$238,MATCH(E$3,道具产出规划!$2:$2,0),0))</f>
        <v>7.1999999999999995E-2</v>
      </c>
      <c r="F4" s="4">
        <f ca="1">ROUND(E4*7/20,2)/2</f>
        <v>1.4999999999999999E-2</v>
      </c>
    </row>
    <row r="5" spans="2:24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200183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浓缩染料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0.26</v>
      </c>
      <c r="E5" s="1">
        <f ca="1">IF(B5="","",VLOOKUP(--B5,道具产出规划!$A$2:$AN$238,MATCH(E$3,道具产出规划!$2:$2,0),0))</f>
        <v>0.01</v>
      </c>
      <c r="F5" s="4">
        <f t="shared" ref="F5:F21" ca="1" si="0">ROUND(E5*7/20,2)/2</f>
        <v>0</v>
      </c>
    </row>
    <row r="6" spans="2:24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200184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宠物染料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0.02</v>
      </c>
      <c r="E6" s="1">
        <f ca="1">IF(B6="","",VLOOKUP(--B6,道具产出规划!$A$2:$AN$238,MATCH(E$3,道具产出规划!$2:$2,0),0))</f>
        <v>0.02</v>
      </c>
      <c r="F6" s="4">
        <f t="shared" ca="1" si="0"/>
        <v>5.0000000000000001E-3</v>
      </c>
    </row>
    <row r="7" spans="2:24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200190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50级铁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0.546</v>
      </c>
      <c r="E7" s="1">
        <f ca="1">IF(B7="","",VLOOKUP(--B7,道具产出规划!$A$2:$AN$238,MATCH(E$3,道具产出规划!$2:$2,0),0))</f>
        <v>4.5999999999999999E-2</v>
      </c>
      <c r="F7" s="4">
        <f t="shared" ca="1" si="0"/>
        <v>0.01</v>
      </c>
    </row>
    <row r="8" spans="2:24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200191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60级铁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0.346</v>
      </c>
      <c r="E8" s="1">
        <f ca="1">IF(B8="","",VLOOKUP(--B8,道具产出规划!$A$2:$AN$238,MATCH(E$3,道具产出规划!$2:$2,0),0))</f>
        <v>4.5999999999999999E-2</v>
      </c>
      <c r="F8" s="4">
        <f t="shared" ca="1" si="0"/>
        <v>0.01</v>
      </c>
    </row>
    <row r="9" spans="2:24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200192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70级铁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0.196</v>
      </c>
      <c r="E9" s="1">
        <f ca="1">IF(B9="","",VLOOKUP(--B9,道具产出规划!$A$2:$AN$238,MATCH(E$3,道具产出规划!$2:$2,0),0))</f>
        <v>4.5999999999999999E-2</v>
      </c>
      <c r="F9" s="4">
        <f t="shared" ca="1" si="0"/>
        <v>0.01</v>
      </c>
    </row>
    <row r="10" spans="2:24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200193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80级铁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0.076</v>
      </c>
      <c r="E10" s="1">
        <f ca="1">IF(B10="","",VLOOKUP(--B10,道具产出规划!$A$2:$AN$238,MATCH(E$3,道具产出规划!$2:$2,0),0))</f>
        <v>4.5999999999999999E-2</v>
      </c>
      <c r="F10" s="4">
        <f t="shared" ca="1" si="0"/>
        <v>0.01</v>
      </c>
    </row>
    <row r="11" spans="2:24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200194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90级铁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0.056</v>
      </c>
      <c r="E11" s="1">
        <f ca="1">IF(B11="","",VLOOKUP(--B11,道具产出规划!$A$2:$AN$238,MATCH(E$3,道具产出规划!$2:$2,0),0))</f>
        <v>4.5999999999999999E-2</v>
      </c>
      <c r="F11" s="4">
        <f t="shared" ca="1" si="0"/>
        <v>0.01</v>
      </c>
    </row>
    <row r="12" spans="2:24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200081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50级打造图纸库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0.546</v>
      </c>
      <c r="E12" s="1">
        <f ca="1">IF(B12="","",VLOOKUP(--B12,道具产出规划!$A$2:$AN$238,MATCH(E$3,道具产出规划!$2:$2,0),0))</f>
        <v>4.5999999999999999E-2</v>
      </c>
      <c r="F12" s="4">
        <f t="shared" ca="1" si="0"/>
        <v>0.01</v>
      </c>
    </row>
    <row r="13" spans="2:24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200082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60级打造图纸库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0.346</v>
      </c>
      <c r="E13" s="1">
        <f ca="1">IF(B13="","",VLOOKUP(--B13,道具产出规划!$A$2:$AN$238,MATCH(E$3,道具产出规划!$2:$2,0),0))</f>
        <v>4.5999999999999999E-2</v>
      </c>
      <c r="F13" s="4">
        <f t="shared" ca="1" si="0"/>
        <v>0.01</v>
      </c>
      <c r="J13" s="10" t="s">
        <v>1756</v>
      </c>
      <c r="K13" t="s">
        <v>1205</v>
      </c>
      <c r="L13" t="s">
        <v>1212</v>
      </c>
      <c r="M13" t="s">
        <v>1216</v>
      </c>
      <c r="N13">
        <v>85</v>
      </c>
      <c r="O13">
        <v>20</v>
      </c>
      <c r="P13">
        <v>40</v>
      </c>
    </row>
    <row r="14" spans="2:24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200083</v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70级打造图纸库</v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0.196</v>
      </c>
      <c r="E14" s="1">
        <f ca="1">IF(B14="","",VLOOKUP(--B14,道具产出规划!$A$2:$AN$238,MATCH(E$3,道具产出规划!$2:$2,0),0))</f>
        <v>4.5999999999999999E-2</v>
      </c>
      <c r="F14" s="4">
        <f t="shared" ca="1" si="0"/>
        <v>0.01</v>
      </c>
    </row>
    <row r="15" spans="2:24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200084</v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80级打造图纸库</v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0.076</v>
      </c>
      <c r="E15" s="1">
        <f ca="1">IF(B15="","",VLOOKUP(--B15,道具产出规划!$A$2:$AN$238,MATCH(E$3,道具产出规划!$2:$2,0),0))</f>
        <v>4.5999999999999999E-2</v>
      </c>
      <c r="F15" s="4">
        <f t="shared" ca="1" si="0"/>
        <v>0.01</v>
      </c>
      <c r="J15">
        <v>50</v>
      </c>
      <c r="K15" t="s">
        <v>219</v>
      </c>
      <c r="L15" t="s">
        <v>221</v>
      </c>
      <c r="M15" t="s">
        <v>1713</v>
      </c>
      <c r="N15" t="s">
        <v>1714</v>
      </c>
      <c r="O15" t="s">
        <v>1757</v>
      </c>
      <c r="R15">
        <v>100</v>
      </c>
      <c r="S15">
        <v>100</v>
      </c>
      <c r="T15">
        <v>100</v>
      </c>
      <c r="U15">
        <v>100</v>
      </c>
      <c r="V15">
        <v>100</v>
      </c>
    </row>
    <row r="16" spans="2:24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200085</v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90级打造图纸库</v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0.056</v>
      </c>
      <c r="E16" s="1">
        <f ca="1">IF(B16="","",VLOOKUP(--B16,道具产出规划!$A$2:$AN$238,MATCH(E$3,道具产出规划!$2:$2,0),0))</f>
        <v>4.5999999999999999E-2</v>
      </c>
      <c r="F16" s="4">
        <f t="shared" ca="1" si="0"/>
        <v>0.01</v>
      </c>
      <c r="J16">
        <v>60</v>
      </c>
      <c r="K16" t="s">
        <v>219</v>
      </c>
      <c r="L16" t="s">
        <v>221</v>
      </c>
      <c r="M16" t="s">
        <v>223</v>
      </c>
      <c r="N16" t="s">
        <v>1713</v>
      </c>
      <c r="O16" t="s">
        <v>1714</v>
      </c>
      <c r="P16" t="s">
        <v>1715</v>
      </c>
      <c r="Q16" t="s">
        <v>1758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</row>
    <row r="17" spans="2:24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 t="e">
        <f t="shared" ca="1" si="0"/>
        <v>#VALUE!</v>
      </c>
      <c r="J17">
        <v>70</v>
      </c>
      <c r="K17" t="s">
        <v>221</v>
      </c>
      <c r="L17" t="s">
        <v>223</v>
      </c>
      <c r="M17" t="s">
        <v>225</v>
      </c>
      <c r="N17" t="s">
        <v>1714</v>
      </c>
      <c r="O17" t="s">
        <v>1715</v>
      </c>
      <c r="P17" t="s">
        <v>1759</v>
      </c>
      <c r="Q17" t="s">
        <v>1760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</row>
    <row r="18" spans="2:24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 t="e">
        <f t="shared" ca="1" si="0"/>
        <v>#VALUE!</v>
      </c>
      <c r="J18">
        <v>80</v>
      </c>
      <c r="K18" t="s">
        <v>223</v>
      </c>
      <c r="L18" t="s">
        <v>225</v>
      </c>
      <c r="M18" t="s">
        <v>227</v>
      </c>
      <c r="N18" t="s">
        <v>1715</v>
      </c>
      <c r="O18" t="s">
        <v>1759</v>
      </c>
      <c r="P18" t="s">
        <v>1761</v>
      </c>
      <c r="Q18" t="s">
        <v>1762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</row>
    <row r="19" spans="2:24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 t="e">
        <f t="shared" ca="1" si="0"/>
        <v>#VALUE!</v>
      </c>
      <c r="J19" t="s">
        <v>1763</v>
      </c>
      <c r="K19" t="s">
        <v>225</v>
      </c>
      <c r="L19" t="s">
        <v>227</v>
      </c>
      <c r="M19" t="s">
        <v>1759</v>
      </c>
      <c r="N19" t="s">
        <v>1761</v>
      </c>
      <c r="O19" t="s">
        <v>1764</v>
      </c>
      <c r="R19">
        <v>100</v>
      </c>
      <c r="S19">
        <v>100</v>
      </c>
      <c r="T19">
        <v>100</v>
      </c>
      <c r="U19">
        <v>100</v>
      </c>
      <c r="V19">
        <v>100</v>
      </c>
    </row>
    <row r="20" spans="2:24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 t="e">
        <f t="shared" ca="1" si="0"/>
        <v>#VALUE!</v>
      </c>
    </row>
    <row r="21" spans="2:24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 t="e">
        <f t="shared" ca="1" si="0"/>
        <v>#VALUE!</v>
      </c>
      <c r="J21" t="s">
        <v>1205</v>
      </c>
      <c r="K21" t="s">
        <v>1207</v>
      </c>
      <c r="L21">
        <v>0.33</v>
      </c>
      <c r="N21" t="s">
        <v>1205</v>
      </c>
      <c r="O21" t="s">
        <v>1207</v>
      </c>
      <c r="P21" t="s">
        <v>1205</v>
      </c>
      <c r="Q21" t="s">
        <v>1207</v>
      </c>
      <c r="R21" t="s">
        <v>1205</v>
      </c>
      <c r="S21" t="s">
        <v>1207</v>
      </c>
      <c r="T21" t="s">
        <v>1205</v>
      </c>
      <c r="U21" t="s">
        <v>1207</v>
      </c>
      <c r="V21" t="s">
        <v>1205</v>
      </c>
      <c r="W21" t="s">
        <v>1207</v>
      </c>
    </row>
    <row r="22" spans="2:24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  <c r="J22" t="s">
        <v>1212</v>
      </c>
      <c r="K22" t="s">
        <v>1213</v>
      </c>
      <c r="L22">
        <v>0.33</v>
      </c>
      <c r="N22" t="s">
        <v>1212</v>
      </c>
      <c r="O22" t="s">
        <v>1213</v>
      </c>
      <c r="P22" t="s">
        <v>1212</v>
      </c>
      <c r="Q22" t="s">
        <v>1213</v>
      </c>
      <c r="R22" t="s">
        <v>1212</v>
      </c>
      <c r="S22" t="s">
        <v>1213</v>
      </c>
      <c r="T22" t="s">
        <v>1212</v>
      </c>
      <c r="U22" t="s">
        <v>1213</v>
      </c>
      <c r="V22" t="s">
        <v>1212</v>
      </c>
      <c r="W22" t="s">
        <v>1213</v>
      </c>
    </row>
    <row r="23" spans="2:24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  <c r="J23" t="s">
        <v>1216</v>
      </c>
      <c r="K23" t="s">
        <v>1218</v>
      </c>
      <c r="L23">
        <v>0.33</v>
      </c>
      <c r="N23" t="s">
        <v>1216</v>
      </c>
      <c r="O23" t="s">
        <v>1218</v>
      </c>
      <c r="P23" t="s">
        <v>1216</v>
      </c>
      <c r="Q23" t="s">
        <v>1218</v>
      </c>
      <c r="R23" t="s">
        <v>1216</v>
      </c>
      <c r="S23" t="s">
        <v>1218</v>
      </c>
      <c r="T23" t="s">
        <v>1216</v>
      </c>
      <c r="U23" t="s">
        <v>1218</v>
      </c>
      <c r="V23" t="s">
        <v>1216</v>
      </c>
      <c r="W23" t="s">
        <v>1218</v>
      </c>
    </row>
    <row r="24" spans="2:24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J24" t="s">
        <v>219</v>
      </c>
      <c r="K24" s="11" t="s">
        <v>1416</v>
      </c>
      <c r="L24">
        <v>0.11</v>
      </c>
      <c r="N24" t="s">
        <v>219</v>
      </c>
      <c r="O24" s="11" t="s">
        <v>1416</v>
      </c>
      <c r="P24" t="s">
        <v>219</v>
      </c>
      <c r="Q24" s="11" t="s">
        <v>1416</v>
      </c>
      <c r="R24" t="s">
        <v>221</v>
      </c>
      <c r="S24" t="s">
        <v>1417</v>
      </c>
      <c r="T24" t="s">
        <v>223</v>
      </c>
      <c r="U24" t="s">
        <v>1418</v>
      </c>
      <c r="V24" t="s">
        <v>225</v>
      </c>
      <c r="W24" t="s">
        <v>1419</v>
      </c>
    </row>
    <row r="25" spans="2:24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  <c r="J25" t="s">
        <v>221</v>
      </c>
      <c r="K25" t="s">
        <v>1417</v>
      </c>
      <c r="L25">
        <v>0.11</v>
      </c>
      <c r="N25" t="s">
        <v>221</v>
      </c>
      <c r="O25" t="s">
        <v>1417</v>
      </c>
      <c r="P25" t="s">
        <v>221</v>
      </c>
      <c r="Q25" t="s">
        <v>1417</v>
      </c>
      <c r="R25" t="s">
        <v>223</v>
      </c>
      <c r="S25" t="s">
        <v>1418</v>
      </c>
      <c r="T25" t="s">
        <v>225</v>
      </c>
      <c r="U25" t="s">
        <v>1419</v>
      </c>
      <c r="V25" t="s">
        <v>227</v>
      </c>
      <c r="W25" t="s">
        <v>1420</v>
      </c>
    </row>
    <row r="26" spans="2:24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  <c r="J26" t="s">
        <v>223</v>
      </c>
      <c r="K26" t="s">
        <v>1418</v>
      </c>
      <c r="L26">
        <v>0.11</v>
      </c>
      <c r="N26" t="s">
        <v>1713</v>
      </c>
      <c r="O26" t="s">
        <v>1431</v>
      </c>
      <c r="P26" t="s">
        <v>223</v>
      </c>
      <c r="Q26" t="s">
        <v>1418</v>
      </c>
      <c r="R26" t="s">
        <v>225</v>
      </c>
      <c r="S26" t="s">
        <v>1419</v>
      </c>
      <c r="T26" t="s">
        <v>227</v>
      </c>
      <c r="U26" t="s">
        <v>1420</v>
      </c>
      <c r="V26" t="s">
        <v>1759</v>
      </c>
      <c r="W26" t="s">
        <v>1434</v>
      </c>
    </row>
    <row r="27" spans="2:24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  <c r="J27" t="s">
        <v>225</v>
      </c>
      <c r="K27" t="s">
        <v>1419</v>
      </c>
      <c r="L27">
        <v>0.11</v>
      </c>
      <c r="N27" t="s">
        <v>1714</v>
      </c>
      <c r="O27" t="s">
        <v>1432</v>
      </c>
      <c r="P27" t="s">
        <v>1713</v>
      </c>
      <c r="Q27" t="s">
        <v>1431</v>
      </c>
      <c r="R27" t="s">
        <v>1714</v>
      </c>
      <c r="S27" t="s">
        <v>1432</v>
      </c>
      <c r="T27" t="s">
        <v>1715</v>
      </c>
      <c r="U27" t="s">
        <v>1433</v>
      </c>
      <c r="V27" t="s">
        <v>1761</v>
      </c>
      <c r="W27" t="s">
        <v>1435</v>
      </c>
    </row>
    <row r="28" spans="2:24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  <c r="J28" t="s">
        <v>227</v>
      </c>
      <c r="K28" t="s">
        <v>1420</v>
      </c>
      <c r="L28">
        <v>0.11</v>
      </c>
      <c r="N28" t="s">
        <v>1757</v>
      </c>
      <c r="O28" t="s">
        <v>1491</v>
      </c>
      <c r="P28" t="s">
        <v>1714</v>
      </c>
      <c r="Q28" t="s">
        <v>1432</v>
      </c>
      <c r="R28" t="s">
        <v>1715</v>
      </c>
      <c r="S28" t="s">
        <v>1433</v>
      </c>
      <c r="T28" t="s">
        <v>1759</v>
      </c>
      <c r="U28" t="s">
        <v>1434</v>
      </c>
      <c r="V28" t="s">
        <v>1764</v>
      </c>
      <c r="W28" t="s">
        <v>1495</v>
      </c>
    </row>
    <row r="29" spans="2:24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  <c r="J29" t="s">
        <v>1713</v>
      </c>
      <c r="K29" t="s">
        <v>1431</v>
      </c>
      <c r="L29">
        <v>0.11</v>
      </c>
      <c r="P29" t="s">
        <v>1715</v>
      </c>
      <c r="Q29" t="s">
        <v>1433</v>
      </c>
      <c r="R29" t="s">
        <v>1759</v>
      </c>
      <c r="S29" t="s">
        <v>1434</v>
      </c>
      <c r="T29" t="s">
        <v>1761</v>
      </c>
      <c r="U29" t="s">
        <v>1435</v>
      </c>
    </row>
    <row r="30" spans="2:24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  <c r="J30" t="s">
        <v>1714</v>
      </c>
      <c r="K30" t="s">
        <v>1432</v>
      </c>
      <c r="L30">
        <v>0.11</v>
      </c>
      <c r="P30" t="s">
        <v>1758</v>
      </c>
      <c r="Q30" t="s">
        <v>1492</v>
      </c>
      <c r="R30" t="s">
        <v>1760</v>
      </c>
      <c r="S30" t="s">
        <v>1493</v>
      </c>
      <c r="T30" t="s">
        <v>1762</v>
      </c>
      <c r="U30" t="s">
        <v>1494</v>
      </c>
    </row>
    <row r="31" spans="2:24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  <c r="J31" t="s">
        <v>1715</v>
      </c>
      <c r="K31" t="s">
        <v>1433</v>
      </c>
      <c r="L31">
        <v>0.11</v>
      </c>
    </row>
    <row r="32" spans="2:24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  <c r="J32" t="s">
        <v>1759</v>
      </c>
      <c r="K32" t="s">
        <v>1434</v>
      </c>
      <c r="L32">
        <v>0.11</v>
      </c>
    </row>
    <row r="33" spans="2:12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  <c r="J33" t="s">
        <v>1761</v>
      </c>
      <c r="K33" t="s">
        <v>1435</v>
      </c>
      <c r="L33">
        <v>0.11</v>
      </c>
    </row>
    <row r="34" spans="2:12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  <c r="J34" t="s">
        <v>1757</v>
      </c>
      <c r="K34" t="s">
        <v>1491</v>
      </c>
      <c r="L34">
        <v>0.11</v>
      </c>
    </row>
    <row r="35" spans="2:12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  <c r="J35" t="s">
        <v>1758</v>
      </c>
      <c r="K35" t="s">
        <v>1492</v>
      </c>
      <c r="L35">
        <v>0.11</v>
      </c>
    </row>
    <row r="36" spans="2:12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  <c r="J36" t="s">
        <v>1760</v>
      </c>
      <c r="K36" t="s">
        <v>1493</v>
      </c>
      <c r="L36">
        <v>0.11</v>
      </c>
    </row>
    <row r="37" spans="2:12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  <c r="J37" t="s">
        <v>1762</v>
      </c>
      <c r="K37" t="s">
        <v>1494</v>
      </c>
      <c r="L37">
        <v>0.11</v>
      </c>
    </row>
    <row r="38" spans="2:12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  <c r="J38" t="s">
        <v>1764</v>
      </c>
      <c r="K38" t="s">
        <v>1495</v>
      </c>
      <c r="L38">
        <v>0.11</v>
      </c>
    </row>
    <row r="39" spans="2:12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12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12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12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12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12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12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12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12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12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K25" sqref="K25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1533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IF(B4="","",VLOOKUP(--B4,道具产出规划!$A$2:$AN$238,MATCH(E$3,道具产出规划!$2:$2,0),0))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IF(B5="","",VLOOKUP(--B5,道具产出规划!$A$2:$AN$238,MATCH(E$3,道具产出规划!$2:$2,0),0))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F27" sqref="F27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1534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IF(B4="","",VLOOKUP(--B4,道具产出规划!$A$2:$AN$238,MATCH(E$3,道具产出规划!$2:$2,0),0))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IF(B5="","",VLOOKUP(--B5,道具产出规划!$A$2:$AN$238,MATCH(E$3,道具产出规划!$2:$2,0),0))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B3:K61"/>
  <sheetViews>
    <sheetView topLeftCell="A10" workbookViewId="0">
      <selection activeCell="B4" sqref="B4:E61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1535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IF(B4="","",VLOOKUP(--B4,道具产出规划!$A$2:$AN$238,MATCH(E$3,道具产出规划!$2:$2,0),0))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IF(B5="","",VLOOKUP(--B5,道具产出规划!$A$2:$AN$238,MATCH(E$3,道具产出规划!$2:$2,0),0))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B3:K61"/>
  <sheetViews>
    <sheetView topLeftCell="A2" workbookViewId="0">
      <selection activeCell="E61" sqref="B3:E61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1537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IF(B4="","",VLOOKUP(--B4,道具产出规划!$A$2:$AN$238,MATCH(E$3,道具产出规划!$2:$2,0),0))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IF(B5="","",VLOOKUP(--B5,道具产出规划!$A$2:$AN$238,MATCH(E$3,道具产出规划!$2:$2,0),0))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B3:N61"/>
  <sheetViews>
    <sheetView workbookViewId="0">
      <selection activeCell="J18" sqref="J18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3" max="13" width="11.125" customWidth="1"/>
  </cols>
  <sheetData>
    <row r="3" spans="2:9">
      <c r="B3" s="1" t="s">
        <v>1520</v>
      </c>
      <c r="C3" s="1" t="s">
        <v>1521</v>
      </c>
      <c r="D3" s="1" t="s">
        <v>1522</v>
      </c>
      <c r="E3" s="2" t="s">
        <v>1799</v>
      </c>
      <c r="G3" t="s">
        <v>1704</v>
      </c>
      <c r="H3" t="s">
        <v>1705</v>
      </c>
      <c r="I3" t="s">
        <v>1568</v>
      </c>
    </row>
    <row r="4" spans="2:9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200169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经验宝珠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8.3</v>
      </c>
      <c r="E4" s="1">
        <f ca="1">IF(B4="","",VLOOKUP(--B4,道具产出规划!$A$2:$AN$238,MATCH(E$3,道具产出规划!$2:$2,0),0))</f>
        <v>0.8</v>
      </c>
      <c r="F4" s="4">
        <f t="shared" ref="F4" ca="1" si="0">E4/10</f>
        <v>0.08</v>
      </c>
      <c r="G4">
        <v>10</v>
      </c>
      <c r="H4">
        <f t="shared" ref="H4" ca="1" si="1">F4*1000</f>
        <v>80</v>
      </c>
      <c r="I4">
        <v>1000</v>
      </c>
    </row>
    <row r="5" spans="2:9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200177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太阳井水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2.8</v>
      </c>
      <c r="E5" s="1">
        <f ca="1">IF(B5="","",VLOOKUP(--B5,道具产出规划!$A$2:$AN$238,MATCH(E$3,道具产出规划!$2:$2,0),0))</f>
        <v>0.5</v>
      </c>
      <c r="F5" s="4">
        <f t="shared" ref="F5" ca="1" si="2">E5/10</f>
        <v>0.05</v>
      </c>
      <c r="G5">
        <v>10</v>
      </c>
      <c r="H5">
        <f t="shared" ref="H5" ca="1" si="3">F5*1000</f>
        <v>50</v>
      </c>
      <c r="I5">
        <v>1000</v>
      </c>
    </row>
    <row r="6" spans="2:9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200183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浓缩染料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0.26</v>
      </c>
      <c r="E6" s="1">
        <f ca="1">IF(B6="","",VLOOKUP(--B6,道具产出规划!$A$2:$AN$238,MATCH(E$3,道具产出规划!$2:$2,0),0))</f>
        <v>0.05</v>
      </c>
      <c r="F6" s="4">
        <f t="shared" ref="F6:F12" ca="1" si="4">E6/10</f>
        <v>5.0000000000000001E-3</v>
      </c>
      <c r="G6">
        <v>10</v>
      </c>
      <c r="H6">
        <f t="shared" ref="H6:H12" ca="1" si="5">F6*1000</f>
        <v>5</v>
      </c>
      <c r="I6">
        <v>1000</v>
      </c>
    </row>
    <row r="7" spans="2:9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200108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20级绿装库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5.5</v>
      </c>
      <c r="E7" s="1">
        <f ca="1">IF(B7="","",VLOOKUP(--B7,道具产出规划!$A$2:$AN$238,MATCH(E$3,道具产出规划!$2:$2,0),0))</f>
        <v>1</v>
      </c>
      <c r="F7" s="4">
        <f t="shared" ca="1" si="4"/>
        <v>0.1</v>
      </c>
      <c r="G7">
        <v>10</v>
      </c>
      <c r="H7">
        <f t="shared" ca="1" si="5"/>
        <v>100</v>
      </c>
      <c r="I7">
        <v>1000</v>
      </c>
    </row>
    <row r="8" spans="2:9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200109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30级绿装库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4.5</v>
      </c>
      <c r="E8" s="1">
        <f ca="1">IF(B8="","",VLOOKUP(--B8,道具产出规划!$A$2:$AN$238,MATCH(E$3,道具产出规划!$2:$2,0),0))</f>
        <v>1</v>
      </c>
      <c r="F8" s="4">
        <f t="shared" ca="1" si="4"/>
        <v>0.1</v>
      </c>
      <c r="G8">
        <v>10</v>
      </c>
      <c r="H8">
        <f t="shared" ca="1" si="5"/>
        <v>100</v>
      </c>
      <c r="I8">
        <v>1000</v>
      </c>
    </row>
    <row r="9" spans="2:9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200110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40级绿装库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3.5</v>
      </c>
      <c r="E9" s="1">
        <f ca="1">IF(B9="","",VLOOKUP(--B9,道具产出规划!$A$2:$AN$238,MATCH(E$3,道具产出规划!$2:$2,0),0))</f>
        <v>1</v>
      </c>
      <c r="F9" s="4">
        <f t="shared" ca="1" si="4"/>
        <v>0.1</v>
      </c>
      <c r="G9">
        <v>10</v>
      </c>
      <c r="H9">
        <f t="shared" ca="1" si="5"/>
        <v>100</v>
      </c>
      <c r="I9">
        <v>1000</v>
      </c>
    </row>
    <row r="10" spans="2:9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200111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50级绿装库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3</v>
      </c>
      <c r="E10" s="1">
        <f ca="1">IF(B10="","",VLOOKUP(--B10,道具产出规划!$A$2:$AN$238,MATCH(E$3,道具产出规划!$2:$2,0),0))</f>
        <v>1</v>
      </c>
      <c r="F10" s="4">
        <f t="shared" ca="1" si="4"/>
        <v>0.1</v>
      </c>
      <c r="G10">
        <v>10</v>
      </c>
      <c r="H10">
        <f t="shared" ca="1" si="5"/>
        <v>100</v>
      </c>
      <c r="I10">
        <v>1000</v>
      </c>
    </row>
    <row r="11" spans="2:9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200112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60级绿装库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2.5</v>
      </c>
      <c r="E11" s="1">
        <f ca="1">IF(B11="","",VLOOKUP(--B11,道具产出规划!$A$2:$AN$238,MATCH(E$3,道具产出规划!$2:$2,0),0))</f>
        <v>1</v>
      </c>
      <c r="F11" s="4">
        <f t="shared" ca="1" si="4"/>
        <v>0.1</v>
      </c>
      <c r="G11">
        <v>10</v>
      </c>
      <c r="H11">
        <f t="shared" ca="1" si="5"/>
        <v>100</v>
      </c>
      <c r="I11">
        <v>1000</v>
      </c>
    </row>
    <row r="12" spans="2:9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200113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70级绿装库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</v>
      </c>
      <c r="E12" s="1">
        <f ca="1">IF(B12="","",VLOOKUP(--B12,道具产出规划!$A$2:$AN$238,MATCH(E$3,道具产出规划!$2:$2,0),0))</f>
        <v>1</v>
      </c>
      <c r="F12" s="4">
        <f t="shared" ca="1" si="4"/>
        <v>0.1</v>
      </c>
      <c r="G12">
        <v>10</v>
      </c>
      <c r="H12">
        <f t="shared" ca="1" si="5"/>
        <v>100</v>
      </c>
      <c r="I12">
        <v>1000</v>
      </c>
    </row>
    <row r="13" spans="2:9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9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9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9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4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  <c r="N17" s="9"/>
    </row>
    <row r="18" spans="2:14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4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4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  <c r="J20" s="10"/>
    </row>
    <row r="21" spans="2:14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4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4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4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</row>
    <row r="25" spans="2:14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4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4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4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4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4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4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4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E4" sqref="E4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1793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200173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营养套餐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1.9</v>
      </c>
      <c r="E4" s="1">
        <f ca="1">IF(B4="","",VLOOKUP(--B4,道具产出规划!$A$2:$AN$238,MATCH(E$3,道具产出规划!$2:$2,0),0))</f>
        <v>1</v>
      </c>
      <c r="F4" s="4">
        <f ca="1">E4/10</f>
        <v>0.1</v>
      </c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200174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高级营养套餐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0.9</v>
      </c>
      <c r="E5" s="1">
        <f ca="1">IF(B5="","",VLOOKUP(--B5,道具产出规划!$A$2:$AN$238,MATCH(E$3,道具产出规划!$2:$2,0),0))</f>
        <v>0.2</v>
      </c>
      <c r="F5" s="4">
        <f ca="1">E5/10</f>
        <v>0.02</v>
      </c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E4" sqref="E4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9">
      <c r="B3" s="1" t="s">
        <v>1520</v>
      </c>
      <c r="C3" s="1" t="s">
        <v>1521</v>
      </c>
      <c r="D3" s="1" t="s">
        <v>1522</v>
      </c>
      <c r="E3" s="2" t="s">
        <v>1794</v>
      </c>
      <c r="F3" t="s">
        <v>1765</v>
      </c>
      <c r="G3" t="s">
        <v>1703</v>
      </c>
      <c r="H3" t="s">
        <v>1766</v>
      </c>
      <c r="I3" t="s">
        <v>1568</v>
      </c>
    </row>
    <row r="4" spans="2:9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200066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修炼丹库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12.1</v>
      </c>
      <c r="E4" s="1">
        <f ca="1">IF(B4="","",VLOOKUP(--B4,道具产出规划!$A$2:$AN$238,MATCH(E$3,道具产出规划!$2:$2,0),0))</f>
        <v>0.5</v>
      </c>
      <c r="F4" s="4">
        <v>5</v>
      </c>
      <c r="G4">
        <f ca="1">E4/F4</f>
        <v>0.1</v>
      </c>
      <c r="H4">
        <f ca="1">G4*1000</f>
        <v>100</v>
      </c>
      <c r="I4">
        <v>1000</v>
      </c>
    </row>
    <row r="5" spans="2:9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200075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普通五宝库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1.49</v>
      </c>
      <c r="E5" s="1">
        <f ca="1">IF(B5="","",VLOOKUP(--B5,道具产出规划!$A$2:$AN$238,MATCH(E$3,道具产出规划!$2:$2,0),0))</f>
        <v>0.5</v>
      </c>
      <c r="F5" s="4">
        <v>5</v>
      </c>
      <c r="G5">
        <f t="shared" ref="G5" ca="1" si="0">E5/F5</f>
        <v>0.1</v>
      </c>
      <c r="H5">
        <f t="shared" ref="H5" ca="1" si="1">G5*1000</f>
        <v>100</v>
      </c>
      <c r="I5">
        <v>1000</v>
      </c>
    </row>
    <row r="6" spans="2:9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200169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经验宝珠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8.3</v>
      </c>
      <c r="E6" s="1">
        <f ca="1">IF(B6="","",VLOOKUP(--B6,道具产出规划!$A$2:$AN$238,MATCH(E$3,道具产出规划!$2:$2,0),0))</f>
        <v>0.6</v>
      </c>
      <c r="F6" s="4">
        <v>5</v>
      </c>
      <c r="G6">
        <f ca="1">E6/F6</f>
        <v>0.12</v>
      </c>
      <c r="H6">
        <f ca="1">G6*1000</f>
        <v>120</v>
      </c>
      <c r="I6">
        <v>1000</v>
      </c>
    </row>
    <row r="7" spans="2:9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200171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修理宝石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0.1</v>
      </c>
      <c r="E7" s="1">
        <f ca="1">IF(B7="","",VLOOKUP(--B7,道具产出规划!$A$2:$AN$238,MATCH(E$3,道具产出规划!$2:$2,0),0))</f>
        <v>0.1</v>
      </c>
      <c r="F7" s="4">
        <v>5</v>
      </c>
      <c r="G7">
        <f ca="1">E7/F7</f>
        <v>0.02</v>
      </c>
      <c r="H7">
        <f ca="1">G7*1000</f>
        <v>20</v>
      </c>
      <c r="I7">
        <v>1000</v>
      </c>
    </row>
    <row r="8" spans="2:9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200174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高级营养套餐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0.9</v>
      </c>
      <c r="E8" s="1">
        <f ca="1">IF(B8="","",VLOOKUP(--B8,道具产出规划!$A$2:$AN$238,MATCH(E$3,道具产出规划!$2:$2,0),0))</f>
        <v>0.5</v>
      </c>
      <c r="F8" s="4">
        <v>5</v>
      </c>
      <c r="G8">
        <f ca="1">E8/F8</f>
        <v>0.1</v>
      </c>
      <c r="H8">
        <f ca="1">G8*1000</f>
        <v>100</v>
      </c>
      <c r="I8">
        <v>1000</v>
      </c>
    </row>
    <row r="9" spans="2:9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200180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藏宝图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12.39</v>
      </c>
      <c r="E9" s="1">
        <f ca="1">IF(B9="","",VLOOKUP(--B9,道具产出规划!$A$2:$AN$238,MATCH(E$3,道具产出规划!$2:$2,0),0))</f>
        <v>1</v>
      </c>
      <c r="F9" s="4">
        <v>5</v>
      </c>
      <c r="G9">
        <f ca="1">E9/F9</f>
        <v>0.2</v>
      </c>
      <c r="H9">
        <f ca="1">G9*1000</f>
        <v>200</v>
      </c>
      <c r="I9">
        <v>1000</v>
      </c>
    </row>
    <row r="10" spans="2:9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200183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浓缩染料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0.26</v>
      </c>
      <c r="E10" s="1">
        <f ca="1">IF(B10="","",VLOOKUP(--B10,道具产出规划!$A$2:$AN$238,MATCH(E$3,道具产出规划!$2:$2,0),0))</f>
        <v>0.1</v>
      </c>
      <c r="F10" s="4">
        <v>5</v>
      </c>
      <c r="G10">
        <f ca="1">E10/F10</f>
        <v>0.02</v>
      </c>
      <c r="H10">
        <f ca="1">G10*1000</f>
        <v>20</v>
      </c>
      <c r="I10">
        <v>1000</v>
      </c>
    </row>
    <row r="11" spans="2:9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9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9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9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9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9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  <c r="K22" s="6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dimension ref="B3:F61"/>
  <sheetViews>
    <sheetView topLeftCell="A21" workbookViewId="0">
      <selection activeCell="F63" sqref="F63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1538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200066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修炼丹库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12.1</v>
      </c>
      <c r="E4" s="1">
        <f ca="1">IF(B4="","",VLOOKUP(--B4,道具产出规划!$A$2:$AN$238,MATCH(E$3,道具产出规划!$2:$2,0),0))</f>
        <v>3</v>
      </c>
      <c r="F4" s="4">
        <f ca="1">E4/3</f>
        <v>1</v>
      </c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200074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珍稀五宝库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0.635</v>
      </c>
      <c r="E5" s="1">
        <f ca="1">IF(B5="","",VLOOKUP(--B5,道具产出规划!$A$2:$AN$238,MATCH(E$3,道具产出规划!$2:$2,0),0))</f>
        <v>0.3</v>
      </c>
      <c r="F5" s="4">
        <f ca="1">E5/3*5</f>
        <v>0.49999999999999994</v>
      </c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6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6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6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6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6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6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6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6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</row>
    <row r="25" spans="2:6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6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6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6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6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6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6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6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dimension ref="B3:N61"/>
  <sheetViews>
    <sheetView workbookViewId="0">
      <selection activeCell="E4" sqref="E4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0" max="10" width="15.625" customWidth="1"/>
  </cols>
  <sheetData>
    <row r="3" spans="2:14">
      <c r="B3" s="1" t="s">
        <v>1520</v>
      </c>
      <c r="C3" s="1" t="s">
        <v>1521</v>
      </c>
      <c r="D3" s="1" t="s">
        <v>1522</v>
      </c>
      <c r="E3" s="2" t="s">
        <v>1812</v>
      </c>
      <c r="G3" t="s">
        <v>1704</v>
      </c>
      <c r="H3" t="s">
        <v>1705</v>
      </c>
      <c r="I3" t="s">
        <v>1568</v>
      </c>
    </row>
    <row r="4" spans="2:14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200061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小血瓶蓝瓶库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3.2</v>
      </c>
      <c r="E4" s="1">
        <f ca="1">IF(B4="","",VLOOKUP(--B4,道具产出规划!$A$2:$AN$238,MATCH(E$3,道具产出规划!$2:$2,0),0))</f>
        <v>1</v>
      </c>
      <c r="F4" s="4">
        <f t="shared" ref="F4" ca="1" si="0">E4/10</f>
        <v>0.1</v>
      </c>
      <c r="G4">
        <v>10</v>
      </c>
      <c r="H4">
        <v>100</v>
      </c>
      <c r="I4">
        <v>1000</v>
      </c>
    </row>
    <row r="5" spans="2:14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200066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修炼丹库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12.1</v>
      </c>
      <c r="E5" s="1">
        <f ca="1">IF(B5="","",VLOOKUP(--B5,道具产出规划!$A$2:$AN$238,MATCH(E$3,道具产出规划!$2:$2,0),0))</f>
        <v>1</v>
      </c>
      <c r="F5" s="4">
        <f ca="1">E5/10</f>
        <v>0.1</v>
      </c>
      <c r="G5">
        <v>10</v>
      </c>
      <c r="H5">
        <v>100</v>
      </c>
      <c r="I5">
        <v>1000</v>
      </c>
    </row>
    <row r="6" spans="2:14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200172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光环卷轴碎片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4.9</v>
      </c>
      <c r="E6" s="1">
        <f ca="1">IF(B6="","",VLOOKUP(--B6,道具产出规划!$A$2:$AN$238,MATCH(E$3,道具产出规划!$2:$2,0),0))</f>
        <v>1</v>
      </c>
      <c r="F6" s="4">
        <f ca="1">E6/10</f>
        <v>0.1</v>
      </c>
      <c r="G6">
        <v>10</v>
      </c>
      <c r="H6">
        <v>100</v>
      </c>
      <c r="I6">
        <v>1000</v>
      </c>
    </row>
    <row r="7" spans="2:14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14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  <c r="I8" t="s">
        <v>1767</v>
      </c>
      <c r="L8" t="s">
        <v>1704</v>
      </c>
      <c r="M8" t="s">
        <v>1705</v>
      </c>
      <c r="N8" t="s">
        <v>1568</v>
      </c>
    </row>
    <row r="9" spans="2:14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  <c r="I9" s="7" t="s">
        <v>1754</v>
      </c>
      <c r="J9" s="7" t="s">
        <v>1398</v>
      </c>
      <c r="K9" s="7">
        <v>0.05</v>
      </c>
      <c r="L9" s="7">
        <v>1</v>
      </c>
      <c r="M9" s="7">
        <f t="shared" ref="M9" si="1">K9*1000</f>
        <v>50</v>
      </c>
      <c r="N9">
        <v>443</v>
      </c>
    </row>
    <row r="10" spans="2:14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  <c r="I10" s="7" t="s">
        <v>1722</v>
      </c>
      <c r="J10" s="7" t="s">
        <v>1401</v>
      </c>
      <c r="K10" s="7">
        <v>0.2</v>
      </c>
      <c r="L10" s="7">
        <v>1</v>
      </c>
      <c r="M10" s="7">
        <f t="shared" ref="M10" si="2">K10*1000</f>
        <v>200</v>
      </c>
      <c r="N10">
        <v>443</v>
      </c>
    </row>
    <row r="11" spans="2:14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  <c r="I11" s="7" t="s">
        <v>1723</v>
      </c>
      <c r="J11" s="7" t="s">
        <v>1403</v>
      </c>
      <c r="K11" s="7">
        <v>0.1</v>
      </c>
      <c r="L11" s="7">
        <v>1</v>
      </c>
      <c r="M11" s="7">
        <f>K11*1000</f>
        <v>100</v>
      </c>
      <c r="N11">
        <v>443</v>
      </c>
    </row>
    <row r="12" spans="2:14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  <c r="I12" s="7" t="s">
        <v>1768</v>
      </c>
      <c r="J12" s="7" t="s">
        <v>1410</v>
      </c>
      <c r="K12" s="7">
        <v>0.01</v>
      </c>
      <c r="L12" s="7">
        <v>1</v>
      </c>
      <c r="M12" s="7">
        <f>K12*1000</f>
        <v>10</v>
      </c>
      <c r="N12">
        <v>443</v>
      </c>
    </row>
    <row r="13" spans="2:14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  <c r="I13" s="7" t="s">
        <v>1769</v>
      </c>
      <c r="J13" s="7" t="s">
        <v>1411</v>
      </c>
      <c r="K13" s="7">
        <v>1E-3</v>
      </c>
      <c r="L13" s="7">
        <v>1</v>
      </c>
      <c r="M13" s="7">
        <f>K13*1000</f>
        <v>1</v>
      </c>
      <c r="N13">
        <v>443</v>
      </c>
    </row>
    <row r="14" spans="2:14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  <c r="I14" s="7" t="s">
        <v>1770</v>
      </c>
      <c r="J14" s="7" t="s">
        <v>846</v>
      </c>
      <c r="K14" s="7">
        <v>2E-3</v>
      </c>
      <c r="L14" s="7">
        <v>1</v>
      </c>
      <c r="M14" s="7">
        <f>K14*1000</f>
        <v>2</v>
      </c>
      <c r="N14">
        <v>443</v>
      </c>
    </row>
    <row r="15" spans="2:14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  <c r="I15" s="7" t="s">
        <v>1728</v>
      </c>
      <c r="J15" s="7" t="s">
        <v>855</v>
      </c>
      <c r="K15" s="7">
        <v>0.08</v>
      </c>
      <c r="L15" s="7">
        <v>1</v>
      </c>
      <c r="M15" s="7">
        <f>K15*1000</f>
        <v>80</v>
      </c>
      <c r="N15">
        <v>443</v>
      </c>
    </row>
    <row r="16" spans="2:14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2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2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2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2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2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2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2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2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  <c r="L24" s="6"/>
    </row>
    <row r="25" spans="2:12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2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2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2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2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2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2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2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dimension ref="B3:N61"/>
  <sheetViews>
    <sheetView workbookViewId="0">
      <selection activeCell="I8" sqref="I8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9" max="19" width="14.75" customWidth="1"/>
  </cols>
  <sheetData>
    <row r="3" spans="2:14">
      <c r="B3" s="1" t="s">
        <v>1520</v>
      </c>
      <c r="C3" s="1" t="s">
        <v>1521</v>
      </c>
      <c r="D3" s="1" t="s">
        <v>1522</v>
      </c>
      <c r="E3" s="2" t="s">
        <v>1813</v>
      </c>
      <c r="G3" t="s">
        <v>1704</v>
      </c>
      <c r="H3" t="s">
        <v>1705</v>
      </c>
      <c r="I3" t="s">
        <v>1568</v>
      </c>
    </row>
    <row r="4" spans="2:14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200061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小血瓶蓝瓶库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3.2</v>
      </c>
      <c r="E4" s="1">
        <f ca="1">IF(B4="","",VLOOKUP(--B4,道具产出规划!$A$2:$AN$238,MATCH(E$3,道具产出规划!$2:$2,0),0))</f>
        <v>1</v>
      </c>
      <c r="F4" s="4">
        <f t="shared" ref="F4" ca="1" si="0">E4/20</f>
        <v>0.05</v>
      </c>
      <c r="G4">
        <v>20</v>
      </c>
      <c r="H4">
        <v>50</v>
      </c>
      <c r="I4">
        <v>1000</v>
      </c>
    </row>
    <row r="5" spans="2:14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200066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修炼丹库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12.1</v>
      </c>
      <c r="E5" s="1">
        <f ca="1">IF(B5="","",VLOOKUP(--B5,道具产出规划!$A$2:$AN$238,MATCH(E$3,道具产出规划!$2:$2,0),0))</f>
        <v>1</v>
      </c>
      <c r="F5" s="4">
        <f ca="1">E5/20</f>
        <v>0.05</v>
      </c>
      <c r="G5">
        <v>20</v>
      </c>
      <c r="H5">
        <v>50</v>
      </c>
      <c r="I5">
        <v>1000</v>
      </c>
    </row>
    <row r="6" spans="2:14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200068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1级宝石库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5.7</v>
      </c>
      <c r="E6" s="1">
        <f ca="1">IF(B6="","",VLOOKUP(--B6,道具产出规划!$A$2:$AN$238,MATCH(E$3,道具产出规划!$2:$2,0),0))</f>
        <v>1</v>
      </c>
      <c r="F6" s="4">
        <f ca="1">E6/20</f>
        <v>0.05</v>
      </c>
      <c r="G6">
        <v>20</v>
      </c>
      <c r="H6">
        <v>50</v>
      </c>
      <c r="I6">
        <v>1000</v>
      </c>
    </row>
    <row r="7" spans="2:14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200173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营养套餐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1.9</v>
      </c>
      <c r="E7" s="1">
        <f ca="1">IF(B7="","",VLOOKUP(--B7,道具产出规划!$A$2:$AN$238,MATCH(E$3,道具产出规划!$2:$2,0),0))</f>
        <v>0.5</v>
      </c>
      <c r="F7" s="4">
        <f ca="1">E7/20</f>
        <v>2.5000000000000001E-2</v>
      </c>
      <c r="G7">
        <v>20</v>
      </c>
      <c r="H7">
        <v>25</v>
      </c>
      <c r="I7">
        <v>1000</v>
      </c>
    </row>
    <row r="8" spans="2:14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14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14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14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14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14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  <c r="I13" t="s">
        <v>1767</v>
      </c>
      <c r="J13" t="s">
        <v>1771</v>
      </c>
      <c r="L13" t="s">
        <v>1704</v>
      </c>
      <c r="M13" t="s">
        <v>1705</v>
      </c>
      <c r="N13" t="s">
        <v>1568</v>
      </c>
    </row>
    <row r="14" spans="2:14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  <c r="I14" s="7" t="s">
        <v>1754</v>
      </c>
      <c r="J14" s="7" t="s">
        <v>1398</v>
      </c>
      <c r="K14" s="7">
        <v>0.05</v>
      </c>
      <c r="L14" s="7">
        <v>1</v>
      </c>
      <c r="M14" s="7">
        <f t="shared" ref="M14" si="1">K14*1000</f>
        <v>50</v>
      </c>
      <c r="N14">
        <v>443</v>
      </c>
    </row>
    <row r="15" spans="2:14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  <c r="I15" s="7" t="s">
        <v>1722</v>
      </c>
      <c r="J15" s="7" t="s">
        <v>1401</v>
      </c>
      <c r="K15" s="7">
        <v>0.2</v>
      </c>
      <c r="L15" s="7">
        <v>1</v>
      </c>
      <c r="M15" s="7">
        <f t="shared" ref="M15" si="2">K15*1000</f>
        <v>200</v>
      </c>
      <c r="N15">
        <v>443</v>
      </c>
    </row>
    <row r="16" spans="2:14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  <c r="I16" s="7" t="s">
        <v>1723</v>
      </c>
      <c r="J16" s="7" t="s">
        <v>1403</v>
      </c>
      <c r="K16" s="7">
        <v>0.1</v>
      </c>
      <c r="L16" s="7">
        <v>1</v>
      </c>
      <c r="M16" s="7">
        <f>K16*1000</f>
        <v>100</v>
      </c>
      <c r="N16">
        <v>443</v>
      </c>
    </row>
    <row r="17" spans="2:14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  <c r="I17" s="7" t="s">
        <v>1768</v>
      </c>
      <c r="J17" s="7" t="s">
        <v>1410</v>
      </c>
      <c r="K17" s="7">
        <v>0.01</v>
      </c>
      <c r="L17" s="7">
        <v>1</v>
      </c>
      <c r="M17" s="7">
        <f>K17*1000</f>
        <v>10</v>
      </c>
      <c r="N17">
        <v>443</v>
      </c>
    </row>
    <row r="18" spans="2:14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  <c r="I18" s="8">
        <v>200076</v>
      </c>
      <c r="J18" s="7" t="s">
        <v>1411</v>
      </c>
      <c r="K18" s="7">
        <v>1E-3</v>
      </c>
      <c r="L18" s="7">
        <v>1</v>
      </c>
      <c r="M18" s="7">
        <f>K18*1000</f>
        <v>1</v>
      </c>
      <c r="N18">
        <v>443</v>
      </c>
    </row>
    <row r="19" spans="2:14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  <c r="I19" s="7" t="s">
        <v>1770</v>
      </c>
      <c r="J19" s="7" t="s">
        <v>846</v>
      </c>
      <c r="K19" s="7">
        <v>2E-3</v>
      </c>
      <c r="L19" s="7">
        <v>1</v>
      </c>
      <c r="M19" s="7">
        <f>K19*1000</f>
        <v>2</v>
      </c>
      <c r="N19">
        <v>443</v>
      </c>
    </row>
    <row r="20" spans="2:14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  <c r="I20" s="7" t="s">
        <v>1728</v>
      </c>
      <c r="J20" s="7" t="s">
        <v>855</v>
      </c>
      <c r="K20" s="7">
        <v>0.08</v>
      </c>
      <c r="L20" s="7">
        <v>1</v>
      </c>
      <c r="M20" s="7">
        <f>K20*1000</f>
        <v>80</v>
      </c>
      <c r="N20">
        <v>443</v>
      </c>
    </row>
    <row r="21" spans="2:14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4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4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4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4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4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  <c r="I26" t="s">
        <v>1772</v>
      </c>
    </row>
    <row r="27" spans="2:14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4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4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4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4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4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B3:L61"/>
  <sheetViews>
    <sheetView workbookViewId="0">
      <selection activeCell="I5" sqref="I5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  <col min="11" max="13" width="12.625"/>
  </cols>
  <sheetData>
    <row r="3" spans="2:12">
      <c r="B3" s="1" t="s">
        <v>1520</v>
      </c>
      <c r="C3" s="1" t="s">
        <v>1521</v>
      </c>
      <c r="D3" s="1" t="s">
        <v>1522</v>
      </c>
      <c r="E3" s="2" t="s">
        <v>1541</v>
      </c>
      <c r="I3" t="s">
        <v>1568</v>
      </c>
    </row>
    <row r="4" spans="2:12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200063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一级药库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22.35</v>
      </c>
      <c r="E4" s="1">
        <f ca="1">IF(B4="","",VLOOKUP(--B4,道具产出规划!$A$2:$AN$238,MATCH(E$3,道具产出规划!$2:$2,0),0))</f>
        <v>5.85</v>
      </c>
      <c r="F4" s="4">
        <f ca="1">E4*7/2/18/5</f>
        <v>0.22749999999999998</v>
      </c>
      <c r="G4">
        <f ca="1">ROUND(F4*10000,0)</f>
        <v>2275</v>
      </c>
      <c r="I4">
        <v>10000</v>
      </c>
      <c r="L4">
        <v>0.22500000000000001</v>
      </c>
    </row>
    <row r="5" spans="2:12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200064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二级药库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12.9</v>
      </c>
      <c r="E5" s="1">
        <f ca="1">IF(B5="","",VLOOKUP(--B5,道具产出规划!$A$2:$AN$238,MATCH(E$3,道具产出规划!$2:$2,0),0))</f>
        <v>3.9</v>
      </c>
      <c r="F5" s="4">
        <f ca="1">E5*7/2/18/5</f>
        <v>0.15166666666666667</v>
      </c>
      <c r="G5">
        <f t="shared" ref="G5" ca="1" si="0">ROUND(F5*10000,0)</f>
        <v>1517</v>
      </c>
      <c r="I5">
        <v>10000</v>
      </c>
      <c r="L5">
        <v>0.15</v>
      </c>
    </row>
    <row r="6" spans="2:12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200069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2级宝石库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0.895</v>
      </c>
      <c r="E6" s="1">
        <f ca="1">IF(B6="","",VLOOKUP(--B6,道具产出规划!$A$2:$AN$238,MATCH(E$3,道具产出规划!$2:$2,0),0))</f>
        <v>0.19500000000000001</v>
      </c>
      <c r="F6" s="4">
        <f ca="1">E6*7/2/18</f>
        <v>3.7916666666666668E-2</v>
      </c>
      <c r="G6">
        <f t="shared" ref="G6" ca="1" si="1">ROUND(F6*10000,0)</f>
        <v>379</v>
      </c>
      <c r="I6">
        <v>10000</v>
      </c>
      <c r="L6">
        <v>3.7499999999999999E-2</v>
      </c>
    </row>
    <row r="7" spans="2:12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200070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3级宝石库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0.065</v>
      </c>
      <c r="E7" s="1">
        <f ca="1">IF(B7="","",VLOOKUP(--B7,道具产出规划!$A$2:$AN$238,MATCH(E$3,道具产出规划!$2:$2,0),0))</f>
        <v>6.5000000000000002E-2</v>
      </c>
      <c r="F7" s="4">
        <f t="shared" ref="F7" ca="1" si="2">E7*7/2/18</f>
        <v>1.2638888888888889E-2</v>
      </c>
      <c r="G7">
        <f t="shared" ref="G7:G13" ca="1" si="3">ROUND(F7*10000,0)</f>
        <v>126</v>
      </c>
      <c r="I7">
        <v>10000</v>
      </c>
      <c r="L7">
        <v>1.2500000000000001E-2</v>
      </c>
    </row>
    <row r="8" spans="2:12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200071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低级魔兽要诀库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0.465</v>
      </c>
      <c r="E8" s="1">
        <f ca="1">IF(B8="","",VLOOKUP(--B8,道具产出规划!$A$2:$AN$238,MATCH(E$3,道具产出规划!$2:$2,0),0))</f>
        <v>6.5000000000000002E-2</v>
      </c>
      <c r="F8" s="4">
        <f t="shared" ref="F8" ca="1" si="4">E8*7/2/18</f>
        <v>1.2638888888888889E-2</v>
      </c>
      <c r="G8">
        <f t="shared" ca="1" si="3"/>
        <v>126</v>
      </c>
      <c r="I8">
        <v>10000</v>
      </c>
      <c r="L8">
        <v>1.2500000000000001E-2</v>
      </c>
    </row>
    <row r="9" spans="2:12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200072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高级魔兽要诀库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0.0025</v>
      </c>
      <c r="E9" s="1">
        <f ca="1">IF(B9="","",VLOOKUP(--B9,道具产出规划!$A$2:$AN$238,MATCH(E$3,道具产出规划!$2:$2,0),0))</f>
        <v>2.5000000000000001E-3</v>
      </c>
      <c r="F9" s="4">
        <f ca="1">E9*7/2/18</f>
        <v>4.8611111111111115E-4</v>
      </c>
      <c r="G9">
        <f t="shared" ca="1" si="3"/>
        <v>5</v>
      </c>
      <c r="I9">
        <v>10000</v>
      </c>
      <c r="L9">
        <v>3.33333333333333E-4</v>
      </c>
    </row>
    <row r="10" spans="2:12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200074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珍稀五宝库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0.635</v>
      </c>
      <c r="E10" s="1">
        <f ca="1">IF(B10="","",VLOOKUP(--B10,道具产出规划!$A$2:$AN$238,MATCH(E$3,道具产出规划!$2:$2,0),0))</f>
        <v>0.02</v>
      </c>
      <c r="F10" s="4">
        <f ca="1">E10*7/2/18</f>
        <v>3.8888888888888892E-3</v>
      </c>
      <c r="G10">
        <f t="shared" ca="1" si="3"/>
        <v>39</v>
      </c>
      <c r="I10">
        <v>10000</v>
      </c>
      <c r="L10">
        <v>1.4999999999999999E-2</v>
      </c>
    </row>
    <row r="11" spans="2:12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200075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普通五宝库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1.49</v>
      </c>
      <c r="E11" s="1">
        <f ca="1">IF(B11="","",VLOOKUP(--B11,道具产出规划!$A$2:$AN$238,MATCH(E$3,道具产出规划!$2:$2,0),0))</f>
        <v>0.06</v>
      </c>
      <c r="F11" s="4">
        <f ca="1">E11*7/2/18</f>
        <v>1.1666666666666665E-2</v>
      </c>
      <c r="G11">
        <f t="shared" ca="1" si="3"/>
        <v>117</v>
      </c>
      <c r="I11">
        <v>10000</v>
      </c>
      <c r="L11">
        <v>7.4999999999999997E-2</v>
      </c>
    </row>
    <row r="12" spans="2:12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200180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藏宝图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12.39</v>
      </c>
      <c r="E12" s="1">
        <f ca="1">IF(B12="","",VLOOKUP(--B12,道具产出规划!$A$2:$AN$238,MATCH(E$3,道具产出规划!$2:$2,0),0))</f>
        <v>0.39</v>
      </c>
      <c r="F12" s="4">
        <f ca="1">E12*7/2/18</f>
        <v>7.5833333333333336E-2</v>
      </c>
      <c r="G12">
        <f t="shared" ca="1" si="3"/>
        <v>758</v>
      </c>
      <c r="I12">
        <v>10000</v>
      </c>
      <c r="L12">
        <v>7.4999999999999997E-2</v>
      </c>
    </row>
    <row r="13" spans="2:12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200181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高级藏宝图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0.0015</v>
      </c>
      <c r="E13" s="1">
        <f ca="1">IF(B13="","",VLOOKUP(--B13,道具产出规划!$A$2:$AN$238,MATCH(E$3,道具产出规划!$2:$2,0),0))</f>
        <v>1.5E-3</v>
      </c>
      <c r="F13" s="4">
        <f ca="1">E13*7/2/18</f>
        <v>2.9166666666666669E-4</v>
      </c>
      <c r="G13">
        <f t="shared" ca="1" si="3"/>
        <v>3</v>
      </c>
      <c r="I13">
        <v>10000</v>
      </c>
      <c r="L13">
        <v>5.0000000000000001E-4</v>
      </c>
    </row>
    <row r="14" spans="2:12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12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  <c r="J15" s="157" t="s">
        <v>1792</v>
      </c>
    </row>
    <row r="16" spans="2:12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  <c r="G16" t="s">
        <v>1773</v>
      </c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  <c r="G17">
        <f ca="1">SUM(G4:G13)</f>
        <v>5345</v>
      </c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B3:S61"/>
  <sheetViews>
    <sheetView workbookViewId="0">
      <selection activeCell="C12" sqref="C12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6.875" customWidth="1"/>
    <col min="7" max="7" width="8.625" customWidth="1"/>
    <col min="12" max="12" width="13.625" customWidth="1"/>
  </cols>
  <sheetData>
    <row r="3" spans="2:16">
      <c r="B3" s="1" t="s">
        <v>1520</v>
      </c>
      <c r="C3" s="1" t="s">
        <v>1521</v>
      </c>
      <c r="D3" s="1" t="s">
        <v>1522</v>
      </c>
      <c r="E3" s="2" t="s">
        <v>1542</v>
      </c>
      <c r="F3" s="5" t="s">
        <v>1774</v>
      </c>
      <c r="G3" s="5" t="s">
        <v>1775</v>
      </c>
      <c r="H3" s="5" t="s">
        <v>1776</v>
      </c>
      <c r="K3" t="s">
        <v>1723</v>
      </c>
      <c r="L3" t="s">
        <v>1403</v>
      </c>
      <c r="M3" t="s">
        <v>1777</v>
      </c>
      <c r="N3">
        <v>67</v>
      </c>
      <c r="O3">
        <v>44</v>
      </c>
      <c r="P3">
        <v>111</v>
      </c>
    </row>
    <row r="4" spans="2:1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200068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1级宝石库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5.7</v>
      </c>
      <c r="E4" s="1">
        <f ca="1">IF(B4="","",VLOOKUP(--B4,道具产出规划!$A$2:$AN$238,MATCH(E$3,道具产出规划!$2:$2,0),0))</f>
        <v>0.5</v>
      </c>
      <c r="F4" s="4">
        <f ca="1">ROUND(E4/7.5*1000,0)</f>
        <v>67</v>
      </c>
      <c r="G4" s="4">
        <f ca="1">ROUND(E4/11.25*1000,0)</f>
        <v>44</v>
      </c>
      <c r="H4" s="4">
        <f ca="1">ROUND(E4/4.5*1000,0)</f>
        <v>111</v>
      </c>
      <c r="K4" t="s">
        <v>1724</v>
      </c>
      <c r="L4" t="s">
        <v>1404</v>
      </c>
      <c r="M4" t="s">
        <v>272</v>
      </c>
      <c r="N4">
        <v>27</v>
      </c>
      <c r="O4">
        <v>18</v>
      </c>
      <c r="P4">
        <v>44</v>
      </c>
    </row>
    <row r="5" spans="2:1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200069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2级宝石库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0.895</v>
      </c>
      <c r="E5" s="1">
        <f ca="1">IF(B5="","",VLOOKUP(--B5,道具产出规划!$A$2:$AN$238,MATCH(E$3,道具产出规划!$2:$2,0),0))</f>
        <v>0.2</v>
      </c>
      <c r="F5" s="4">
        <f t="shared" ref="F5" ca="1" si="0">ROUND(E5/7.5*1000,0)</f>
        <v>27</v>
      </c>
      <c r="G5" s="4">
        <f t="shared" ref="G5" ca="1" si="1">ROUND(E5/11.25*1000,0)</f>
        <v>18</v>
      </c>
      <c r="H5" s="4">
        <f t="shared" ref="H5" ca="1" si="2">ROUND(E5/4.5*1000,0)</f>
        <v>44</v>
      </c>
      <c r="K5" t="s">
        <v>1778</v>
      </c>
      <c r="L5" t="s">
        <v>1406</v>
      </c>
      <c r="M5" t="s">
        <v>1779</v>
      </c>
      <c r="N5">
        <v>13</v>
      </c>
      <c r="O5">
        <v>9</v>
      </c>
      <c r="P5">
        <v>22</v>
      </c>
    </row>
    <row r="6" spans="2:1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200071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低级魔兽要诀库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0.465</v>
      </c>
      <c r="E6" s="1">
        <f ca="1">IF(B6="","",VLOOKUP(--B6,道具产出规划!$A$2:$AN$238,MATCH(E$3,道具产出规划!$2:$2,0),0))</f>
        <v>0.1</v>
      </c>
      <c r="F6" s="4">
        <f t="shared" ref="F6" ca="1" si="3">ROUND(E6/7.5*1000,0)</f>
        <v>13</v>
      </c>
      <c r="G6" s="4">
        <f t="shared" ref="G6" ca="1" si="4">ROUND(E6/11.25*1000,0)</f>
        <v>9</v>
      </c>
      <c r="H6" s="4">
        <f t="shared" ref="H6" ca="1" si="5">ROUND(E6/4.5*1000,0)</f>
        <v>22</v>
      </c>
      <c r="K6" t="s">
        <v>1780</v>
      </c>
      <c r="L6" t="s">
        <v>1409</v>
      </c>
      <c r="M6" t="s">
        <v>1781</v>
      </c>
      <c r="N6">
        <v>27</v>
      </c>
      <c r="O6">
        <v>18</v>
      </c>
      <c r="P6">
        <v>44</v>
      </c>
    </row>
    <row r="7" spans="2:1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200074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珍稀五宝库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0.635</v>
      </c>
      <c r="E7" s="1">
        <f ca="1">IF(B7="","",VLOOKUP(--B7,道具产出规划!$A$2:$AN$238,MATCH(E$3,道具产出规划!$2:$2,0),0))</f>
        <v>0.2</v>
      </c>
      <c r="F7" s="4">
        <f t="shared" ref="F7:F17" ca="1" si="6">ROUND(E7/7.5*1000,0)</f>
        <v>27</v>
      </c>
      <c r="G7" s="4">
        <f t="shared" ref="G7:G17" ca="1" si="7">ROUND(E7/11.25*1000,0)</f>
        <v>18</v>
      </c>
      <c r="H7" s="4">
        <f t="shared" ref="H7:H17" ca="1" si="8">ROUND(E7/4.5*1000,0)</f>
        <v>44</v>
      </c>
      <c r="K7" t="s">
        <v>1768</v>
      </c>
      <c r="L7" t="s">
        <v>1410</v>
      </c>
      <c r="M7" t="s">
        <v>1782</v>
      </c>
      <c r="N7">
        <v>133</v>
      </c>
      <c r="O7">
        <v>89</v>
      </c>
      <c r="P7">
        <v>222</v>
      </c>
    </row>
    <row r="8" spans="2:1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200075</v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普通五宝库</v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>1.49</v>
      </c>
      <c r="E8" s="1">
        <f ca="1">IF(B8="","",VLOOKUP(--B8,道具产出规划!$A$2:$AN$238,MATCH(E$3,道具产出规划!$2:$2,0),0))</f>
        <v>0.6</v>
      </c>
      <c r="F8" s="4">
        <f t="shared" ca="1" si="6"/>
        <v>80</v>
      </c>
      <c r="G8" s="4">
        <f t="shared" ca="1" si="7"/>
        <v>53</v>
      </c>
      <c r="H8" s="4">
        <f t="shared" ca="1" si="8"/>
        <v>133</v>
      </c>
      <c r="K8" t="s">
        <v>1770</v>
      </c>
      <c r="L8" t="s">
        <v>846</v>
      </c>
      <c r="M8" t="s">
        <v>1783</v>
      </c>
      <c r="N8">
        <v>7</v>
      </c>
      <c r="O8">
        <v>4</v>
      </c>
      <c r="P8">
        <v>11</v>
      </c>
    </row>
    <row r="9" spans="2:1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200175</v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资质影砂</v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>0.07</v>
      </c>
      <c r="E9" s="1">
        <f ca="1">IF(B9="","",VLOOKUP(--B9,道具产出规划!$A$2:$AN$238,MATCH(E$3,道具产出规划!$2:$2,0),0))</f>
        <v>0.05</v>
      </c>
      <c r="F9" s="4">
        <f t="shared" ca="1" si="6"/>
        <v>7</v>
      </c>
      <c r="G9" s="4">
        <f t="shared" ca="1" si="7"/>
        <v>4</v>
      </c>
      <c r="H9" s="4">
        <f t="shared" ca="1" si="8"/>
        <v>11</v>
      </c>
    </row>
    <row r="10" spans="2:1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200189</v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40级铁</v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>0.7</v>
      </c>
      <c r="E10" s="1">
        <f ca="1">IF(B10="","",VLOOKUP(--B10,道具产出规划!$A$2:$AN$238,MATCH(E$3,道具产出规划!$2:$2,0),0))</f>
        <v>0.3</v>
      </c>
      <c r="F10" s="4">
        <f t="shared" ca="1" si="6"/>
        <v>40</v>
      </c>
      <c r="G10" s="4">
        <f t="shared" ca="1" si="7"/>
        <v>27</v>
      </c>
      <c r="H10" s="4">
        <f t="shared" ca="1" si="8"/>
        <v>67</v>
      </c>
      <c r="K10" t="s">
        <v>217</v>
      </c>
      <c r="L10" t="s">
        <v>1415</v>
      </c>
      <c r="M10" t="s">
        <v>1784</v>
      </c>
      <c r="N10">
        <v>40</v>
      </c>
      <c r="O10">
        <v>27</v>
      </c>
      <c r="P10">
        <v>67</v>
      </c>
    </row>
    <row r="11" spans="2:1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200190</v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50级铁</v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>0.546</v>
      </c>
      <c r="E11" s="1">
        <f ca="1">IF(B11="","",VLOOKUP(--B11,道具产出规划!$A$2:$AN$238,MATCH(E$3,道具产出规划!$2:$2,0),0))</f>
        <v>0.2</v>
      </c>
      <c r="F11" s="4">
        <f t="shared" ca="1" si="6"/>
        <v>27</v>
      </c>
      <c r="G11" s="4">
        <f t="shared" ca="1" si="7"/>
        <v>18</v>
      </c>
      <c r="H11" s="4">
        <f t="shared" ca="1" si="8"/>
        <v>44</v>
      </c>
      <c r="K11" t="s">
        <v>219</v>
      </c>
      <c r="L11" t="s">
        <v>1416</v>
      </c>
      <c r="M11" t="s">
        <v>1785</v>
      </c>
      <c r="N11">
        <v>27</v>
      </c>
      <c r="O11">
        <v>18</v>
      </c>
      <c r="P11">
        <v>44</v>
      </c>
    </row>
    <row r="12" spans="2:1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200191</v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60级铁</v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>0.346</v>
      </c>
      <c r="E12" s="1">
        <f ca="1">IF(B12="","",VLOOKUP(--B12,道具产出规划!$A$2:$AN$238,MATCH(E$3,道具产出规划!$2:$2,0),0))</f>
        <v>0.1</v>
      </c>
      <c r="F12" s="4">
        <f t="shared" ca="1" si="6"/>
        <v>13</v>
      </c>
      <c r="G12" s="4">
        <f t="shared" ca="1" si="7"/>
        <v>9</v>
      </c>
      <c r="H12" s="4">
        <f t="shared" ca="1" si="8"/>
        <v>22</v>
      </c>
      <c r="K12" t="s">
        <v>221</v>
      </c>
      <c r="L12" t="s">
        <v>1417</v>
      </c>
      <c r="M12" t="s">
        <v>1786</v>
      </c>
      <c r="N12">
        <v>13</v>
      </c>
      <c r="O12">
        <v>9</v>
      </c>
      <c r="P12">
        <v>22</v>
      </c>
    </row>
    <row r="13" spans="2:1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200192</v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70级铁</v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>0.196</v>
      </c>
      <c r="E13" s="1">
        <f ca="1">IF(B13="","",VLOOKUP(--B13,道具产出规划!$A$2:$AN$238,MATCH(E$3,道具产出规划!$2:$2,0),0))</f>
        <v>0.05</v>
      </c>
      <c r="F13" s="4">
        <f t="shared" ca="1" si="6"/>
        <v>7</v>
      </c>
      <c r="G13" s="4">
        <f t="shared" ca="1" si="7"/>
        <v>4</v>
      </c>
      <c r="H13" s="4">
        <f t="shared" ca="1" si="8"/>
        <v>11</v>
      </c>
      <c r="K13" t="s">
        <v>223</v>
      </c>
      <c r="L13" t="s">
        <v>1418</v>
      </c>
      <c r="M13" t="s">
        <v>1787</v>
      </c>
      <c r="N13">
        <v>7</v>
      </c>
      <c r="O13">
        <v>4</v>
      </c>
      <c r="P13">
        <v>11</v>
      </c>
    </row>
    <row r="14" spans="2:1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200080</v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40级打造图纸库</v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>0.7</v>
      </c>
      <c r="E14" s="1">
        <f ca="1">IF(B14="","",VLOOKUP(--B14,道具产出规划!$A$2:$AN$238,MATCH(E$3,道具产出规划!$2:$2,0),0))</f>
        <v>0.3</v>
      </c>
      <c r="F14" s="4">
        <f t="shared" ca="1" si="6"/>
        <v>40</v>
      </c>
      <c r="G14" s="4">
        <f t="shared" ca="1" si="7"/>
        <v>27</v>
      </c>
      <c r="H14" s="4">
        <f t="shared" ca="1" si="8"/>
        <v>67</v>
      </c>
      <c r="K14" t="s">
        <v>1712</v>
      </c>
      <c r="L14" t="s">
        <v>1430</v>
      </c>
      <c r="M14" t="s">
        <v>1784</v>
      </c>
      <c r="N14">
        <v>40</v>
      </c>
      <c r="O14">
        <v>27</v>
      </c>
      <c r="P14">
        <v>67</v>
      </c>
    </row>
    <row r="15" spans="2:1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200081</v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50级打造图纸库</v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>0.546</v>
      </c>
      <c r="E15" s="1">
        <f ca="1">IF(B15="","",VLOOKUP(--B15,道具产出规划!$A$2:$AN$238,MATCH(E$3,道具产出规划!$2:$2,0),0))</f>
        <v>0.2</v>
      </c>
      <c r="F15" s="4">
        <f t="shared" ca="1" si="6"/>
        <v>27</v>
      </c>
      <c r="G15" s="4">
        <f t="shared" ca="1" si="7"/>
        <v>18</v>
      </c>
      <c r="H15" s="4">
        <f t="shared" ca="1" si="8"/>
        <v>44</v>
      </c>
      <c r="K15" t="s">
        <v>1713</v>
      </c>
      <c r="L15" t="s">
        <v>1431</v>
      </c>
      <c r="M15" t="s">
        <v>1785</v>
      </c>
      <c r="N15">
        <v>27</v>
      </c>
      <c r="O15">
        <v>18</v>
      </c>
      <c r="P15">
        <v>44</v>
      </c>
    </row>
    <row r="16" spans="2:1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200082</v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60级打造图纸库</v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>0.346</v>
      </c>
      <c r="E16" s="1">
        <f ca="1">IF(B16="","",VLOOKUP(--B16,道具产出规划!$A$2:$AN$238,MATCH(E$3,道具产出规划!$2:$2,0),0))</f>
        <v>0.1</v>
      </c>
      <c r="F16" s="4">
        <f t="shared" ca="1" si="6"/>
        <v>13</v>
      </c>
      <c r="G16" s="4">
        <f t="shared" ca="1" si="7"/>
        <v>9</v>
      </c>
      <c r="H16" s="4">
        <f t="shared" ca="1" si="8"/>
        <v>22</v>
      </c>
      <c r="K16" t="s">
        <v>1714</v>
      </c>
      <c r="L16" t="s">
        <v>1432</v>
      </c>
      <c r="M16" t="s">
        <v>1786</v>
      </c>
      <c r="N16">
        <v>13</v>
      </c>
      <c r="O16">
        <v>9</v>
      </c>
      <c r="P16">
        <v>22</v>
      </c>
    </row>
    <row r="17" spans="2:19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200083</v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70级打造图纸库</v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>0.196</v>
      </c>
      <c r="E17" s="1">
        <f ca="1">IF(B17="","",VLOOKUP(--B17,道具产出规划!$A$2:$AN$238,MATCH(E$3,道具产出规划!$2:$2,0),0))</f>
        <v>0.05</v>
      </c>
      <c r="F17" s="4">
        <f t="shared" ca="1" si="6"/>
        <v>7</v>
      </c>
      <c r="G17" s="4">
        <f t="shared" ca="1" si="7"/>
        <v>4</v>
      </c>
      <c r="H17" s="4">
        <f t="shared" ca="1" si="8"/>
        <v>11</v>
      </c>
      <c r="K17" t="s">
        <v>1715</v>
      </c>
      <c r="L17" t="s">
        <v>1433</v>
      </c>
      <c r="M17" t="s">
        <v>1787</v>
      </c>
      <c r="N17">
        <v>7</v>
      </c>
      <c r="O17">
        <v>4</v>
      </c>
      <c r="P17">
        <v>11</v>
      </c>
    </row>
    <row r="18" spans="2:19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9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9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9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9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9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  <c r="K23" t="s">
        <v>1788</v>
      </c>
      <c r="L23" t="s">
        <v>1723</v>
      </c>
      <c r="M23" t="s">
        <v>1724</v>
      </c>
      <c r="N23" t="s">
        <v>1778</v>
      </c>
      <c r="O23" t="s">
        <v>1780</v>
      </c>
      <c r="P23" t="s">
        <v>1768</v>
      </c>
      <c r="Q23" t="s">
        <v>1770</v>
      </c>
      <c r="R23" t="s">
        <v>217</v>
      </c>
      <c r="S23" t="s">
        <v>1712</v>
      </c>
    </row>
    <row r="24" spans="2:19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t="s">
        <v>1789</v>
      </c>
      <c r="L24" t="s">
        <v>1723</v>
      </c>
      <c r="M24" t="s">
        <v>1724</v>
      </c>
      <c r="N24" t="s">
        <v>1778</v>
      </c>
      <c r="O24" t="s">
        <v>1780</v>
      </c>
      <c r="P24" t="s">
        <v>1768</v>
      </c>
      <c r="Q24" t="s">
        <v>1770</v>
      </c>
      <c r="R24" t="s">
        <v>219</v>
      </c>
      <c r="S24" t="s">
        <v>1713</v>
      </c>
    </row>
    <row r="25" spans="2:19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  <c r="K25" t="s">
        <v>1790</v>
      </c>
      <c r="L25" t="s">
        <v>1723</v>
      </c>
      <c r="M25" t="s">
        <v>1724</v>
      </c>
      <c r="N25" t="s">
        <v>1778</v>
      </c>
      <c r="O25" t="s">
        <v>1780</v>
      </c>
      <c r="P25" t="s">
        <v>1768</v>
      </c>
      <c r="Q25" t="s">
        <v>1770</v>
      </c>
      <c r="R25" t="s">
        <v>221</v>
      </c>
      <c r="S25" t="s">
        <v>1714</v>
      </c>
    </row>
    <row r="26" spans="2:19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  <c r="K26" t="s">
        <v>1791</v>
      </c>
      <c r="L26" t="s">
        <v>1723</v>
      </c>
      <c r="M26" t="s">
        <v>1724</v>
      </c>
      <c r="N26" t="s">
        <v>1778</v>
      </c>
      <c r="O26" t="s">
        <v>1780</v>
      </c>
      <c r="P26" t="s">
        <v>1768</v>
      </c>
      <c r="Q26" t="s">
        <v>1770</v>
      </c>
      <c r="R26" t="s">
        <v>223</v>
      </c>
      <c r="S26" t="s">
        <v>1715</v>
      </c>
    </row>
    <row r="27" spans="2:19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9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  <c r="L28">
        <v>67</v>
      </c>
      <c r="M28">
        <v>27</v>
      </c>
      <c r="N28">
        <v>13</v>
      </c>
      <c r="O28">
        <v>27</v>
      </c>
      <c r="P28">
        <v>133</v>
      </c>
      <c r="Q28">
        <v>7</v>
      </c>
      <c r="R28">
        <v>40</v>
      </c>
      <c r="S28">
        <v>40</v>
      </c>
    </row>
    <row r="29" spans="2:19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  <c r="L29">
        <v>67</v>
      </c>
      <c r="M29">
        <v>27</v>
      </c>
      <c r="N29">
        <v>13</v>
      </c>
      <c r="O29">
        <v>27</v>
      </c>
      <c r="P29">
        <v>133</v>
      </c>
      <c r="Q29">
        <v>7</v>
      </c>
      <c r="R29">
        <v>27</v>
      </c>
      <c r="S29">
        <v>27</v>
      </c>
    </row>
    <row r="30" spans="2:19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  <c r="L30">
        <v>67</v>
      </c>
      <c r="M30">
        <v>27</v>
      </c>
      <c r="N30">
        <v>13</v>
      </c>
      <c r="O30">
        <v>27</v>
      </c>
      <c r="P30">
        <v>133</v>
      </c>
      <c r="Q30">
        <v>7</v>
      </c>
      <c r="R30">
        <v>13</v>
      </c>
      <c r="S30">
        <v>13</v>
      </c>
    </row>
    <row r="31" spans="2:19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  <c r="L31">
        <v>67</v>
      </c>
      <c r="M31">
        <v>27</v>
      </c>
      <c r="N31">
        <v>13</v>
      </c>
      <c r="O31">
        <v>27</v>
      </c>
      <c r="P31">
        <v>133</v>
      </c>
      <c r="Q31">
        <v>7</v>
      </c>
      <c r="R31">
        <v>7</v>
      </c>
      <c r="S31">
        <v>7</v>
      </c>
    </row>
    <row r="32" spans="2:19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19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  <c r="L33">
        <v>44</v>
      </c>
      <c r="M33">
        <v>18</v>
      </c>
      <c r="N33">
        <v>9</v>
      </c>
      <c r="O33">
        <v>18</v>
      </c>
      <c r="P33">
        <v>89</v>
      </c>
      <c r="Q33">
        <v>4</v>
      </c>
      <c r="R33">
        <v>27</v>
      </c>
      <c r="S33">
        <v>27</v>
      </c>
    </row>
    <row r="34" spans="2:19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  <c r="L34">
        <v>44</v>
      </c>
      <c r="M34">
        <v>18</v>
      </c>
      <c r="N34">
        <v>9</v>
      </c>
      <c r="O34">
        <v>18</v>
      </c>
      <c r="P34">
        <v>89</v>
      </c>
      <c r="Q34">
        <v>4</v>
      </c>
      <c r="R34">
        <v>18</v>
      </c>
      <c r="S34">
        <v>18</v>
      </c>
    </row>
    <row r="35" spans="2:19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  <c r="L35">
        <v>44</v>
      </c>
      <c r="M35">
        <v>18</v>
      </c>
      <c r="N35">
        <v>9</v>
      </c>
      <c r="O35">
        <v>18</v>
      </c>
      <c r="P35">
        <v>89</v>
      </c>
      <c r="Q35">
        <v>4</v>
      </c>
      <c r="R35">
        <v>9</v>
      </c>
      <c r="S35">
        <v>9</v>
      </c>
    </row>
    <row r="36" spans="2:19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  <c r="L36">
        <v>44</v>
      </c>
      <c r="M36">
        <v>18</v>
      </c>
      <c r="N36">
        <v>9</v>
      </c>
      <c r="O36">
        <v>18</v>
      </c>
      <c r="P36">
        <v>89</v>
      </c>
      <c r="Q36">
        <v>4</v>
      </c>
      <c r="R36">
        <v>4</v>
      </c>
      <c r="S36">
        <v>4</v>
      </c>
    </row>
    <row r="37" spans="2:19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19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  <c r="L38">
        <v>111</v>
      </c>
      <c r="M38">
        <v>44</v>
      </c>
      <c r="N38">
        <v>22</v>
      </c>
      <c r="O38">
        <v>44</v>
      </c>
      <c r="P38">
        <v>222</v>
      </c>
      <c r="Q38">
        <v>11</v>
      </c>
      <c r="R38">
        <v>67</v>
      </c>
      <c r="S38">
        <v>67</v>
      </c>
    </row>
    <row r="39" spans="2:19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  <c r="L39">
        <v>111</v>
      </c>
      <c r="M39">
        <v>44</v>
      </c>
      <c r="N39">
        <v>22</v>
      </c>
      <c r="O39">
        <v>44</v>
      </c>
      <c r="P39">
        <v>222</v>
      </c>
      <c r="Q39">
        <v>11</v>
      </c>
      <c r="R39">
        <v>44</v>
      </c>
      <c r="S39">
        <v>44</v>
      </c>
    </row>
    <row r="40" spans="2:19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  <c r="L40">
        <v>111</v>
      </c>
      <c r="M40">
        <v>44</v>
      </c>
      <c r="N40">
        <v>22</v>
      </c>
      <c r="O40">
        <v>44</v>
      </c>
      <c r="P40">
        <v>222</v>
      </c>
      <c r="Q40">
        <v>11</v>
      </c>
      <c r="R40">
        <v>22</v>
      </c>
      <c r="S40">
        <v>22</v>
      </c>
    </row>
    <row r="41" spans="2:19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  <c r="L41">
        <v>111</v>
      </c>
      <c r="M41">
        <v>44</v>
      </c>
      <c r="N41">
        <v>22</v>
      </c>
      <c r="O41">
        <v>44</v>
      </c>
      <c r="P41">
        <v>222</v>
      </c>
      <c r="Q41">
        <v>11</v>
      </c>
      <c r="R41">
        <v>11</v>
      </c>
      <c r="S41">
        <v>11</v>
      </c>
    </row>
    <row r="42" spans="2:19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19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19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19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19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19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19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G16" sqref="G16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1543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IF(B4="","",VLOOKUP(--B4,道具产出规划!$A$2:$AN$238,MATCH(E$3,道具产出规划!$2:$2,0),0))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IF(B5="","",VLOOKUP(--B5,道具产出规划!$A$2:$AN$238,MATCH(E$3,道具产出规划!$2:$2,0),0))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>
  <dimension ref="B3:K61"/>
  <sheetViews>
    <sheetView topLeftCell="A7" workbookViewId="0">
      <selection activeCell="B4" sqref="B4:E61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1546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IF(B4="","",VLOOKUP(--B4,道具产出规划!$A$2:$AN$238,MATCH(E$3,道具产出规划!$2:$2,0),0))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IF(B5="","",VLOOKUP(--B5,道具产出规划!$A$2:$AN$238,MATCH(E$3,道具产出规划!$2:$2,0),0))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G47" sqref="G47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1547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/>
      </c>
      <c r="E4" s="1" t="str">
        <f ca="1">IF(B4="","",VLOOKUP(--B4,道具产出规划!$A$2:$AN$238,MATCH(E$3,道具产出规划!$2:$2,0),0))</f>
        <v/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/>
      </c>
      <c r="E5" s="1" t="str">
        <f ca="1">IF(B5="","",VLOOKUP(--B5,道具产出规划!$A$2:$AN$238,MATCH(E$3,道具产出规划!$2:$2,0),0))</f>
        <v/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/>
      </c>
      <c r="E6" s="1" t="str">
        <f ca="1">IF(B6="","",VLOOKUP(--B6,道具产出规划!$A$2:$AN$238,MATCH(E$3,道具产出规划!$2:$2,0),0))</f>
        <v/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/>
      </c>
      <c r="E7" s="1" t="str">
        <f ca="1">IF(B7="","",VLOOKUP(--B7,道具产出规划!$A$2:$AN$238,MATCH(E$3,道具产出规划!$2:$2,0),0))</f>
        <v/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>
  <dimension ref="B3:K61"/>
  <sheetViews>
    <sheetView workbookViewId="0">
      <selection activeCell="K31" sqref="K31"/>
    </sheetView>
  </sheetViews>
  <sheetFormatPr defaultColWidth="9" defaultRowHeight="13.5"/>
  <cols>
    <col min="1" max="2" width="8.625" customWidth="1"/>
    <col min="3" max="3" width="14.375" customWidth="1"/>
    <col min="4" max="4" width="8.625" customWidth="1"/>
    <col min="5" max="5" width="10.25" customWidth="1"/>
    <col min="6" max="6" width="8.625" customWidth="1"/>
  </cols>
  <sheetData>
    <row r="3" spans="2:6">
      <c r="B3" s="1" t="s">
        <v>1520</v>
      </c>
      <c r="C3" s="1" t="s">
        <v>1521</v>
      </c>
      <c r="D3" s="1" t="s">
        <v>1522</v>
      </c>
      <c r="E3" s="2" t="s">
        <v>1548</v>
      </c>
    </row>
    <row r="4" spans="2:6">
      <c r="B4" s="3" t="str">
        <f t="array" aca="1" ref="B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200066</v>
      </c>
      <c r="C4" s="1" t="str">
        <f t="array" aca="1" ref="C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修炼丹库</v>
      </c>
      <c r="D4" s="1" t="str">
        <f t="array" aca="1" ref="D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1)))&amp;""</f>
        <v>12.1</v>
      </c>
      <c r="E4" s="1">
        <f ca="1">IF(B4="","",VLOOKUP(--B4,道具产出规划!$A$2:$AN$238,MATCH(E$3,道具产出规划!$2:$2,0),0))</f>
        <v>1</v>
      </c>
      <c r="F4" s="4"/>
    </row>
    <row r="5" spans="2:6">
      <c r="B5" s="3" t="str">
        <f t="array" aca="1" ref="B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200068</v>
      </c>
      <c r="C5" s="1" t="str">
        <f t="array" aca="1" ref="C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1级宝石库</v>
      </c>
      <c r="D5" s="1" t="str">
        <f t="array" aca="1" ref="D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2)))&amp;""</f>
        <v>5.7</v>
      </c>
      <c r="E5" s="1">
        <f ca="1">IF(B5="","",VLOOKUP(--B5,道具产出规划!$A$2:$AN$238,MATCH(E$3,道具产出规划!$2:$2,0),0))</f>
        <v>1</v>
      </c>
      <c r="F5" s="4"/>
    </row>
    <row r="6" spans="2:6">
      <c r="B6" s="3" t="str">
        <f t="array" aca="1" ref="B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200177</v>
      </c>
      <c r="C6" s="1" t="str">
        <f t="array" aca="1" ref="C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太阳井水</v>
      </c>
      <c r="D6" s="1" t="str">
        <f t="array" aca="1" ref="D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3)))&amp;""</f>
        <v>2.8</v>
      </c>
      <c r="E6" s="1">
        <f ca="1">IF(B6="","",VLOOKUP(--B6,道具产出规划!$A$2:$AN$238,MATCH(E$3,道具产出规划!$2:$2,0),0))</f>
        <v>1</v>
      </c>
      <c r="F6" s="4"/>
    </row>
    <row r="7" spans="2:6">
      <c r="B7" s="3" t="str">
        <f t="array" aca="1" ref="B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200180</v>
      </c>
      <c r="C7" s="1" t="str">
        <f t="array" aca="1" ref="C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藏宝图</v>
      </c>
      <c r="D7" s="1" t="str">
        <f t="array" aca="1" ref="D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4)))&amp;""</f>
        <v>12.39</v>
      </c>
      <c r="E7" s="1">
        <f ca="1">IF(B7="","",VLOOKUP(--B7,道具产出规划!$A$2:$AN$238,MATCH(E$3,道具产出规划!$2:$2,0),0))</f>
        <v>1</v>
      </c>
      <c r="F7" s="5"/>
    </row>
    <row r="8" spans="2:6">
      <c r="B8" s="3" t="str">
        <f t="array" aca="1" ref="B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C8" s="1" t="str">
        <f t="array" aca="1" ref="C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D8" s="1" t="str">
        <f t="array" aca="1" ref="D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5)))&amp;""</f>
        <v/>
      </c>
      <c r="E8" s="1" t="str">
        <f ca="1">IF(B8="","",VLOOKUP(--B8,道具产出规划!$A$2:$AN$238,MATCH(E$3,道具产出规划!$2:$2,0),0))</f>
        <v/>
      </c>
      <c r="F8" s="4"/>
    </row>
    <row r="9" spans="2:6">
      <c r="B9" s="3" t="str">
        <f t="array" aca="1" ref="B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C9" s="1" t="str">
        <f t="array" aca="1" ref="C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D9" s="1" t="str">
        <f t="array" aca="1" ref="D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6)))&amp;""</f>
        <v/>
      </c>
      <c r="E9" s="1" t="str">
        <f ca="1">IF(B9="","",VLOOKUP(--B9,道具产出规划!$A$2:$AN$238,MATCH(E$3,道具产出规划!$2:$2,0),0))</f>
        <v/>
      </c>
      <c r="F9" s="4"/>
    </row>
    <row r="10" spans="2:6">
      <c r="B10" s="3" t="str">
        <f t="array" aca="1" ref="B1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C10" s="1" t="str">
        <f t="array" aca="1" ref="C1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D10" s="1" t="str">
        <f t="array" aca="1" ref="D1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7)))&amp;""</f>
        <v/>
      </c>
      <c r="E10" s="1" t="str">
        <f ca="1">IF(B10="","",VLOOKUP(--B10,道具产出规划!$A$2:$AN$238,MATCH(E$3,道具产出规划!$2:$2,0),0))</f>
        <v/>
      </c>
      <c r="F10" s="4"/>
    </row>
    <row r="11" spans="2:6">
      <c r="B11" s="3" t="str">
        <f t="array" aca="1" ref="B1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C11" s="1" t="str">
        <f t="array" aca="1" ref="C1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D11" s="1" t="str">
        <f t="array" aca="1" ref="D1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8)))&amp;""</f>
        <v/>
      </c>
      <c r="E11" s="1" t="str">
        <f ca="1">IF(B11="","",VLOOKUP(--B11,道具产出规划!$A$2:$AN$238,MATCH(E$3,道具产出规划!$2:$2,0),0))</f>
        <v/>
      </c>
      <c r="F11" s="4"/>
    </row>
    <row r="12" spans="2:6">
      <c r="B12" s="3" t="str">
        <f t="array" aca="1" ref="B1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C12" s="1" t="str">
        <f t="array" aca="1" ref="C1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D12" s="1" t="str">
        <f t="array" aca="1" ref="D1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9)))&amp;""</f>
        <v/>
      </c>
      <c r="E12" s="1" t="str">
        <f ca="1">IF(B12="","",VLOOKUP(--B12,道具产出规划!$A$2:$AN$238,MATCH(E$3,道具产出规划!$2:$2,0),0))</f>
        <v/>
      </c>
      <c r="F12" s="4"/>
    </row>
    <row r="13" spans="2:6">
      <c r="B13" s="3" t="str">
        <f t="array" aca="1" ref="B1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C13" s="1" t="str">
        <f t="array" aca="1" ref="C1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D13" s="1" t="str">
        <f t="array" aca="1" ref="D1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10)))&amp;""</f>
        <v/>
      </c>
      <c r="E13" s="1" t="str">
        <f ca="1">IF(B13="","",VLOOKUP(--B13,道具产出规划!$A$2:$AN$238,MATCH(E$3,道具产出规划!$2:$2,0),0))</f>
        <v/>
      </c>
      <c r="F13" s="4"/>
    </row>
    <row r="14" spans="2:6">
      <c r="B14" s="3" t="str">
        <f t="array" aca="1" ref="B1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C14" s="1" t="str">
        <f t="array" aca="1" ref="C1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D14" s="1" t="str">
        <f t="array" aca="1" ref="D1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11)))&amp;""</f>
        <v/>
      </c>
      <c r="E14" s="1" t="str">
        <f ca="1">IF(B14="","",VLOOKUP(--B14,道具产出规划!$A$2:$AN$238,MATCH(E$3,道具产出规划!$2:$2,0),0))</f>
        <v/>
      </c>
      <c r="F14" s="4"/>
    </row>
    <row r="15" spans="2:6">
      <c r="B15" s="3" t="str">
        <f t="array" aca="1" ref="B1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C15" s="1" t="str">
        <f t="array" aca="1" ref="C1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D15" s="1" t="str">
        <f t="array" aca="1" ref="D1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12)))&amp;""</f>
        <v/>
      </c>
      <c r="E15" s="1" t="str">
        <f ca="1">IF(B15="","",VLOOKUP(--B15,道具产出规划!$A$2:$AN$238,MATCH(E$3,道具产出规划!$2:$2,0),0))</f>
        <v/>
      </c>
      <c r="F15" s="4"/>
    </row>
    <row r="16" spans="2:6">
      <c r="B16" s="3" t="str">
        <f t="array" aca="1" ref="B1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C16" s="1" t="str">
        <f t="array" aca="1" ref="C1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D16" s="1" t="str">
        <f t="array" aca="1" ref="D1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13)))&amp;""</f>
        <v/>
      </c>
      <c r="E16" s="1" t="str">
        <f ca="1">IF(B16="","",VLOOKUP(--B16,道具产出规划!$A$2:$AN$238,MATCH(E$3,道具产出规划!$2:$2,0),0))</f>
        <v/>
      </c>
      <c r="F16" s="4"/>
    </row>
    <row r="17" spans="2:11">
      <c r="B17" s="3" t="str">
        <f t="array" aca="1" ref="B1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C17" s="1" t="str">
        <f t="array" aca="1" ref="C1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D17" s="1" t="str">
        <f t="array" aca="1" ref="D1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14)))&amp;""</f>
        <v/>
      </c>
      <c r="E17" s="1" t="str">
        <f ca="1">IF(B17="","",VLOOKUP(--B17,道具产出规划!$A$2:$AN$238,MATCH(E$3,道具产出规划!$2:$2,0),0))</f>
        <v/>
      </c>
      <c r="F17" s="4"/>
    </row>
    <row r="18" spans="2:11">
      <c r="B18" s="3" t="str">
        <f t="array" aca="1" ref="B1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C18" s="1" t="str">
        <f t="array" aca="1" ref="C1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D18" s="1" t="str">
        <f t="array" aca="1" ref="D1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15)))&amp;""</f>
        <v/>
      </c>
      <c r="E18" s="1" t="str">
        <f ca="1">IF(B18="","",VLOOKUP(--B18,道具产出规划!$A$2:$AN$238,MATCH(E$3,道具产出规划!$2:$2,0),0))</f>
        <v/>
      </c>
      <c r="F18" s="4"/>
    </row>
    <row r="19" spans="2:11">
      <c r="B19" s="3" t="str">
        <f t="array" aca="1" ref="B1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C19" s="1" t="str">
        <f t="array" aca="1" ref="C1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D19" s="1" t="str">
        <f t="array" aca="1" ref="D1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16)))&amp;""</f>
        <v/>
      </c>
      <c r="E19" s="1" t="str">
        <f ca="1">IF(B19="","",VLOOKUP(--B19,道具产出规划!$A$2:$AN$238,MATCH(E$3,道具产出规划!$2:$2,0),0))</f>
        <v/>
      </c>
      <c r="F19" s="4"/>
    </row>
    <row r="20" spans="2:11">
      <c r="B20" s="3" t="str">
        <f t="array" aca="1" ref="B2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C20" s="1" t="str">
        <f t="array" aca="1" ref="C2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D20" s="1" t="str">
        <f t="array" aca="1" ref="D2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17)))&amp;""</f>
        <v/>
      </c>
      <c r="E20" s="1" t="str">
        <f ca="1">IF(B20="","",VLOOKUP(--B20,道具产出规划!$A$2:$AN$238,MATCH(E$3,道具产出规划!$2:$2,0),0))</f>
        <v/>
      </c>
      <c r="F20" s="4"/>
    </row>
    <row r="21" spans="2:11">
      <c r="B21" s="3" t="str">
        <f t="array" aca="1" ref="B2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C21" s="1" t="str">
        <f t="array" aca="1" ref="C2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D21" s="1" t="str">
        <f t="array" aca="1" ref="D2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18)))&amp;""</f>
        <v/>
      </c>
      <c r="E21" s="1" t="str">
        <f ca="1">IF(B21="","",VLOOKUP(--B21,道具产出规划!$A$2:$AN$238,MATCH(E$3,道具产出规划!$2:$2,0),0))</f>
        <v/>
      </c>
      <c r="F21" s="4"/>
    </row>
    <row r="22" spans="2:11">
      <c r="B22" s="3" t="str">
        <f t="array" aca="1" ref="B2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C22" s="1" t="str">
        <f t="array" aca="1" ref="C2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D22" s="1" t="str">
        <f t="array" aca="1" ref="D2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19)))&amp;""</f>
        <v/>
      </c>
      <c r="E22" s="1" t="str">
        <f ca="1">IF(B22="","",VLOOKUP(--B22,道具产出规划!$A$2:$AN$238,MATCH(E$3,道具产出规划!$2:$2,0),0))</f>
        <v/>
      </c>
      <c r="F22" s="4"/>
    </row>
    <row r="23" spans="2:11">
      <c r="B23" s="3" t="str">
        <f t="array" aca="1" ref="B2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C23" s="1" t="str">
        <f t="array" aca="1" ref="C2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D23" s="1" t="str">
        <f t="array" aca="1" ref="D2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20)))&amp;""</f>
        <v/>
      </c>
      <c r="E23" s="1" t="str">
        <f ca="1">IF(B23="","",VLOOKUP(--B23,道具产出规划!$A$2:$AN$238,MATCH(E$3,道具产出规划!$2:$2,0),0))</f>
        <v/>
      </c>
      <c r="F23" s="4"/>
    </row>
    <row r="24" spans="2:11">
      <c r="B24" s="3" t="str">
        <f t="array" aca="1" ref="B2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C24" s="1" t="str">
        <f t="array" aca="1" ref="C2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D24" s="1" t="str">
        <f t="array" aca="1" ref="D2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21)))&amp;""</f>
        <v/>
      </c>
      <c r="E24" s="1" t="str">
        <f ca="1">IF(B24="","",VLOOKUP(--B24,道具产出规划!$A$2:$AN$238,MATCH(E$3,道具产出规划!$2:$2,0),0))</f>
        <v/>
      </c>
      <c r="F24" s="4"/>
      <c r="K24" s="6"/>
    </row>
    <row r="25" spans="2:11">
      <c r="B25" s="3" t="str">
        <f t="array" aca="1" ref="B2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C25" s="1" t="str">
        <f t="array" aca="1" ref="C2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D25" s="1" t="str">
        <f t="array" aca="1" ref="D2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22)))&amp;""</f>
        <v/>
      </c>
      <c r="E25" s="1" t="str">
        <f ca="1">IF(B25="","",VLOOKUP(--B25,道具产出规划!$A$2:$AN$238,MATCH(E$3,道具产出规划!$2:$2,0),0))</f>
        <v/>
      </c>
      <c r="F25" s="4"/>
    </row>
    <row r="26" spans="2:11">
      <c r="B26" s="3" t="str">
        <f t="array" aca="1" ref="B2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C26" s="1" t="str">
        <f t="array" aca="1" ref="C2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D26" s="1" t="str">
        <f t="array" aca="1" ref="D2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23)))&amp;""</f>
        <v/>
      </c>
      <c r="E26" s="1" t="str">
        <f ca="1">IF(B26="","",VLOOKUP(--B26,道具产出规划!$A$2:$AN$238,MATCH(E$3,道具产出规划!$2:$2,0),0))</f>
        <v/>
      </c>
      <c r="F26" s="4"/>
    </row>
    <row r="27" spans="2:11">
      <c r="B27" s="3" t="str">
        <f t="array" aca="1" ref="B2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C27" s="1" t="str">
        <f t="array" aca="1" ref="C2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D27" s="1" t="str">
        <f t="array" aca="1" ref="D2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24)))&amp;""</f>
        <v/>
      </c>
      <c r="E27" s="1" t="str">
        <f ca="1">IF(B27="","",VLOOKUP(--B27,道具产出规划!$A$2:$AN$238,MATCH(E$3,道具产出规划!$2:$2,0),0))</f>
        <v/>
      </c>
      <c r="F27" s="4"/>
    </row>
    <row r="28" spans="2:11">
      <c r="B28" s="3" t="str">
        <f t="array" aca="1" ref="B2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C28" s="1" t="str">
        <f t="array" aca="1" ref="C2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D28" s="1" t="str">
        <f t="array" aca="1" ref="D2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25)))&amp;""</f>
        <v/>
      </c>
      <c r="E28" s="1" t="str">
        <f ca="1">IF(B28="","",VLOOKUP(--B28,道具产出规划!$A$2:$AN$238,MATCH(E$3,道具产出规划!$2:$2,0),0))</f>
        <v/>
      </c>
      <c r="F28" s="4"/>
    </row>
    <row r="29" spans="2:11">
      <c r="B29" s="3" t="str">
        <f t="array" aca="1" ref="B2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C29" s="1" t="str">
        <f t="array" aca="1" ref="C2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D29" s="1" t="str">
        <f t="array" aca="1" ref="D2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26)))&amp;""</f>
        <v/>
      </c>
      <c r="E29" s="1" t="str">
        <f ca="1">IF(B29="","",VLOOKUP(--B29,道具产出规划!$A$2:$AN$238,MATCH(E$3,道具产出规划!$2:$2,0),0))</f>
        <v/>
      </c>
      <c r="F29" s="4"/>
    </row>
    <row r="30" spans="2:11">
      <c r="B30" s="3" t="str">
        <f t="array" aca="1" ref="B3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C30" s="1" t="str">
        <f t="array" aca="1" ref="C3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D30" s="1" t="str">
        <f t="array" aca="1" ref="D3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27)))&amp;""</f>
        <v/>
      </c>
      <c r="E30" s="1" t="str">
        <f ca="1">IF(B30="","",VLOOKUP(--B30,道具产出规划!$A$2:$AN$238,MATCH(E$3,道具产出规划!$2:$2,0),0))</f>
        <v/>
      </c>
      <c r="F30" s="4"/>
    </row>
    <row r="31" spans="2:11">
      <c r="B31" s="3" t="str">
        <f t="array" aca="1" ref="B3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C31" s="1" t="str">
        <f t="array" aca="1" ref="C3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D31" s="1" t="str">
        <f t="array" aca="1" ref="D3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28)))&amp;""</f>
        <v/>
      </c>
      <c r="E31" s="1" t="str">
        <f ca="1">IF(B31="","",VLOOKUP(--B31,道具产出规划!$A$2:$AN$238,MATCH(E$3,道具产出规划!$2:$2,0),0))</f>
        <v/>
      </c>
      <c r="F31" s="4"/>
    </row>
    <row r="32" spans="2:11">
      <c r="B32" s="3" t="str">
        <f t="array" aca="1" ref="B3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C32" s="1" t="str">
        <f t="array" aca="1" ref="C3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D32" s="1" t="str">
        <f t="array" aca="1" ref="D3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29)))&amp;""</f>
        <v/>
      </c>
      <c r="E32" s="1" t="str">
        <f ca="1">IF(B32="","",VLOOKUP(--B32,道具产出规划!$A$2:$AN$238,MATCH(E$3,道具产出规划!$2:$2,0),0))</f>
        <v/>
      </c>
      <c r="F32" s="4"/>
    </row>
    <row r="33" spans="2:5">
      <c r="B33" s="3" t="str">
        <f t="array" aca="1" ref="B3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C33" s="1" t="str">
        <f t="array" aca="1" ref="C3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D33" s="1" t="str">
        <f t="array" aca="1" ref="D3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30)))&amp;""</f>
        <v/>
      </c>
      <c r="E33" s="1" t="str">
        <f ca="1">IF(B33="","",VLOOKUP(--B33,道具产出规划!$A$2:$AN$238,MATCH(E$3,道具产出规划!$2:$2,0),0))</f>
        <v/>
      </c>
    </row>
    <row r="34" spans="2:5">
      <c r="B34" s="3" t="str">
        <f t="array" aca="1" ref="B3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C34" s="1" t="str">
        <f t="array" aca="1" ref="C3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D34" s="1" t="str">
        <f t="array" aca="1" ref="D3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31)))&amp;""</f>
        <v/>
      </c>
      <c r="E34" s="1" t="str">
        <f ca="1">IF(B34="","",VLOOKUP(--B34,道具产出规划!$A$2:$AN$238,MATCH(E$3,道具产出规划!$2:$2,0),0))</f>
        <v/>
      </c>
    </row>
    <row r="35" spans="2:5">
      <c r="B35" s="3" t="str">
        <f t="array" aca="1" ref="B3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C35" s="1" t="str">
        <f t="array" aca="1" ref="C3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D35" s="1" t="str">
        <f t="array" aca="1" ref="D3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32)))&amp;""</f>
        <v/>
      </c>
      <c r="E35" s="1" t="str">
        <f ca="1">IF(B35="","",VLOOKUP(--B35,道具产出规划!$A$2:$AN$238,MATCH(E$3,道具产出规划!$2:$2,0),0))</f>
        <v/>
      </c>
    </row>
    <row r="36" spans="2:5">
      <c r="B36" s="3" t="str">
        <f t="array" aca="1" ref="B3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C36" s="1" t="str">
        <f t="array" aca="1" ref="C3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D36" s="1" t="str">
        <f t="array" aca="1" ref="D3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33)))&amp;""</f>
        <v/>
      </c>
      <c r="E36" s="1" t="str">
        <f ca="1">IF(B36="","",VLOOKUP(--B36,道具产出规划!$A$2:$AN$238,MATCH(E$3,道具产出规划!$2:$2,0),0))</f>
        <v/>
      </c>
    </row>
    <row r="37" spans="2:5">
      <c r="B37" s="3" t="str">
        <f t="array" aca="1" ref="B3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C37" s="1" t="str">
        <f t="array" aca="1" ref="C3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D37" s="1" t="str">
        <f t="array" aca="1" ref="D3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34)))&amp;""</f>
        <v/>
      </c>
      <c r="E37" s="1" t="str">
        <f ca="1">IF(B37="","",VLOOKUP(--B37,道具产出规划!$A$2:$AN$238,MATCH(E$3,道具产出规划!$2:$2,0),0))</f>
        <v/>
      </c>
    </row>
    <row r="38" spans="2:5">
      <c r="B38" s="3" t="str">
        <f t="array" aca="1" ref="B3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C38" s="1" t="str">
        <f t="array" aca="1" ref="C3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D38" s="1" t="str">
        <f t="array" aca="1" ref="D3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35)))&amp;""</f>
        <v/>
      </c>
      <c r="E38" s="1" t="str">
        <f ca="1">IF(B38="","",VLOOKUP(--B38,道具产出规划!$A$2:$AN$238,MATCH(E$3,道具产出规划!$2:$2,0),0))</f>
        <v/>
      </c>
    </row>
    <row r="39" spans="2:5">
      <c r="B39" s="3" t="str">
        <f t="array" aca="1" ref="B3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C39" s="1" t="str">
        <f t="array" aca="1" ref="C3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D39" s="1" t="str">
        <f t="array" aca="1" ref="D3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36)))&amp;""</f>
        <v/>
      </c>
      <c r="E39" s="1" t="str">
        <f ca="1">IF(B39="","",VLOOKUP(--B39,道具产出规划!$A$2:$AN$238,MATCH(E$3,道具产出规划!$2:$2,0),0))</f>
        <v/>
      </c>
    </row>
    <row r="40" spans="2:5">
      <c r="B40" s="3" t="str">
        <f t="array" aca="1" ref="B4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C40" s="1" t="str">
        <f t="array" aca="1" ref="C4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D40" s="1" t="str">
        <f t="array" aca="1" ref="D4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37)))&amp;""</f>
        <v/>
      </c>
      <c r="E40" s="1" t="str">
        <f ca="1">IF(B40="","",VLOOKUP(--B40,道具产出规划!$A$2:$AN$238,MATCH(E$3,道具产出规划!$2:$2,0),0))</f>
        <v/>
      </c>
    </row>
    <row r="41" spans="2:5">
      <c r="B41" s="3" t="str">
        <f t="array" aca="1" ref="B4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C41" s="1" t="str">
        <f t="array" aca="1" ref="C4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D41" s="1" t="str">
        <f t="array" aca="1" ref="D4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38)))&amp;""</f>
        <v/>
      </c>
      <c r="E41" s="1" t="str">
        <f ca="1">IF(B41="","",VLOOKUP(--B41,道具产出规划!$A$2:$AN$238,MATCH(E$3,道具产出规划!$2:$2,0),0))</f>
        <v/>
      </c>
    </row>
    <row r="42" spans="2:5">
      <c r="B42" s="3" t="str">
        <f t="array" aca="1" ref="B4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C42" s="1" t="str">
        <f t="array" aca="1" ref="C4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D42" s="1" t="str">
        <f t="array" aca="1" ref="D4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39)))&amp;""</f>
        <v/>
      </c>
      <c r="E42" s="1" t="str">
        <f ca="1">IF(B42="","",VLOOKUP(--B42,道具产出规划!$A$2:$AN$238,MATCH(E$3,道具产出规划!$2:$2,0),0))</f>
        <v/>
      </c>
    </row>
    <row r="43" spans="2:5">
      <c r="B43" s="3" t="str">
        <f t="array" aca="1" ref="B4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C43" s="1" t="str">
        <f t="array" aca="1" ref="C4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D43" s="1" t="str">
        <f t="array" aca="1" ref="D4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40)))&amp;""</f>
        <v/>
      </c>
      <c r="E43" s="1" t="str">
        <f ca="1">IF(B43="","",VLOOKUP(--B43,道具产出规划!$A$2:$AN$238,MATCH(E$3,道具产出规划!$2:$2,0),0))</f>
        <v/>
      </c>
    </row>
    <row r="44" spans="2:5">
      <c r="B44" s="3" t="str">
        <f t="array" aca="1" ref="B4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C44" s="1" t="str">
        <f t="array" aca="1" ref="C4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D44" s="1" t="str">
        <f t="array" aca="1" ref="D4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41)))&amp;""</f>
        <v/>
      </c>
      <c r="E44" s="1" t="str">
        <f ca="1">IF(B44="","",VLOOKUP(--B44,道具产出规划!$A$2:$AN$238,MATCH(E$3,道具产出规划!$2:$2,0),0))</f>
        <v/>
      </c>
    </row>
    <row r="45" spans="2:5">
      <c r="B45" s="3" t="str">
        <f t="array" aca="1" ref="B4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C45" s="1" t="str">
        <f t="array" aca="1" ref="C4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D45" s="1" t="str">
        <f t="array" aca="1" ref="D4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42)))&amp;""</f>
        <v/>
      </c>
      <c r="E45" s="1" t="str">
        <f ca="1">IF(B45="","",VLOOKUP(--B45,道具产出规划!$A$2:$AN$238,MATCH(E$3,道具产出规划!$2:$2,0),0))</f>
        <v/>
      </c>
    </row>
    <row r="46" spans="2:5">
      <c r="B46" s="3" t="str">
        <f t="array" aca="1" ref="B4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C46" s="1" t="str">
        <f t="array" aca="1" ref="C4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D46" s="1" t="str">
        <f t="array" aca="1" ref="D4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43)))&amp;""</f>
        <v/>
      </c>
      <c r="E46" s="1" t="str">
        <f ca="1">IF(B46="","",VLOOKUP(--B46,道具产出规划!$A$2:$AN$238,MATCH(E$3,道具产出规划!$2:$2,0),0))</f>
        <v/>
      </c>
    </row>
    <row r="47" spans="2:5">
      <c r="B47" s="3" t="str">
        <f t="array" aca="1" ref="B4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C47" s="1" t="str">
        <f t="array" aca="1" ref="C4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D47" s="1" t="str">
        <f t="array" aca="1" ref="D4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44)))&amp;""</f>
        <v/>
      </c>
      <c r="E47" s="1" t="str">
        <f ca="1">IF(B47="","",VLOOKUP(--B47,道具产出规划!$A$2:$AN$238,MATCH(E$3,道具产出规划!$2:$2,0),0))</f>
        <v/>
      </c>
    </row>
    <row r="48" spans="2:5">
      <c r="B48" s="3" t="str">
        <f t="array" aca="1" ref="B4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C48" s="1" t="str">
        <f t="array" aca="1" ref="C4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D48" s="1" t="str">
        <f t="array" aca="1" ref="D4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45)))&amp;""</f>
        <v/>
      </c>
      <c r="E48" s="1" t="str">
        <f ca="1">IF(B48="","",VLOOKUP(--B48,道具产出规划!$A$2:$AN$238,MATCH(E$3,道具产出规划!$2:$2,0),0))</f>
        <v/>
      </c>
    </row>
    <row r="49" spans="2:5">
      <c r="B49" s="3" t="str">
        <f t="array" aca="1" ref="B4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C49" s="1" t="str">
        <f t="array" aca="1" ref="C4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D49" s="1" t="str">
        <f t="array" aca="1" ref="D4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46)))&amp;""</f>
        <v/>
      </c>
      <c r="E49" s="1" t="str">
        <f ca="1">IF(B49="","",VLOOKUP(--B49,道具产出规划!$A$2:$AN$238,MATCH(E$3,道具产出规划!$2:$2,0),0))</f>
        <v/>
      </c>
    </row>
    <row r="50" spans="2:5">
      <c r="B50" s="3" t="str">
        <f t="array" aca="1" ref="B5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C50" s="1" t="str">
        <f t="array" aca="1" ref="C5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D50" s="1" t="str">
        <f t="array" aca="1" ref="D5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47)))&amp;""</f>
        <v/>
      </c>
      <c r="E50" s="1" t="str">
        <f ca="1">IF(B50="","",VLOOKUP(--B50,道具产出规划!$A$2:$AN$238,MATCH(E$3,道具产出规划!$2:$2,0),0))</f>
        <v/>
      </c>
    </row>
    <row r="51" spans="2:5">
      <c r="B51" s="3" t="str">
        <f t="array" aca="1" ref="B5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C51" s="1" t="str">
        <f t="array" aca="1" ref="C5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D51" s="1" t="str">
        <f t="array" aca="1" ref="D5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48)))&amp;""</f>
        <v/>
      </c>
      <c r="E51" s="1" t="str">
        <f ca="1">IF(B51="","",VLOOKUP(--B51,道具产出规划!$A$2:$AN$238,MATCH(E$3,道具产出规划!$2:$2,0),0))</f>
        <v/>
      </c>
    </row>
    <row r="52" spans="2:5">
      <c r="B52" s="3" t="str">
        <f t="array" aca="1" ref="B52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C52" s="1" t="str">
        <f t="array" aca="1" ref="C52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D52" s="1" t="str">
        <f t="array" aca="1" ref="D52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49)))&amp;""</f>
        <v/>
      </c>
      <c r="E52" s="1" t="str">
        <f ca="1">IF(B52="","",VLOOKUP(--B52,道具产出规划!$A$2:$AN$238,MATCH(E$3,道具产出规划!$2:$2,0),0))</f>
        <v/>
      </c>
    </row>
    <row r="53" spans="2:5">
      <c r="B53" s="3" t="str">
        <f t="array" aca="1" ref="B53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C53" s="1" t="str">
        <f t="array" aca="1" ref="C53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D53" s="1" t="str">
        <f t="array" aca="1" ref="D53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50)))&amp;""</f>
        <v/>
      </c>
      <c r="E53" s="1" t="str">
        <f ca="1">IF(B53="","",VLOOKUP(--B53,道具产出规划!$A$2:$AN$238,MATCH(E$3,道具产出规划!$2:$2,0),0))</f>
        <v/>
      </c>
    </row>
    <row r="54" spans="2:5">
      <c r="B54" s="3" t="str">
        <f t="array" aca="1" ref="B54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C54" s="1" t="str">
        <f t="array" aca="1" ref="C54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D54" s="1" t="str">
        <f t="array" aca="1" ref="D54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51)))&amp;""</f>
        <v/>
      </c>
      <c r="E54" s="1" t="str">
        <f ca="1">IF(B54="","",VLOOKUP(--B54,道具产出规划!$A$2:$AN$238,MATCH(E$3,道具产出规划!$2:$2,0),0))</f>
        <v/>
      </c>
    </row>
    <row r="55" spans="2:5">
      <c r="B55" s="3" t="str">
        <f t="array" aca="1" ref="B55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C55" s="1" t="str">
        <f t="array" aca="1" ref="C55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D55" s="1" t="str">
        <f t="array" aca="1" ref="D55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52)))&amp;""</f>
        <v/>
      </c>
      <c r="E55" s="1" t="str">
        <f ca="1">IF(B55="","",VLOOKUP(--B55,道具产出规划!$A$2:$AN$238,MATCH(E$3,道具产出规划!$2:$2,0),0))</f>
        <v/>
      </c>
    </row>
    <row r="56" spans="2:5">
      <c r="B56" s="3" t="str">
        <f t="array" aca="1" ref="B56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C56" s="1" t="str">
        <f t="array" aca="1" ref="C56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D56" s="1" t="str">
        <f t="array" aca="1" ref="D56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53)))&amp;""</f>
        <v/>
      </c>
      <c r="E56" s="1" t="str">
        <f ca="1">IF(B56="","",VLOOKUP(--B56,道具产出规划!$A$2:$AN$238,MATCH(E$3,道具产出规划!$2:$2,0),0))</f>
        <v/>
      </c>
    </row>
    <row r="57" spans="2:5">
      <c r="B57" s="3" t="str">
        <f t="array" aca="1" ref="B57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C57" s="1" t="str">
        <f t="array" aca="1" ref="C57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D57" s="1" t="str">
        <f t="array" aca="1" ref="D57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54)))&amp;""</f>
        <v/>
      </c>
      <c r="E57" s="1" t="str">
        <f ca="1">IF(B57="","",VLOOKUP(--B57,道具产出规划!$A$2:$AN$238,MATCH(E$3,道具产出规划!$2:$2,0),0))</f>
        <v/>
      </c>
    </row>
    <row r="58" spans="2:5">
      <c r="B58" s="3" t="str">
        <f t="array" aca="1" ref="B58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C58" s="1" t="str">
        <f t="array" aca="1" ref="C58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D58" s="1" t="str">
        <f t="array" aca="1" ref="D58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55)))&amp;""</f>
        <v/>
      </c>
      <c r="E58" s="1" t="str">
        <f ca="1">IF(B58="","",VLOOKUP(--B58,道具产出规划!$A$2:$AN$238,MATCH(E$3,道具产出规划!$2:$2,0),0))</f>
        <v/>
      </c>
    </row>
    <row r="59" spans="2:5">
      <c r="B59" s="3" t="str">
        <f t="array" aca="1" ref="B59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C59" s="1" t="str">
        <f t="array" aca="1" ref="C59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D59" s="1" t="str">
        <f t="array" aca="1" ref="D59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56)))&amp;""</f>
        <v/>
      </c>
      <c r="E59" s="1" t="str">
        <f ca="1">IF(B59="","",VLOOKUP(--B59,道具产出规划!$A$2:$AN$238,MATCH(E$3,道具产出规划!$2:$2,0),0))</f>
        <v/>
      </c>
    </row>
    <row r="60" spans="2:5">
      <c r="B60" s="3" t="str">
        <f t="array" aca="1" ref="B60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C60" s="1" t="str">
        <f t="array" aca="1" ref="C60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D60" s="1" t="str">
        <f t="array" aca="1" ref="D60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57)))&amp;""</f>
        <v/>
      </c>
      <c r="E60" s="1" t="str">
        <f ca="1">IF(B60="","",VLOOKUP(--B60,道具产出规划!$A$2:$AN$238,MATCH(E$3,道具产出规划!$2:$2,0),0))</f>
        <v/>
      </c>
    </row>
    <row r="61" spans="2:5">
      <c r="B61" s="3" t="str">
        <f t="array" aca="1" ref="B61" ca="1">INDEX(道具产出规划!$A:$A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C61" s="1" t="str">
        <f t="array" aca="1" ref="C61" ca="1">INDEX(道具产出规划!$B:$B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D61" s="1" t="str">
        <f t="array" aca="1" ref="D61" ca="1">INDEX(道具产出规划!$C:$C,SMALL(IF(LEN(INDIRECT(ADDRESS(3,MATCH(E$3,道具产出规划!$2:$2,0),1,TRUE,"道具产出规划")):INDIRECT(ADDRESS(1000,MATCH(E$3,道具产出规划!$2:$2,0),1,TRUE,"道具产出规划")))&gt;0,ROW(道具产出规划!$3:$998),2^20),ROW(道具产出规划!$A58)))&amp;""</f>
        <v/>
      </c>
      <c r="E61" s="1" t="str">
        <f ca="1">IF(B61="","",VLOOKUP(--B61,道具产出规划!$A$2:$AN$238,MATCH(E$3,道具产出规划!$2:$2,0),0))</f>
        <v/>
      </c>
    </row>
  </sheetData>
  <phoneticPr fontId="28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梦幻道具对照说明</vt:lpstr>
      <vt:lpstr>物品类型库</vt:lpstr>
      <vt:lpstr>养成规划</vt:lpstr>
      <vt:lpstr>道具产出规划</vt:lpstr>
      <vt:lpstr>道具消耗核算</vt:lpstr>
      <vt:lpstr>掉落规则说明</vt:lpstr>
      <vt:lpstr>职业日常</vt:lpstr>
      <vt:lpstr>日常副本</vt:lpstr>
      <vt:lpstr>英雄试炼</vt:lpstr>
      <vt:lpstr>冰封王座</vt:lpstr>
      <vt:lpstr>考古</vt:lpstr>
      <vt:lpstr>精英副本</vt:lpstr>
      <vt:lpstr>公会任务</vt:lpstr>
      <vt:lpstr>暗夜马戏团</vt:lpstr>
      <vt:lpstr>野外挂机</vt:lpstr>
      <vt:lpstr>经验道具</vt:lpstr>
      <vt:lpstr>分享</vt:lpstr>
      <vt:lpstr>帮助战斗</vt:lpstr>
      <vt:lpstr>魔像</vt:lpstr>
      <vt:lpstr>巨龙护卫</vt:lpstr>
      <vt:lpstr>巨龙</vt:lpstr>
      <vt:lpstr>古神</vt:lpstr>
      <vt:lpstr>艾泽拉斯地理探索</vt:lpstr>
      <vt:lpstr>艾泽拉斯百科竞赛</vt:lpstr>
      <vt:lpstr>职业闯关</vt:lpstr>
      <vt:lpstr>竞技场</vt:lpstr>
      <vt:lpstr>公会副本</vt:lpstr>
      <vt:lpstr>节日活动1</vt:lpstr>
      <vt:lpstr>节日活动2</vt:lpstr>
      <vt:lpstr>Sheet27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</cp:lastModifiedBy>
  <dcterms:created xsi:type="dcterms:W3CDTF">2006-09-13T11:21:00Z</dcterms:created>
  <dcterms:modified xsi:type="dcterms:W3CDTF">2016-09-02T07:40:57Z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